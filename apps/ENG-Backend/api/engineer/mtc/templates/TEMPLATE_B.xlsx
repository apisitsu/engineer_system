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Projects\EngineerSystem\apps\ENG-Backend\api\engineer\mtc\templates\New folder\"/>
    </mc:Choice>
  </mc:AlternateContent>
  <bookViews>
    <workbookView xWindow="8268" yWindow="192" windowWidth="16932" windowHeight="11760" tabRatio="718" firstSheet="9" activeTab="18"/>
  </bookViews>
  <sheets>
    <sheet name="LINK LIST" sheetId="44" state="hidden" r:id="rId1"/>
    <sheet name="TEMPLATE" sheetId="19" r:id="rId2"/>
    <sheet name="M-BODY" sheetId="35" r:id="rId3"/>
    <sheet name="F-BODY" sheetId="6" r:id="rId4"/>
    <sheet name="ABR BODY" sheetId="31" r:id="rId5"/>
    <sheet name="ROLLER BODY" sheetId="49" r:id="rId6"/>
    <sheet name="レシプロボディ" sheetId="13" r:id="rId7"/>
    <sheet name="RACE" sheetId="8" r:id="rId8"/>
    <sheet name="RACE2" sheetId="9" r:id="rId9"/>
    <sheet name="SLEEVE" sheetId="27" r:id="rId10"/>
    <sheet name="SLEEVE IDG" sheetId="2" r:id="rId11"/>
    <sheet name="BOEING SLEEVE" sheetId="32" r:id="rId12"/>
    <sheet name="BALL(1)" sheetId="30" r:id="rId13"/>
    <sheet name="BALL(2)" sheetId="3" r:id="rId14"/>
    <sheet name="BALL(3)" sheetId="36" r:id="rId15"/>
    <sheet name="BALL(4)" sheetId="20" r:id="rId16"/>
    <sheet name="BALL(内径にTFE)" sheetId="18" r:id="rId17"/>
    <sheet name="BALL(5)" sheetId="10" r:id="rId18"/>
    <sheet name="BALL(6)" sheetId="50" r:id="rId19"/>
    <sheet name="INNER in BALL" sheetId="12" r:id="rId20"/>
    <sheet name="レシプロ－" sheetId="24" r:id="rId21"/>
    <sheet name="JWAVE" sheetId="17" r:id="rId22"/>
    <sheet name="SPH(DT)" sheetId="4" r:id="rId23"/>
    <sheet name="SPH(D→T)" sheetId="39" r:id="rId24"/>
    <sheet name="SPH(D→DT)" sheetId="40" r:id="rId25"/>
    <sheet name="SPH 中型" sheetId="11" r:id="rId26"/>
    <sheet name="3PCS" sheetId="5" r:id="rId27"/>
    <sheet name="ボール入りRD" sheetId="21" r:id="rId28"/>
    <sheet name="S_ROLLER_ASSY" sheetId="48" r:id="rId29"/>
    <sheet name="D_ROLLER_ASSY" sheetId="47" r:id="rId30"/>
    <sheet name="ROLLER PIN" sheetId="26" r:id="rId31"/>
    <sheet name="LOCK NUT" sheetId="41" r:id="rId32"/>
    <sheet name="PB" sheetId="51" r:id="rId33"/>
    <sheet name="Sheet1" sheetId="45" r:id="rId34"/>
    <sheet name="Sheet2" sheetId="46" r:id="rId35"/>
  </sheets>
  <definedNames>
    <definedName name="_xlnm._FilterDatabase" localSheetId="0" hidden="1">'LINK LIST'!$A$1:$C$184</definedName>
    <definedName name="LINK">'LINK LIST'!$A$2:$C$197</definedName>
    <definedName name="_xlnm.Print_Area" localSheetId="26">'3PCS'!$A$1:$P$28</definedName>
    <definedName name="_xlnm.Print_Area" localSheetId="4">'ABR BODY'!$A$108:$O$135</definedName>
    <definedName name="_xlnm.Print_Area" localSheetId="12">'BALL(1)'!$A$1:$O$43</definedName>
    <definedName name="_xlnm.Print_Area" localSheetId="13">'BALL(2)'!$A$1:$O$35</definedName>
    <definedName name="_xlnm.Print_Area" localSheetId="14">'BALL(3)'!$A$1:$O$65</definedName>
    <definedName name="_xlnm.Print_Area" localSheetId="15">'BALL(4)'!$A$1:$O$30</definedName>
    <definedName name="_xlnm.Print_Area" localSheetId="17">'BALL(5)'!$A$1:$O$51</definedName>
    <definedName name="_xlnm.Print_Area" localSheetId="18">'BALL(6)'!$A$1:$O$33</definedName>
    <definedName name="_xlnm.Print_Area" localSheetId="16">'BALL(内径にTFE)'!$A$88:$O$120</definedName>
    <definedName name="_xlnm.Print_Area" localSheetId="11">'BOEING SLEEVE'!$A$1:$N$21</definedName>
    <definedName name="_xlnm.Print_Area" localSheetId="29">D_ROLLER_ASSY!$A$1:$O$62</definedName>
    <definedName name="_xlnm.Print_Area" localSheetId="3">'F-BODY'!$A$180:$O$219</definedName>
    <definedName name="_xlnm.Print_Area" localSheetId="19">'INNER in BALL'!$A$1:$N$31</definedName>
    <definedName name="_xlnm.Print_Area" localSheetId="21">JWAVE!$A$1:$O$52</definedName>
    <definedName name="_xlnm.Print_Area" localSheetId="31">'LOCK NUT'!$A$1:$O$12</definedName>
    <definedName name="_xlnm.Print_Area" localSheetId="2">'M-BODY'!$A$1:$O$39</definedName>
    <definedName name="_xlnm.Print_Area" localSheetId="32">PB!$A$1:$O$11</definedName>
    <definedName name="_xlnm.Print_Area" localSheetId="7">RACE!$A$1:$O$10</definedName>
    <definedName name="_xlnm.Print_Area" localSheetId="8">RACE2!$A$1:$O$32</definedName>
    <definedName name="_xlnm.Print_Area" localSheetId="5">'ROLLER BODY'!$A$1:$O$33</definedName>
    <definedName name="_xlnm.Print_Area" localSheetId="30">'ROLLER PIN'!$A$1:$O$43</definedName>
    <definedName name="_xlnm.Print_Area" localSheetId="28">S_ROLLER_ASSY!$A$1:$O$34</definedName>
    <definedName name="_xlnm.Print_Area" localSheetId="9">SLEEVE!$A$1:$O$20</definedName>
    <definedName name="_xlnm.Print_Area" localSheetId="10">'SLEEVE IDG'!$A$1:$O$35</definedName>
    <definedName name="_xlnm.Print_Area" localSheetId="25">'SPH 中型'!$A$1:$O$39</definedName>
    <definedName name="_xlnm.Print_Area" localSheetId="24">'SPH(D→DT)'!$A$1:$O$78</definedName>
    <definedName name="_xlnm.Print_Area" localSheetId="23">'SPH(D→T)'!$A$1:$O$65</definedName>
    <definedName name="_xlnm.Print_Area" localSheetId="22">'SPH(DT)'!$A$1:$O$61</definedName>
    <definedName name="_xlnm.Print_Area" localSheetId="1">TEMPLATE!$A$1:$S$39</definedName>
    <definedName name="_xlnm.Print_Area" localSheetId="27">ボール入りRD!$A$1:$N$28</definedName>
    <definedName name="_xlnm.Print_Area" localSheetId="20">'レシプロ－'!$A$1:$N$18</definedName>
    <definedName name="_xlnm.Print_Area" localSheetId="6">レシプロボディ!$A$1:$O$28</definedName>
  </definedNames>
  <calcPr calcId="162913"/>
</workbook>
</file>

<file path=xl/calcChain.xml><?xml version="1.0" encoding="utf-8"?>
<calcChain xmlns="http://schemas.openxmlformats.org/spreadsheetml/2006/main">
  <c r="O209" i="6" l="1"/>
  <c r="O206" i="6"/>
  <c r="O205" i="6"/>
  <c r="O204" i="6"/>
  <c r="O203" i="6"/>
  <c r="O202" i="6"/>
  <c r="O190" i="6"/>
  <c r="O189" i="6"/>
  <c r="O188" i="6"/>
  <c r="O187" i="6"/>
  <c r="O161" i="6" l="1"/>
  <c r="O160" i="6"/>
  <c r="O155" i="6"/>
  <c r="O154" i="6"/>
  <c r="O141" i="6"/>
  <c r="O140" i="6"/>
  <c r="O163" i="6"/>
  <c r="O162" i="6"/>
  <c r="O159" i="6"/>
  <c r="O158" i="6"/>
  <c r="O157" i="6"/>
  <c r="O143" i="6"/>
  <c r="O142" i="6"/>
  <c r="O138" i="6"/>
  <c r="O137" i="6"/>
  <c r="O136" i="6"/>
  <c r="O135" i="6"/>
  <c r="O15" i="27" l="1"/>
  <c r="O9" i="51" l="1"/>
  <c r="O8" i="51"/>
  <c r="O7" i="51"/>
  <c r="O7" i="50" l="1"/>
  <c r="O9" i="50"/>
  <c r="O10" i="50"/>
  <c r="O21" i="50"/>
  <c r="O16" i="50"/>
  <c r="O14" i="50"/>
  <c r="O25" i="49" l="1"/>
  <c r="O23" i="49"/>
  <c r="O27" i="49"/>
  <c r="O26" i="49"/>
  <c r="O12" i="49"/>
  <c r="O11" i="49"/>
  <c r="O9" i="49"/>
  <c r="O8" i="49"/>
  <c r="O125" i="6" l="1"/>
  <c r="O124" i="6"/>
  <c r="O123" i="6"/>
  <c r="O122" i="6"/>
  <c r="O120" i="6"/>
  <c r="O119" i="6"/>
  <c r="O118" i="6"/>
  <c r="O117" i="6"/>
  <c r="M16" i="5" l="1"/>
  <c r="M15" i="5"/>
  <c r="O21" i="10"/>
  <c r="O33" i="10"/>
  <c r="O35" i="10"/>
  <c r="O10" i="10"/>
  <c r="O9" i="10"/>
  <c r="O8" i="10"/>
  <c r="O7" i="10"/>
  <c r="O46" i="36" l="1"/>
  <c r="O44" i="36"/>
  <c r="O11" i="36" l="1"/>
  <c r="O10" i="36"/>
  <c r="O9" i="36"/>
  <c r="O8" i="36"/>
  <c r="O13" i="20" l="1"/>
  <c r="O11" i="20"/>
  <c r="O10" i="20"/>
  <c r="O9" i="20"/>
  <c r="O7" i="20"/>
  <c r="O18" i="3" l="1"/>
  <c r="O11" i="3"/>
  <c r="O10" i="3"/>
  <c r="O9" i="3"/>
  <c r="O8" i="3"/>
  <c r="O10" i="30"/>
  <c r="O9" i="30"/>
  <c r="O8" i="30"/>
  <c r="O35" i="11" l="1"/>
  <c r="N34" i="11"/>
  <c r="N33" i="11"/>
  <c r="O32" i="11"/>
  <c r="N32" i="11"/>
  <c r="O27" i="11"/>
  <c r="O16" i="11"/>
  <c r="M11" i="11"/>
  <c r="M10" i="11"/>
  <c r="M9" i="11"/>
  <c r="O8" i="11"/>
  <c r="O72" i="40"/>
  <c r="N71" i="40"/>
  <c r="N70" i="40"/>
  <c r="O69" i="40"/>
  <c r="N69" i="40"/>
  <c r="O64" i="40"/>
  <c r="O45" i="40"/>
  <c r="O34" i="40"/>
  <c r="O24" i="40"/>
  <c r="O13" i="40"/>
  <c r="M11" i="40"/>
  <c r="M10" i="40"/>
  <c r="M9" i="40"/>
  <c r="O8" i="40"/>
  <c r="O60" i="39" l="1"/>
  <c r="N59" i="39"/>
  <c r="N58" i="39"/>
  <c r="O57" i="39"/>
  <c r="N57" i="39"/>
  <c r="O52" i="39"/>
  <c r="O33" i="39"/>
  <c r="O13" i="39"/>
  <c r="M11" i="39"/>
  <c r="M10" i="39"/>
  <c r="M9" i="39"/>
  <c r="O8" i="39"/>
  <c r="N52" i="4"/>
  <c r="N53" i="4"/>
  <c r="N54" i="4"/>
  <c r="O55" i="4"/>
  <c r="N44" i="17"/>
  <c r="N45" i="17"/>
  <c r="N46" i="17"/>
  <c r="O47" i="17"/>
  <c r="O31" i="2"/>
  <c r="O29" i="2"/>
  <c r="O24" i="2"/>
  <c r="O16" i="2"/>
  <c r="O11" i="2"/>
  <c r="O7" i="2"/>
  <c r="O128" i="31" l="1"/>
  <c r="O127" i="31"/>
  <c r="O121" i="31"/>
  <c r="O120" i="31"/>
  <c r="O119" i="31"/>
  <c r="O118" i="31"/>
  <c r="O116" i="31"/>
  <c r="O115" i="31"/>
  <c r="O113" i="31"/>
  <c r="O86" i="31"/>
  <c r="O85" i="31"/>
  <c r="O83" i="31"/>
  <c r="O58" i="31"/>
  <c r="O59" i="31"/>
  <c r="O49" i="31"/>
  <c r="O48" i="31"/>
  <c r="O46" i="31"/>
  <c r="O29" i="6" l="1"/>
  <c r="O66" i="6"/>
  <c r="O88" i="31" l="1"/>
  <c r="O97" i="31"/>
  <c r="O96" i="31"/>
  <c r="O90" i="31"/>
  <c r="O89" i="31"/>
  <c r="O106" i="18" l="1"/>
  <c r="O99" i="18"/>
  <c r="O98" i="18"/>
  <c r="O97" i="18"/>
  <c r="O94" i="18"/>
  <c r="O72" i="18" l="1"/>
  <c r="O71" i="18"/>
  <c r="O68" i="18"/>
  <c r="O73" i="18"/>
  <c r="O58" i="18"/>
  <c r="O57" i="18"/>
  <c r="O56" i="18"/>
  <c r="O53" i="18"/>
  <c r="P9" i="5" l="1"/>
  <c r="O23" i="26" l="1"/>
  <c r="M10" i="5" l="1"/>
  <c r="O100" i="6" l="1"/>
  <c r="O98" i="6"/>
  <c r="O97" i="6"/>
  <c r="O103" i="6"/>
  <c r="O102" i="6"/>
  <c r="O106" i="6"/>
  <c r="O95" i="6"/>
  <c r="O67" i="31" l="1"/>
  <c r="O66" i="31"/>
  <c r="O64" i="31"/>
  <c r="O63" i="31"/>
  <c r="O62" i="31"/>
  <c r="O61" i="31"/>
  <c r="O52" i="31"/>
  <c r="O51" i="31"/>
  <c r="O7" i="48" l="1"/>
  <c r="O53" i="47" l="1"/>
  <c r="O46" i="47"/>
  <c r="O14" i="47"/>
  <c r="O7" i="47"/>
  <c r="O60" i="47"/>
  <c r="O74" i="6" l="1"/>
  <c r="O68" i="6"/>
  <c r="O67" i="6"/>
  <c r="O64" i="6"/>
  <c r="O63" i="6"/>
  <c r="O72" i="6"/>
  <c r="O71" i="6"/>
  <c r="O57" i="6"/>
  <c r="O56" i="6"/>
  <c r="O55" i="6"/>
  <c r="O54" i="6"/>
  <c r="O20" i="9" l="1"/>
  <c r="O15" i="9"/>
  <c r="M8" i="13" l="1"/>
  <c r="M7" i="13"/>
  <c r="L17" i="12"/>
  <c r="L18" i="24"/>
  <c r="L16" i="24"/>
  <c r="L27" i="21"/>
  <c r="L26" i="21"/>
  <c r="L25" i="21"/>
  <c r="L22" i="21"/>
  <c r="M11" i="5"/>
  <c r="M11" i="4"/>
  <c r="M10" i="4"/>
  <c r="M9" i="4"/>
  <c r="M11" i="17"/>
  <c r="M10" i="17"/>
  <c r="M9" i="17"/>
  <c r="O8" i="35" l="1"/>
  <c r="O28" i="31" l="1"/>
  <c r="O25" i="31"/>
  <c r="O24" i="31"/>
  <c r="O32" i="35"/>
  <c r="O20" i="3"/>
  <c r="O4" i="26"/>
  <c r="O11" i="41"/>
  <c r="O7" i="41"/>
  <c r="O39" i="26"/>
  <c r="N25" i="21" l="1"/>
  <c r="N22" i="21"/>
  <c r="N18" i="21"/>
  <c r="N9" i="21"/>
  <c r="N19" i="21"/>
  <c r="O24" i="39"/>
  <c r="O52" i="4"/>
  <c r="O24" i="4"/>
  <c r="O13" i="4"/>
  <c r="O8" i="4"/>
  <c r="O44" i="17"/>
  <c r="O34" i="17"/>
  <c r="O24" i="17"/>
  <c r="O13" i="17"/>
  <c r="O12" i="17"/>
  <c r="O8" i="17" l="1"/>
  <c r="N8" i="12"/>
  <c r="N18" i="12"/>
  <c r="N7" i="12"/>
  <c r="O32" i="36" l="1"/>
  <c r="O18" i="36"/>
  <c r="O43" i="18"/>
  <c r="O20" i="18"/>
  <c r="O13" i="18"/>
  <c r="O12" i="18"/>
  <c r="O11" i="18"/>
  <c r="O8" i="18"/>
  <c r="O18" i="20"/>
  <c r="O31" i="30" l="1"/>
  <c r="O18" i="30" l="1"/>
  <c r="O11" i="30" l="1"/>
  <c r="N17" i="32"/>
  <c r="N14" i="32"/>
  <c r="N12" i="32"/>
  <c r="N9" i="32"/>
  <c r="O9" i="27"/>
  <c r="O13" i="9"/>
  <c r="O12" i="9"/>
  <c r="O11" i="9"/>
  <c r="O10" i="9"/>
  <c r="O11" i="13" l="1"/>
  <c r="O7" i="13"/>
  <c r="O13" i="31"/>
  <c r="O14" i="31"/>
  <c r="O16" i="31"/>
  <c r="O17" i="31"/>
  <c r="O23" i="31"/>
  <c r="O27" i="31"/>
  <c r="O10" i="31"/>
  <c r="O11" i="31"/>
  <c r="O8" i="31"/>
  <c r="O9" i="6"/>
  <c r="O10" i="6"/>
  <c r="O11" i="6"/>
  <c r="O12" i="6"/>
  <c r="O27" i="6"/>
  <c r="O28" i="6"/>
  <c r="O30" i="6"/>
  <c r="O31" i="6"/>
  <c r="O14" i="6"/>
  <c r="O15" i="6"/>
  <c r="O34" i="6"/>
  <c r="O34" i="35"/>
  <c r="O9" i="35"/>
  <c r="O11" i="35"/>
  <c r="O12" i="35"/>
  <c r="O14" i="35"/>
  <c r="O15" i="35"/>
</calcChain>
</file>

<file path=xl/comments1.xml><?xml version="1.0" encoding="utf-8"?>
<comments xmlns="http://schemas.openxmlformats.org/spreadsheetml/2006/main">
  <authors>
    <author>kz10250</author>
  </authors>
  <commentList>
    <comment ref="P17" authorId="0" shapeId="0">
      <text>
        <r>
          <rPr>
            <b/>
            <sz val="9"/>
            <color indexed="81"/>
            <rFont val="ＭＳ Ｐゴシック"/>
            <family val="3"/>
            <charset val="128"/>
          </rPr>
          <t>kz10250:</t>
        </r>
        <r>
          <rPr>
            <sz val="9"/>
            <color indexed="81"/>
            <rFont val="ＭＳ Ｐゴシック"/>
            <family val="3"/>
            <charset val="128"/>
          </rPr>
          <t xml:space="preserve">
2017/10/06以前は設計あり</t>
        </r>
      </text>
    </comment>
    <comment ref="Q29" authorId="0" shapeId="0">
      <text>
        <r>
          <rPr>
            <b/>
            <sz val="9"/>
            <color indexed="81"/>
            <rFont val="ＭＳ Ｐゴシック"/>
            <family val="3"/>
            <charset val="128"/>
          </rPr>
          <t>kz10250:</t>
        </r>
        <r>
          <rPr>
            <sz val="9"/>
            <color indexed="81"/>
            <rFont val="ＭＳ Ｐゴシック"/>
            <family val="3"/>
            <charset val="128"/>
          </rPr>
          <t xml:space="preserve">
2017/10/06以前は設計あり</t>
        </r>
      </text>
    </comment>
  </commentList>
</comments>
</file>

<file path=xl/comments2.xml><?xml version="1.0" encoding="utf-8"?>
<comments xmlns="http://schemas.openxmlformats.org/spreadsheetml/2006/main">
  <authors>
    <author>kz10250</author>
  </authors>
  <commentList>
    <comment ref="O16" authorId="0" shapeId="0">
      <text>
        <r>
          <rPr>
            <b/>
            <sz val="9"/>
            <color indexed="81"/>
            <rFont val="ＭＳ Ｐゴシック"/>
            <family val="3"/>
            <charset val="128"/>
          </rPr>
          <t>kz10250:</t>
        </r>
        <r>
          <rPr>
            <sz val="9"/>
            <color indexed="81"/>
            <rFont val="ＭＳ Ｐゴシック"/>
            <family val="3"/>
            <charset val="128"/>
          </rPr>
          <t xml:space="preserve">
2017/10/06以前は設計あり</t>
        </r>
      </text>
    </comment>
  </commentList>
</comments>
</file>

<file path=xl/comments3.xml><?xml version="1.0" encoding="utf-8"?>
<comments xmlns="http://schemas.openxmlformats.org/spreadsheetml/2006/main">
  <authors>
    <author>Windows ユーザー</author>
  </authors>
  <commentList>
    <comment ref="H13" authorId="0" shapeId="0">
      <text>
        <r>
          <rPr>
            <b/>
            <sz val="9"/>
            <color indexed="81"/>
            <rFont val="MS P ゴシック"/>
            <family val="3"/>
            <charset val="128"/>
          </rPr>
          <t>Windows ユーザー:</t>
        </r>
        <r>
          <rPr>
            <sz val="9"/>
            <color indexed="81"/>
            <rFont val="MS P ゴシック"/>
            <family val="3"/>
            <charset val="128"/>
          </rPr>
          <t xml:space="preserve">
</t>
        </r>
      </text>
    </comment>
  </commentList>
</comments>
</file>

<file path=xl/sharedStrings.xml><?xml version="1.0" encoding="utf-8"?>
<sst xmlns="http://schemas.openxmlformats.org/spreadsheetml/2006/main" count="5439" uniqueCount="1693">
  <si>
    <t>新規</t>
    <rPh sb="0" eb="2">
      <t>シンキ</t>
    </rPh>
    <phoneticPr fontId="3"/>
  </si>
  <si>
    <t>DWG/No.</t>
    <phoneticPr fontId="3"/>
  </si>
  <si>
    <t>検</t>
    <rPh sb="0" eb="1">
      <t>ケン</t>
    </rPh>
    <phoneticPr fontId="3"/>
  </si>
  <si>
    <t>BODY HOLDER (LOWER SIDE)</t>
  </si>
  <si>
    <t>V BLOCK(Triple)</t>
  </si>
  <si>
    <t>C/N</t>
    <phoneticPr fontId="3"/>
  </si>
  <si>
    <t>Process</t>
    <phoneticPr fontId="3"/>
  </si>
  <si>
    <t>4007-04-</t>
    <phoneticPr fontId="3"/>
  </si>
  <si>
    <t>HYDRA GRIP</t>
    <phoneticPr fontId="3"/>
  </si>
  <si>
    <t>4516-01-</t>
    <phoneticPr fontId="3"/>
  </si>
  <si>
    <t>4009-02-</t>
    <phoneticPr fontId="3"/>
  </si>
  <si>
    <t>4651-12-</t>
    <phoneticPr fontId="3"/>
  </si>
  <si>
    <t>4651-13-</t>
    <phoneticPr fontId="3"/>
  </si>
  <si>
    <t>RECESS</t>
    <phoneticPr fontId="3"/>
  </si>
  <si>
    <t>Q-51-</t>
    <phoneticPr fontId="3"/>
  </si>
  <si>
    <t>BASE PLATE</t>
    <phoneticPr fontId="3"/>
  </si>
  <si>
    <t>PLATE</t>
    <phoneticPr fontId="3"/>
  </si>
  <si>
    <t>4863-01-</t>
    <phoneticPr fontId="3"/>
  </si>
  <si>
    <t>CENTER PIN</t>
    <phoneticPr fontId="3"/>
  </si>
  <si>
    <t>THREAD ROLL</t>
    <phoneticPr fontId="3"/>
  </si>
  <si>
    <t>4800-57-</t>
    <phoneticPr fontId="3"/>
  </si>
  <si>
    <t>BA</t>
    <phoneticPr fontId="3"/>
  </si>
  <si>
    <t>4800-38-</t>
    <phoneticPr fontId="3"/>
  </si>
  <si>
    <t>OD GRIND</t>
    <phoneticPr fontId="3"/>
  </si>
  <si>
    <t>SET PIN</t>
    <phoneticPr fontId="3"/>
  </si>
  <si>
    <t>4556-01-</t>
    <phoneticPr fontId="3"/>
  </si>
  <si>
    <t>CHUTE COVER</t>
    <phoneticPr fontId="3"/>
  </si>
  <si>
    <t>4866-14-</t>
    <phoneticPr fontId="3"/>
  </si>
  <si>
    <t>極力既存品から選択する</t>
    <rPh sb="0" eb="2">
      <t>キョクリョク</t>
    </rPh>
    <rPh sb="2" eb="4">
      <t>キゾン</t>
    </rPh>
    <rPh sb="4" eb="5">
      <t>ヒン</t>
    </rPh>
    <rPh sb="7" eb="9">
      <t>センタク</t>
    </rPh>
    <phoneticPr fontId="3"/>
  </si>
  <si>
    <t>4664-07-</t>
  </si>
  <si>
    <t>STONE HOLDER</t>
  </si>
  <si>
    <t>ATTACHMENT</t>
  </si>
  <si>
    <t>CONECTOR ROD</t>
  </si>
  <si>
    <t>SEIBU</t>
    <phoneticPr fontId="3"/>
  </si>
  <si>
    <t>CARRIER</t>
    <phoneticPr fontId="3"/>
  </si>
  <si>
    <t>HAMAI</t>
    <phoneticPr fontId="3"/>
  </si>
  <si>
    <t>4564-03-</t>
    <phoneticPr fontId="3"/>
  </si>
  <si>
    <t>4559-01-</t>
    <phoneticPr fontId="3"/>
  </si>
  <si>
    <t>P/N</t>
    <phoneticPr fontId="3"/>
  </si>
  <si>
    <t>SWAGE</t>
  </si>
  <si>
    <t>SWAGE DIE</t>
  </si>
  <si>
    <t>DIE PIN</t>
  </si>
  <si>
    <t>GUIDE PIN</t>
  </si>
  <si>
    <t>ARBOR</t>
  </si>
  <si>
    <t>ARBOR PIN</t>
  </si>
  <si>
    <t>CENTER</t>
  </si>
  <si>
    <t>WRIST END</t>
  </si>
  <si>
    <t>LOADER JAW</t>
  </si>
  <si>
    <t>INVERSION JAW</t>
  </si>
  <si>
    <t>COLLET</t>
  </si>
  <si>
    <t>STOPPER L</t>
  </si>
  <si>
    <t>STOPPER R</t>
  </si>
  <si>
    <t>WORK STOPPER</t>
  </si>
  <si>
    <t>RELEASE</t>
  </si>
  <si>
    <t>WORK GUIDE</t>
  </si>
  <si>
    <t>SET STICK</t>
  </si>
  <si>
    <t>RACE PUSHER</t>
  </si>
  <si>
    <t>SET PIN</t>
  </si>
  <si>
    <t>HOLDER</t>
  </si>
  <si>
    <t>INSTALL SPH.</t>
    <phoneticPr fontId="2"/>
  </si>
  <si>
    <t>SPH INSERT JIG</t>
    <phoneticPr fontId="2"/>
  </si>
  <si>
    <t>ASSEMBLY TOOL</t>
    <phoneticPr fontId="2"/>
  </si>
  <si>
    <t>4574-01-</t>
    <phoneticPr fontId="2"/>
  </si>
  <si>
    <t>4571-03-</t>
    <phoneticPr fontId="2"/>
  </si>
  <si>
    <t>Name</t>
    <phoneticPr fontId="3"/>
  </si>
  <si>
    <t>DWG/No.</t>
    <phoneticPr fontId="3"/>
  </si>
  <si>
    <t>Rev</t>
    <phoneticPr fontId="3"/>
  </si>
  <si>
    <t>Notes</t>
    <phoneticPr fontId="3"/>
  </si>
  <si>
    <t>4577-04-</t>
    <phoneticPr fontId="2"/>
  </si>
  <si>
    <t>PLAG(B)の値を見て選定すること</t>
    <rPh sb="8" eb="9">
      <t>アタイ</t>
    </rPh>
    <rPh sb="10" eb="11">
      <t>ミ</t>
    </rPh>
    <rPh sb="12" eb="14">
      <t>センテイ</t>
    </rPh>
    <phoneticPr fontId="2"/>
  </si>
  <si>
    <t>Machine</t>
    <phoneticPr fontId="3"/>
  </si>
  <si>
    <t>STOPPER</t>
  </si>
  <si>
    <t>JAW</t>
    <phoneticPr fontId="3"/>
  </si>
  <si>
    <t>BACK PLATE</t>
    <phoneticPr fontId="3"/>
  </si>
  <si>
    <t>QUILL</t>
    <phoneticPr fontId="3"/>
  </si>
  <si>
    <t>WHEEL</t>
  </si>
  <si>
    <t>4906-04-</t>
  </si>
  <si>
    <t>ID GRIND</t>
    <phoneticPr fontId="2"/>
  </si>
  <si>
    <t>KS-B80</t>
    <phoneticPr fontId="3"/>
  </si>
  <si>
    <t>QUILL BOLT</t>
    <phoneticPr fontId="2"/>
  </si>
  <si>
    <t>4021-04-</t>
    <phoneticPr fontId="2"/>
  </si>
  <si>
    <t>4021-01-</t>
    <phoneticPr fontId="2"/>
  </si>
  <si>
    <t>4021-03-</t>
    <phoneticPr fontId="2"/>
  </si>
  <si>
    <t>4021-02-</t>
    <phoneticPr fontId="2"/>
  </si>
  <si>
    <t>型式にFがつく場合選定する</t>
    <rPh sb="0" eb="2">
      <t>カタシキ</t>
    </rPh>
    <rPh sb="7" eb="9">
      <t>バアイ</t>
    </rPh>
    <rPh sb="9" eb="11">
      <t>センテイ</t>
    </rPh>
    <phoneticPr fontId="2"/>
  </si>
  <si>
    <t>型式にHとFがつく場合選定する</t>
    <rPh sb="0" eb="2">
      <t>カタシキ</t>
    </rPh>
    <rPh sb="9" eb="11">
      <t>バアイ</t>
    </rPh>
    <rPh sb="11" eb="13">
      <t>センテイ</t>
    </rPh>
    <phoneticPr fontId="2"/>
  </si>
  <si>
    <t>型式にFがつかない場合選定する</t>
    <rPh sb="0" eb="2">
      <t>カタシキ</t>
    </rPh>
    <rPh sb="9" eb="11">
      <t>バアイ</t>
    </rPh>
    <rPh sb="11" eb="13">
      <t>センテイ</t>
    </rPh>
    <phoneticPr fontId="2"/>
  </si>
  <si>
    <t>KN-312A</t>
  </si>
  <si>
    <t>NUT</t>
  </si>
  <si>
    <t>4828-01-</t>
    <phoneticPr fontId="3"/>
  </si>
  <si>
    <t>SPHERICAL
GRIND</t>
    <phoneticPr fontId="2"/>
  </si>
  <si>
    <t>WRIST END</t>
    <phoneticPr fontId="2"/>
  </si>
  <si>
    <t>BA</t>
    <phoneticPr fontId="2"/>
  </si>
  <si>
    <t>WRIST END ASSY</t>
    <phoneticPr fontId="2"/>
  </si>
  <si>
    <t>CENTER RING-0031なら-0011 それ以外なら-0012</t>
    <rPh sb="26" eb="28">
      <t>イガイ</t>
    </rPh>
    <phoneticPr fontId="3"/>
  </si>
  <si>
    <t>ROLLER SHOE ASSY の子部品</t>
    <rPh sb="18" eb="19">
      <t>コ</t>
    </rPh>
    <rPh sb="19" eb="21">
      <t>ブヒン</t>
    </rPh>
    <phoneticPr fontId="2"/>
  </si>
  <si>
    <t>N/C</t>
    <phoneticPr fontId="2"/>
  </si>
  <si>
    <t>TEFLON BONDING</t>
    <phoneticPr fontId="2"/>
  </si>
  <si>
    <t>BONDING ARBOR</t>
    <phoneticPr fontId="2"/>
  </si>
  <si>
    <t>BONDING ARBOR</t>
    <phoneticPr fontId="3"/>
  </si>
  <si>
    <t>BONDING PLATE</t>
    <phoneticPr fontId="3"/>
  </si>
  <si>
    <t>PIN</t>
    <phoneticPr fontId="2"/>
  </si>
  <si>
    <t>FLONT PLATEとTYPE一致のこと</t>
    <rPh sb="16" eb="18">
      <t>イッチ</t>
    </rPh>
    <phoneticPr fontId="2"/>
  </si>
  <si>
    <t>○</t>
    <phoneticPr fontId="2"/>
  </si>
  <si>
    <t>極力既存品から選択する(A寸法        TYPE     )</t>
    <rPh sb="0" eb="2">
      <t>キョクリョク</t>
    </rPh>
    <rPh sb="2" eb="4">
      <t>キゾン</t>
    </rPh>
    <rPh sb="4" eb="5">
      <t>ヒン</t>
    </rPh>
    <rPh sb="7" eb="9">
      <t>センタク</t>
    </rPh>
    <rPh sb="13" eb="15">
      <t>スンポウ</t>
    </rPh>
    <phoneticPr fontId="3"/>
  </si>
  <si>
    <t>極力既存品から選択する(TYPE     )</t>
    <rPh sb="0" eb="2">
      <t>キョクリョク</t>
    </rPh>
    <rPh sb="2" eb="4">
      <t>キゾン</t>
    </rPh>
    <rPh sb="4" eb="5">
      <t>ヒン</t>
    </rPh>
    <rPh sb="7" eb="9">
      <t>センタク</t>
    </rPh>
    <phoneticPr fontId="3"/>
  </si>
  <si>
    <t>CLAMP PIECE</t>
  </si>
  <si>
    <t>4571-01-</t>
    <phoneticPr fontId="2"/>
  </si>
  <si>
    <t>4571-02-</t>
    <phoneticPr fontId="2"/>
  </si>
  <si>
    <t>9901-09-</t>
    <phoneticPr fontId="2"/>
  </si>
  <si>
    <t>TURN SPH. OD
(X-100)</t>
    <phoneticPr fontId="2"/>
  </si>
  <si>
    <t>4857-01-</t>
    <phoneticPr fontId="2"/>
  </si>
  <si>
    <t>4857-02-</t>
    <phoneticPr fontId="2"/>
  </si>
  <si>
    <t>4857-03-</t>
    <phoneticPr fontId="2"/>
  </si>
  <si>
    <t>4857-04-</t>
    <phoneticPr fontId="2"/>
  </si>
  <si>
    <t>TUBE による。いづれかを選択のこと。
NT-4 ： 0002
NT-6 ： 0003
NT-8 ： 0004</t>
    <rPh sb="14" eb="16">
      <t>センタク</t>
    </rPh>
    <phoneticPr fontId="3"/>
  </si>
  <si>
    <t>技術課作図</t>
    <rPh sb="0" eb="2">
      <t>ギジュツ</t>
    </rPh>
    <rPh sb="2" eb="3">
      <t>カ</t>
    </rPh>
    <rPh sb="3" eb="5">
      <t>サクズ</t>
    </rPh>
    <phoneticPr fontId="2"/>
  </si>
  <si>
    <t>1) サイズ≧#08且つ、長さコード≧050
2) 全サイズ長さコード≧100</t>
    <rPh sb="10" eb="11">
      <t>カ</t>
    </rPh>
    <rPh sb="13" eb="14">
      <t>ナガ</t>
    </rPh>
    <rPh sb="26" eb="27">
      <t>ゼン</t>
    </rPh>
    <rPh sb="30" eb="31">
      <t>ナガ</t>
    </rPh>
    <phoneticPr fontId="2"/>
  </si>
  <si>
    <t>LIFTER GUIDEの子部品/オーダーリスト：2PCS</t>
    <rPh sb="13" eb="14">
      <t>コ</t>
    </rPh>
    <rPh sb="14" eb="16">
      <t>ブヒン</t>
    </rPh>
    <phoneticPr fontId="14"/>
  </si>
  <si>
    <t>巾ラップ工程が無い場合に選定</t>
    <rPh sb="0" eb="1">
      <t>ハバ</t>
    </rPh>
    <rPh sb="4" eb="6">
      <t>コウテイ</t>
    </rPh>
    <rPh sb="7" eb="8">
      <t>ナ</t>
    </rPh>
    <rPh sb="9" eb="11">
      <t>バアイ</t>
    </rPh>
    <rPh sb="12" eb="14">
      <t>センテイ</t>
    </rPh>
    <phoneticPr fontId="14"/>
  </si>
  <si>
    <t>○</t>
    <phoneticPr fontId="14"/>
  </si>
  <si>
    <t>量産/内径のみサンドブラストが要求される物に選定</t>
    <rPh sb="0" eb="2">
      <t>リョウサン</t>
    </rPh>
    <rPh sb="3" eb="5">
      <t>ナイケイ</t>
    </rPh>
    <rPh sb="15" eb="17">
      <t>ヨウキュウ</t>
    </rPh>
    <rPh sb="20" eb="21">
      <t>モノ</t>
    </rPh>
    <rPh sb="22" eb="24">
      <t>センテイ</t>
    </rPh>
    <phoneticPr fontId="14"/>
  </si>
  <si>
    <t>全面サンドブラストの場合、選定不要</t>
    <rPh sb="0" eb="2">
      <t>ゼンメン</t>
    </rPh>
    <rPh sb="10" eb="12">
      <t>バアイ</t>
    </rPh>
    <rPh sb="13" eb="15">
      <t>センテイ</t>
    </rPh>
    <rPh sb="15" eb="17">
      <t>フヨウ</t>
    </rPh>
    <phoneticPr fontId="14"/>
  </si>
  <si>
    <t>JAW</t>
  </si>
  <si>
    <t>GAUGE</t>
  </si>
  <si>
    <t>BACKING PLATE</t>
  </si>
  <si>
    <t>KN-113A改造
(3つ爪チャック)</t>
    <rPh sb="7" eb="9">
      <t>カイゾウ</t>
    </rPh>
    <rPh sb="13" eb="14">
      <t>ツメ</t>
    </rPh>
    <phoneticPr fontId="14"/>
  </si>
  <si>
    <t>KN-113A
(2つ爪チャック)</t>
    <rPh sb="11" eb="12">
      <t>ツメ</t>
    </rPh>
    <phoneticPr fontId="14"/>
  </si>
  <si>
    <t>新設計</t>
    <rPh sb="0" eb="3">
      <t>シンセッケイ</t>
    </rPh>
    <phoneticPr fontId="14"/>
  </si>
  <si>
    <t>2017/04/03より選定/設計しないこと。</t>
    <rPh sb="12" eb="14">
      <t>センテイ</t>
    </rPh>
    <rPh sb="15" eb="17">
      <t>セッケイ</t>
    </rPh>
    <phoneticPr fontId="14"/>
  </si>
  <si>
    <t>ワーク＜40且つピン=5：12本/SET
ワーク＜40且つピン10：9本/SET
40＜ワーク且つピン10：6本/SET
40＜ワーク且つピン15：4本/SET</t>
    <rPh sb="6" eb="7">
      <t>カ</t>
    </rPh>
    <rPh sb="15" eb="16">
      <t>ホン</t>
    </rPh>
    <phoneticPr fontId="14"/>
  </si>
  <si>
    <t>理研精機より見積もり</t>
    <rPh sb="0" eb="1">
      <t>リ</t>
    </rPh>
    <rPh sb="1" eb="2">
      <t>ケン</t>
    </rPh>
    <rPh sb="2" eb="4">
      <t>セイキ</t>
    </rPh>
    <rPh sb="6" eb="8">
      <t>ミツ</t>
    </rPh>
    <phoneticPr fontId="14"/>
  </si>
  <si>
    <t>必要な冶具確認中</t>
    <rPh sb="0" eb="2">
      <t>ヒツヨウ</t>
    </rPh>
    <rPh sb="3" eb="4">
      <t>ジ</t>
    </rPh>
    <rPh sb="4" eb="5">
      <t>グ</t>
    </rPh>
    <rPh sb="5" eb="7">
      <t>カクニン</t>
    </rPh>
    <rPh sb="7" eb="8">
      <t>チュウ</t>
    </rPh>
    <phoneticPr fontId="14"/>
  </si>
  <si>
    <t>2017/10/06現在設計不要</t>
    <rPh sb="10" eb="12">
      <t>ゲンザイ</t>
    </rPh>
    <rPh sb="12" eb="14">
      <t>セッケイ</t>
    </rPh>
    <rPh sb="14" eb="16">
      <t>フヨウ</t>
    </rPh>
    <phoneticPr fontId="14"/>
  </si>
  <si>
    <t>ワーク巾&lt;5 or ワーク巾&lt;（ワーク外径/3）の場合選定</t>
    <rPh sb="3" eb="4">
      <t>ハバ</t>
    </rPh>
    <rPh sb="13" eb="14">
      <t>ハバ</t>
    </rPh>
    <rPh sb="19" eb="20">
      <t>ガイ</t>
    </rPh>
    <rPh sb="20" eb="21">
      <t>ケイ</t>
    </rPh>
    <rPh sb="25" eb="27">
      <t>バアイ</t>
    </rPh>
    <rPh sb="27" eb="29">
      <t>センテイ</t>
    </rPh>
    <phoneticPr fontId="2"/>
  </si>
  <si>
    <t>○</t>
    <phoneticPr fontId="2"/>
  </si>
  <si>
    <t>△</t>
    <phoneticPr fontId="2"/>
  </si>
  <si>
    <r>
      <t>(△</t>
    </r>
    <r>
      <rPr>
        <sz val="11"/>
        <color indexed="8"/>
        <rFont val="ＭＳ Ｐゴシック"/>
        <family val="3"/>
        <charset val="128"/>
      </rPr>
      <t>1</t>
    </r>
    <r>
      <rPr>
        <sz val="11"/>
        <color indexed="8"/>
        <rFont val="ＭＳ Ｐゴシック"/>
        <family val="3"/>
        <charset val="128"/>
      </rPr>
      <t>)</t>
    </r>
    <phoneticPr fontId="2"/>
  </si>
  <si>
    <t>(△2)</t>
    <phoneticPr fontId="2"/>
  </si>
  <si>
    <t>←左記がある
場合は△2より
優先</t>
    <rPh sb="1" eb="3">
      <t>サキ</t>
    </rPh>
    <rPh sb="7" eb="9">
      <t>バアイ</t>
    </rPh>
    <rPh sb="15" eb="17">
      <t>ユウセン</t>
    </rPh>
    <phoneticPr fontId="2"/>
  </si>
  <si>
    <t>20＜OD≦40, 14＜W＜26,
(条件満足できない場合は自動供給不可)</t>
    <rPh sb="20" eb="22">
      <t>ジョウケン</t>
    </rPh>
    <rPh sb="22" eb="24">
      <t>マンゾク</t>
    </rPh>
    <rPh sb="28" eb="30">
      <t>バアイ</t>
    </rPh>
    <rPh sb="31" eb="33">
      <t>ジドウ</t>
    </rPh>
    <rPh sb="33" eb="35">
      <t>キョウキュウ</t>
    </rPh>
    <rPh sb="35" eb="37">
      <t>フカ</t>
    </rPh>
    <phoneticPr fontId="2"/>
  </si>
  <si>
    <t>自動供給
可　・　不可</t>
    <rPh sb="0" eb="2">
      <t>ジドウ</t>
    </rPh>
    <rPh sb="2" eb="4">
      <t>キョウキュウ</t>
    </rPh>
    <rPh sb="5" eb="6">
      <t>カ</t>
    </rPh>
    <rPh sb="9" eb="11">
      <t>フカ</t>
    </rPh>
    <phoneticPr fontId="14"/>
  </si>
  <si>
    <t>技術課作図
(ゴムスタンプのみ)</t>
    <rPh sb="0" eb="2">
      <t>ギジュツ</t>
    </rPh>
    <rPh sb="2" eb="3">
      <t>カ</t>
    </rPh>
    <rPh sb="3" eb="5">
      <t>サクズ</t>
    </rPh>
    <phoneticPr fontId="2"/>
  </si>
  <si>
    <t>油穴BALLはマスターボールタイプ選択、
内径がFRONT PLATE A寸法と同じこと</t>
    <rPh sb="0" eb="1">
      <t>アブラ</t>
    </rPh>
    <rPh sb="1" eb="2">
      <t>アナ</t>
    </rPh>
    <rPh sb="17" eb="19">
      <t>センタク</t>
    </rPh>
    <rPh sb="21" eb="23">
      <t>ナイケイ</t>
    </rPh>
    <rPh sb="37" eb="39">
      <t>スンポウ</t>
    </rPh>
    <rPh sb="40" eb="41">
      <t>オナ</t>
    </rPh>
    <phoneticPr fontId="2"/>
  </si>
  <si>
    <t>選定したAC ADAPTERに対応のこと</t>
    <rPh sb="0" eb="2">
      <t>センテイ</t>
    </rPh>
    <rPh sb="15" eb="17">
      <t>タイオウ</t>
    </rPh>
    <phoneticPr fontId="14"/>
  </si>
  <si>
    <t>現状-0001のみ</t>
    <rPh sb="0" eb="2">
      <t>ゲンジョウ</t>
    </rPh>
    <phoneticPr fontId="14"/>
  </si>
  <si>
    <t>砥石外径より内径が大きいこと</t>
    <rPh sb="0" eb="2">
      <t>トイシ</t>
    </rPh>
    <rPh sb="2" eb="3">
      <t>ガイ</t>
    </rPh>
    <rPh sb="3" eb="4">
      <t>ケイ</t>
    </rPh>
    <rPh sb="6" eb="8">
      <t>ナイケイ</t>
    </rPh>
    <rPh sb="9" eb="10">
      <t>オオ</t>
    </rPh>
    <phoneticPr fontId="14"/>
  </si>
  <si>
    <t>MILL KEYWAY</t>
    <phoneticPr fontId="14"/>
  </si>
  <si>
    <t>TFE：X-1820の場合選定</t>
    <phoneticPr fontId="14"/>
  </si>
  <si>
    <t>OKK</t>
    <phoneticPr fontId="14"/>
  </si>
  <si>
    <t>○</t>
    <phoneticPr fontId="14"/>
  </si>
  <si>
    <t>FTLでD切削のみの加工は行いません
永沼さん確認済20171130</t>
    <rPh sb="19" eb="21">
      <t>ナガヌマ</t>
    </rPh>
    <rPh sb="23" eb="25">
      <t>カクニン</t>
    </rPh>
    <rPh sb="25" eb="26">
      <t>ズ</t>
    </rPh>
    <phoneticPr fontId="14"/>
  </si>
  <si>
    <t>FTLでD切削のみの加工は行いません
永沼さん確認済20171130</t>
    <phoneticPr fontId="14"/>
  </si>
  <si>
    <r>
      <t>積極的なF</t>
    </r>
    <r>
      <rPr>
        <sz val="11"/>
        <color indexed="8"/>
        <rFont val="ＭＳ Ｐゴシック"/>
        <family val="3"/>
        <charset val="128"/>
      </rPr>
      <t>TL機の選定は行いません
小林さん確認済20171201</t>
    </r>
    <rPh sb="0" eb="3">
      <t>セッキョクテキ</t>
    </rPh>
    <rPh sb="7" eb="8">
      <t>キ</t>
    </rPh>
    <rPh sb="9" eb="11">
      <t>センテイ</t>
    </rPh>
    <rPh sb="12" eb="13">
      <t>オコナ</t>
    </rPh>
    <rPh sb="18" eb="20">
      <t>コバヤシ</t>
    </rPh>
    <rPh sb="22" eb="24">
      <t>カクニン</t>
    </rPh>
    <rPh sb="24" eb="25">
      <t>ズ</t>
    </rPh>
    <phoneticPr fontId="14"/>
  </si>
  <si>
    <t>積極的なFTL機の選定は行いません
小林さん確認済20171201</t>
    <phoneticPr fontId="2"/>
  </si>
  <si>
    <t>注記：球研KN-312Aは手動機です。"つなぎR要求可"です。</t>
    <rPh sb="0" eb="2">
      <t>チュウキ</t>
    </rPh>
    <rPh sb="3" eb="4">
      <t>キュウ</t>
    </rPh>
    <rPh sb="4" eb="5">
      <t>ケン</t>
    </rPh>
    <rPh sb="13" eb="15">
      <t>シュドウ</t>
    </rPh>
    <rPh sb="15" eb="16">
      <t>キ</t>
    </rPh>
    <rPh sb="24" eb="26">
      <t>ヨウキュウ</t>
    </rPh>
    <rPh sb="26" eb="27">
      <t>カ</t>
    </rPh>
    <phoneticPr fontId="14"/>
  </si>
  <si>
    <t>注記：球研KS-400B5は"内研が先"、"非磁性"、"数物(月1000個程度)"、"つなぎR要求可"のものと限定</t>
    <rPh sb="0" eb="2">
      <t>チュウキ</t>
    </rPh>
    <rPh sb="3" eb="4">
      <t>キュウ</t>
    </rPh>
    <rPh sb="4" eb="5">
      <t>ケン</t>
    </rPh>
    <rPh sb="15" eb="16">
      <t>ナイ</t>
    </rPh>
    <rPh sb="16" eb="17">
      <t>ケン</t>
    </rPh>
    <rPh sb="18" eb="19">
      <t>サキ</t>
    </rPh>
    <rPh sb="22" eb="23">
      <t>ヒ</t>
    </rPh>
    <rPh sb="23" eb="25">
      <t>ジセイ</t>
    </rPh>
    <rPh sb="28" eb="29">
      <t>カズ</t>
    </rPh>
    <rPh sb="29" eb="30">
      <t>モノ</t>
    </rPh>
    <rPh sb="31" eb="32">
      <t>ツキ</t>
    </rPh>
    <rPh sb="36" eb="37">
      <t>コ</t>
    </rPh>
    <rPh sb="37" eb="39">
      <t>テイド</t>
    </rPh>
    <rPh sb="47" eb="49">
      <t>ヨウキュウ</t>
    </rPh>
    <rPh sb="49" eb="50">
      <t>カ</t>
    </rPh>
    <rPh sb="55" eb="57">
      <t>ゲンテイ</t>
    </rPh>
    <phoneticPr fontId="14"/>
  </si>
  <si>
    <t>内径(ストレート)研磨について
現状移管はできません。設備導入の話もないため、内径研磨前の工程で選定するよう願います。(20171205TNKI)</t>
    <rPh sb="0" eb="2">
      <t>ナイケイ</t>
    </rPh>
    <rPh sb="9" eb="11">
      <t>ケンマ</t>
    </rPh>
    <rPh sb="16" eb="18">
      <t>ゲンジョウ</t>
    </rPh>
    <rPh sb="18" eb="20">
      <t>イカン</t>
    </rPh>
    <rPh sb="27" eb="29">
      <t>セツビ</t>
    </rPh>
    <rPh sb="29" eb="31">
      <t>ドウニュウ</t>
    </rPh>
    <rPh sb="32" eb="33">
      <t>ハナシ</t>
    </rPh>
    <rPh sb="39" eb="41">
      <t>ナイケイ</t>
    </rPh>
    <rPh sb="41" eb="43">
      <t>ケンマ</t>
    </rPh>
    <rPh sb="43" eb="44">
      <t>マエ</t>
    </rPh>
    <rPh sb="45" eb="47">
      <t>コウテイ</t>
    </rPh>
    <rPh sb="48" eb="50">
      <t>センテイ</t>
    </rPh>
    <rPh sb="54" eb="55">
      <t>ネガ</t>
    </rPh>
    <phoneticPr fontId="2"/>
  </si>
  <si>
    <t>RACE PUSHER</t>
    <phoneticPr fontId="14"/>
  </si>
  <si>
    <t>4560-18-</t>
    <phoneticPr fontId="14"/>
  </si>
  <si>
    <t>4907-06-0001：0001
4907-06-0002：0002
4907-06-0003：0003</t>
    <phoneticPr fontId="14"/>
  </si>
  <si>
    <t>4691-03、AC8100-8300：0001
AC8400-8500：0002</t>
    <phoneticPr fontId="14"/>
  </si>
  <si>
    <t>4560-18-</t>
  </si>
  <si>
    <t>4560-21-</t>
  </si>
  <si>
    <t>DT/組切削のみ</t>
    <rPh sb="3" eb="4">
      <t>クミ</t>
    </rPh>
    <rPh sb="4" eb="6">
      <t>セッサク</t>
    </rPh>
    <phoneticPr fontId="2"/>
  </si>
  <si>
    <t>NMF-</t>
    <phoneticPr fontId="2"/>
  </si>
  <si>
    <t>U:\製造技術\yamamoto\設計基準・寸法・在庫データ\バイト_三栄精工インサート（坂本）</t>
    <phoneticPr fontId="2"/>
  </si>
  <si>
    <t>※検査治具リスト・エクセル有。入力後、RODEND DOCUMENTの"移管データフォルダ(資料)"に更新すること。</t>
    <rPh sb="1" eb="3">
      <t>ケンサ</t>
    </rPh>
    <rPh sb="3" eb="4">
      <t>ジ</t>
    </rPh>
    <rPh sb="4" eb="5">
      <t>グ</t>
    </rPh>
    <rPh sb="13" eb="14">
      <t>アリ</t>
    </rPh>
    <rPh sb="15" eb="17">
      <t>ニュウリョク</t>
    </rPh>
    <rPh sb="17" eb="18">
      <t>ゴ</t>
    </rPh>
    <rPh sb="36" eb="38">
      <t>イカン</t>
    </rPh>
    <rPh sb="46" eb="48">
      <t>シリョウ</t>
    </rPh>
    <rPh sb="51" eb="53">
      <t>コウシン</t>
    </rPh>
    <phoneticPr fontId="14"/>
  </si>
  <si>
    <t>Machine</t>
    <phoneticPr fontId="14"/>
  </si>
  <si>
    <t>#BS-24</t>
    <phoneticPr fontId="2"/>
  </si>
  <si>
    <t>BLANK
HEAD</t>
    <phoneticPr fontId="3"/>
  </si>
  <si>
    <t>ボール入りインナーレース</t>
    <phoneticPr fontId="14"/>
  </si>
  <si>
    <t>レシプロ－ボール</t>
    <phoneticPr fontId="14"/>
  </si>
  <si>
    <t>BALL入りRD</t>
    <rPh sb="4" eb="5">
      <t>イ</t>
    </rPh>
    <phoneticPr fontId="14"/>
  </si>
  <si>
    <t>MASKING BASE(1)</t>
    <phoneticPr fontId="2"/>
  </si>
  <si>
    <t>MASKING BASE(2)</t>
    <phoneticPr fontId="2"/>
  </si>
  <si>
    <t>PLATE</t>
    <phoneticPr fontId="2"/>
  </si>
  <si>
    <t>※1："RACE_SLEEVE TOOLING LIST"並びに"掲示板 RODEND DOCUMENT"には記載しない。</t>
    <phoneticPr fontId="14"/>
  </si>
  <si>
    <r>
      <t xml:space="preserve"> </t>
    </r>
    <r>
      <rPr>
        <sz val="11"/>
        <color indexed="8"/>
        <rFont val="ＭＳ Ｐゴシック"/>
        <family val="3"/>
        <charset val="128"/>
      </rPr>
      <t xml:space="preserve">     </t>
    </r>
    <r>
      <rPr>
        <sz val="11"/>
        <color indexed="8"/>
        <rFont val="ＭＳ Ｐゴシック"/>
        <family val="3"/>
        <charset val="128"/>
      </rPr>
      <t>-66のBONDING PLATEが届き次第、-38の旧BONDING PLATEはD1から削除すること</t>
    </r>
    <phoneticPr fontId="14"/>
  </si>
  <si>
    <r>
      <t xml:space="preserve">TEFLON BONDING
</t>
    </r>
    <r>
      <rPr>
        <b/>
        <sz val="14"/>
        <color indexed="8"/>
        <rFont val="ＭＳ Ｐゴシック"/>
        <family val="3"/>
        <charset val="128"/>
      </rPr>
      <t>※2,3</t>
    </r>
    <phoneticPr fontId="3"/>
  </si>
  <si>
    <t>※3：バー材加工限界はφ80までとする。</t>
    <rPh sb="5" eb="6">
      <t>ザイ</t>
    </rPh>
    <rPh sb="6" eb="8">
      <t>カコウ</t>
    </rPh>
    <rPh sb="8" eb="10">
      <t>ゲンカイ</t>
    </rPh>
    <phoneticPr fontId="14"/>
  </si>
  <si>
    <t xml:space="preserve">※2：AHJ/AHJFのCRESS材の場合は～#24, AHJ/AHJFのALUMINIUM材の場合は～#16 
</t>
    <phoneticPr fontId="14"/>
  </si>
  <si>
    <t>※1：バーフィーダーの加工限界は～φ80とする。現状横溝同時加工はできるが、設備キャパ的に困難(201803013)</t>
    <rPh sb="11" eb="13">
      <t>カコウ</t>
    </rPh>
    <rPh sb="13" eb="15">
      <t>ゲンカイ</t>
    </rPh>
    <rPh sb="24" eb="26">
      <t>ゲンジョウ</t>
    </rPh>
    <rPh sb="26" eb="28">
      <t>ヨコミゾ</t>
    </rPh>
    <rPh sb="28" eb="30">
      <t>ドウジ</t>
    </rPh>
    <rPh sb="30" eb="32">
      <t>カコウ</t>
    </rPh>
    <rPh sb="38" eb="40">
      <t>セツビ</t>
    </rPh>
    <rPh sb="43" eb="44">
      <t>テキ</t>
    </rPh>
    <rPh sb="45" eb="47">
      <t>コンナン</t>
    </rPh>
    <phoneticPr fontId="2"/>
  </si>
  <si>
    <t>data
base</t>
    <phoneticPr fontId="14"/>
  </si>
  <si>
    <t>4007-01-</t>
    <phoneticPr fontId="2"/>
  </si>
  <si>
    <t>W/M</t>
    <phoneticPr fontId="14"/>
  </si>
  <si>
    <t>4007-10-</t>
    <phoneticPr fontId="3"/>
  </si>
  <si>
    <t>リンク先</t>
    <rPh sb="3" eb="4">
      <t>サキ</t>
    </rPh>
    <phoneticPr fontId="14"/>
  </si>
  <si>
    <t>BODY COLLET</t>
    <phoneticPr fontId="3"/>
  </si>
  <si>
    <t>4009-01-</t>
    <phoneticPr fontId="3"/>
  </si>
  <si>
    <t>4651-20-</t>
    <phoneticPr fontId="3"/>
  </si>
  <si>
    <t>MXC-</t>
    <phoneticPr fontId="3"/>
  </si>
  <si>
    <t>ASSY</t>
    <phoneticPr fontId="3"/>
  </si>
  <si>
    <t>ARBOR</t>
    <phoneticPr fontId="3"/>
  </si>
  <si>
    <t>BLOCK</t>
    <phoneticPr fontId="3"/>
  </si>
  <si>
    <t>COLLAR</t>
    <phoneticPr fontId="3"/>
  </si>
  <si>
    <t>SPACER</t>
    <phoneticPr fontId="3"/>
  </si>
  <si>
    <t>EXCEL</t>
    <phoneticPr fontId="14"/>
  </si>
  <si>
    <t>U:\製造技術\yamamoto\設計基準・寸法・在庫データ\切削_巾切削_BBS金明（百瀬）\20170804_TOOLING%20LIST_BBS%20KINMEI.xlsx</t>
    <phoneticPr fontId="14"/>
  </si>
  <si>
    <t>4649-03-</t>
  </si>
  <si>
    <t>4007-01-</t>
  </si>
  <si>
    <t>4651-12-</t>
  </si>
  <si>
    <t>4863-01-</t>
  </si>
  <si>
    <t>4863-02-</t>
  </si>
  <si>
    <t>Q-51-</t>
  </si>
  <si>
    <t>MXC-</t>
  </si>
  <si>
    <t>4800-57-</t>
  </si>
  <si>
    <t>X-52-</t>
  </si>
  <si>
    <t>4671-03-</t>
  </si>
  <si>
    <t>4853-07-</t>
  </si>
  <si>
    <t>4671-05-</t>
  </si>
  <si>
    <t>4853-05-</t>
  </si>
  <si>
    <t>4800-42-</t>
  </si>
  <si>
    <t>4815-02-</t>
  </si>
  <si>
    <t>4853-01-</t>
  </si>
  <si>
    <t>4853-03-</t>
  </si>
  <si>
    <t>4853-10-</t>
  </si>
  <si>
    <t>4853-11-</t>
  </si>
  <si>
    <t>9901-22-</t>
  </si>
  <si>
    <t>BA</t>
  </si>
  <si>
    <t>4556-01-</t>
  </si>
  <si>
    <t>4866-14-</t>
  </si>
  <si>
    <t>4564-03-</t>
  </si>
  <si>
    <t>4541-11-</t>
  </si>
  <si>
    <t>4541-12-</t>
  </si>
  <si>
    <t>4800-66-</t>
  </si>
  <si>
    <t>4800-38-</t>
  </si>
  <si>
    <t>4021-01-</t>
  </si>
  <si>
    <t>4021-02-</t>
  </si>
  <si>
    <t>4021-03-</t>
  </si>
  <si>
    <t>4021-04-</t>
  </si>
  <si>
    <t>-01</t>
    <phoneticPr fontId="14"/>
  </si>
  <si>
    <t>-02</t>
    <phoneticPr fontId="14"/>
  </si>
  <si>
    <t>4693-05-</t>
  </si>
  <si>
    <t>4800-43-</t>
  </si>
  <si>
    <t>MILL</t>
    <phoneticPr fontId="3"/>
  </si>
  <si>
    <t>BODY COLLET</t>
    <phoneticPr fontId="3"/>
  </si>
  <si>
    <t>W/M</t>
    <phoneticPr fontId="14"/>
  </si>
  <si>
    <t>MILL</t>
    <phoneticPr fontId="3"/>
  </si>
  <si>
    <t>HYDRA GRIP</t>
    <phoneticPr fontId="3"/>
  </si>
  <si>
    <r>
      <t>B</t>
    </r>
    <r>
      <rPr>
        <sz val="14"/>
        <color indexed="8"/>
        <rFont val="ＭＳ Ｐゴシック"/>
        <family val="3"/>
        <charset val="128"/>
      </rPr>
      <t>ODY HOLDER</t>
    </r>
    <phoneticPr fontId="3"/>
  </si>
  <si>
    <t>4651-12-</t>
    <phoneticPr fontId="3"/>
  </si>
  <si>
    <r>
      <t>C</t>
    </r>
    <r>
      <rPr>
        <sz val="14"/>
        <color indexed="8"/>
        <rFont val="ＭＳ Ｐゴシック"/>
        <family val="3"/>
        <charset val="128"/>
      </rPr>
      <t>LAMP PLATE</t>
    </r>
    <phoneticPr fontId="3"/>
  </si>
  <si>
    <t>4651-13-</t>
    <phoneticPr fontId="3"/>
  </si>
  <si>
    <t>FINISH ID
CHAMFER</t>
    <phoneticPr fontId="3"/>
  </si>
  <si>
    <r>
      <t>I</t>
    </r>
    <r>
      <rPr>
        <sz val="14"/>
        <color indexed="8"/>
        <rFont val="ＭＳ Ｐゴシック"/>
        <family val="3"/>
        <charset val="128"/>
      </rPr>
      <t>NSERT</t>
    </r>
    <phoneticPr fontId="3"/>
  </si>
  <si>
    <t>Q-51-</t>
    <phoneticPr fontId="3"/>
  </si>
  <si>
    <t>MXC-</t>
    <phoneticPr fontId="3"/>
  </si>
  <si>
    <t>ASSY</t>
    <phoneticPr fontId="3"/>
  </si>
  <si>
    <t>4693-05-</t>
    <phoneticPr fontId="14"/>
  </si>
  <si>
    <t>-99</t>
    <phoneticPr fontId="14"/>
  </si>
  <si>
    <t>ARBOR</t>
    <phoneticPr fontId="3"/>
  </si>
  <si>
    <t>-01</t>
    <phoneticPr fontId="14"/>
  </si>
  <si>
    <t>BLOCK</t>
    <phoneticPr fontId="3"/>
  </si>
  <si>
    <t>-02</t>
    <phoneticPr fontId="14"/>
  </si>
  <si>
    <t>COLLAR</t>
    <phoneticPr fontId="3"/>
  </si>
  <si>
    <t>-03</t>
    <phoneticPr fontId="14"/>
  </si>
  <si>
    <t>SPACER</t>
    <phoneticPr fontId="3"/>
  </si>
  <si>
    <t>-04</t>
    <phoneticPr fontId="14"/>
  </si>
  <si>
    <t>THREAD ROLL</t>
    <phoneticPr fontId="3"/>
  </si>
  <si>
    <t>THREAD DICE</t>
    <phoneticPr fontId="2"/>
  </si>
  <si>
    <t>KNURING DICE</t>
    <phoneticPr fontId="2"/>
  </si>
  <si>
    <t>KEYWAY CUTTER</t>
    <phoneticPr fontId="3"/>
  </si>
  <si>
    <t>X-52-</t>
    <phoneticPr fontId="3"/>
  </si>
  <si>
    <t>4800-43-</t>
    <phoneticPr fontId="14"/>
  </si>
  <si>
    <r>
      <t>B</t>
    </r>
    <r>
      <rPr>
        <sz val="14"/>
        <color indexed="8"/>
        <rFont val="ＭＳ Ｐゴシック"/>
        <family val="3"/>
        <charset val="128"/>
      </rPr>
      <t>ODY HOLDER</t>
    </r>
    <phoneticPr fontId="3"/>
  </si>
  <si>
    <r>
      <t>C</t>
    </r>
    <r>
      <rPr>
        <sz val="14"/>
        <color indexed="8"/>
        <rFont val="ＭＳ Ｐゴシック"/>
        <family val="3"/>
        <charset val="128"/>
      </rPr>
      <t>LAMP PLATE</t>
    </r>
    <phoneticPr fontId="3"/>
  </si>
  <si>
    <r>
      <t>I</t>
    </r>
    <r>
      <rPr>
        <sz val="14"/>
        <color indexed="8"/>
        <rFont val="ＭＳ Ｐゴシック"/>
        <family val="3"/>
        <charset val="128"/>
      </rPr>
      <t>NSERT</t>
    </r>
    <phoneticPr fontId="3"/>
  </si>
  <si>
    <t>E_CODE</t>
    <phoneticPr fontId="14"/>
  </si>
  <si>
    <t>FINAL</t>
    <phoneticPr fontId="14"/>
  </si>
  <si>
    <t>U:\製造技術\yamamoto\設計基準・寸法・在庫データ\切削_巾切削_BBS金明（百瀬）\20170804_TOOLING%20LIST_BBS%20KINMEI.xlsx</t>
    <phoneticPr fontId="14"/>
  </si>
  <si>
    <t>U:\製造技術\yamamoto\設計基準・寸法・在庫データ\切削_ボディホルダー（薄型4651-20-00XX）（榊原）\20150714_TOOLING%20LIST_薄型ボディホルダー.xls</t>
    <phoneticPr fontId="14"/>
  </si>
  <si>
    <t>4001-01-</t>
    <phoneticPr fontId="14"/>
  </si>
  <si>
    <t>4853-06-</t>
  </si>
  <si>
    <t>4664-01-</t>
  </si>
  <si>
    <t>4664-02-</t>
  </si>
  <si>
    <t>4664-03-</t>
  </si>
  <si>
    <t>4664-06-</t>
  </si>
  <si>
    <t>4664-21-</t>
  </si>
  <si>
    <t>4664-22-</t>
  </si>
  <si>
    <t>4559-04-</t>
  </si>
  <si>
    <t>4559-40-</t>
  </si>
  <si>
    <t>4559-06-</t>
  </si>
  <si>
    <t>4559-41-</t>
  </si>
  <si>
    <t>4559-17-</t>
  </si>
  <si>
    <t>4559-18-</t>
  </si>
  <si>
    <t>4559-19-</t>
  </si>
  <si>
    <t>4559-20-</t>
  </si>
  <si>
    <t>4027-01-</t>
  </si>
  <si>
    <t>4027-02-</t>
  </si>
  <si>
    <t>4691-20-</t>
  </si>
  <si>
    <t>4691-01-</t>
  </si>
  <si>
    <t>4691-02-</t>
  </si>
  <si>
    <t>4691-04-</t>
  </si>
  <si>
    <t>4691-10-</t>
  </si>
  <si>
    <t>4691-03-</t>
  </si>
  <si>
    <t>AC-</t>
  </si>
  <si>
    <t>AC</t>
  </si>
  <si>
    <t>4907-01-</t>
  </si>
  <si>
    <t>4907-03-</t>
  </si>
  <si>
    <t>4828-01-</t>
  </si>
  <si>
    <t>4828-02-</t>
  </si>
  <si>
    <t>4030-02-</t>
  </si>
  <si>
    <t>4906-01-</t>
  </si>
  <si>
    <t>4906-02-</t>
  </si>
  <si>
    <t>4906-03-</t>
  </si>
  <si>
    <t>4906-05-</t>
  </si>
  <si>
    <t>4906-06-</t>
  </si>
  <si>
    <t>4906-08-</t>
  </si>
  <si>
    <t>4906-11-</t>
  </si>
  <si>
    <t>4906-12-</t>
  </si>
  <si>
    <t>4559-32-</t>
  </si>
  <si>
    <t>4559-39-</t>
  </si>
  <si>
    <t>4013-01-</t>
  </si>
  <si>
    <t>4013-02-</t>
  </si>
  <si>
    <t>4013-03-</t>
  </si>
  <si>
    <t>4852-13-</t>
  </si>
  <si>
    <t>4852-05-</t>
  </si>
  <si>
    <t>4837-08-</t>
  </si>
  <si>
    <t>4030-01-</t>
  </si>
  <si>
    <t>4571-01-</t>
  </si>
  <si>
    <t>4571-02-</t>
  </si>
  <si>
    <t>4571-03-</t>
  </si>
  <si>
    <t>9901-09-</t>
  </si>
  <si>
    <t>4857-01-</t>
  </si>
  <si>
    <t>4857-02-</t>
  </si>
  <si>
    <t>4857-03-</t>
  </si>
  <si>
    <t>4857-04-</t>
  </si>
  <si>
    <t>4879-04-</t>
  </si>
  <si>
    <t>4879-05-</t>
  </si>
  <si>
    <t>4879-02-</t>
  </si>
  <si>
    <t>4501-01-</t>
  </si>
  <si>
    <t>4501-02-</t>
  </si>
  <si>
    <t>4606-08-</t>
  </si>
  <si>
    <t>4606-10-</t>
  </si>
  <si>
    <t>9713-10-</t>
  </si>
  <si>
    <t>4639-02-</t>
  </si>
  <si>
    <t>4639-04-</t>
  </si>
  <si>
    <t>4858-22-</t>
  </si>
  <si>
    <t>4858-15-</t>
  </si>
  <si>
    <t>4858-17-</t>
  </si>
  <si>
    <t>4577-04-</t>
  </si>
  <si>
    <t>4574-01-</t>
  </si>
  <si>
    <t>4591-01-</t>
  </si>
  <si>
    <t>9764-03-</t>
  </si>
  <si>
    <t>9738-05-</t>
  </si>
  <si>
    <t>4800-31-</t>
  </si>
  <si>
    <t>4645-01-</t>
  </si>
  <si>
    <t>4645-02-</t>
  </si>
  <si>
    <t>4029-01-</t>
  </si>
  <si>
    <t>4029-02-</t>
  </si>
  <si>
    <t>4029-03-</t>
  </si>
  <si>
    <t>4029-04-</t>
  </si>
  <si>
    <t>4029-06-</t>
  </si>
  <si>
    <t>4029-07-</t>
  </si>
  <si>
    <t>4029-08-</t>
  </si>
  <si>
    <t>4029-09-</t>
  </si>
  <si>
    <t>4029-13-</t>
  </si>
  <si>
    <t>NT-</t>
  </si>
  <si>
    <t>4805-01-</t>
  </si>
  <si>
    <t>4805-03-</t>
  </si>
  <si>
    <t>4805-04-</t>
  </si>
  <si>
    <t>4805-05-</t>
  </si>
  <si>
    <t>4805-06-</t>
  </si>
  <si>
    <t>4805-07-</t>
  </si>
  <si>
    <t>4805-08-</t>
  </si>
  <si>
    <t>4805-09-</t>
  </si>
  <si>
    <t>4805-10-</t>
  </si>
  <si>
    <t>4805-11-</t>
  </si>
  <si>
    <t>F-51-</t>
  </si>
  <si>
    <t>4693-05-</t>
    <phoneticPr fontId="14"/>
  </si>
  <si>
    <t>4800-43-</t>
    <phoneticPr fontId="14"/>
  </si>
  <si>
    <t>4853-06-</t>
    <phoneticPr fontId="14"/>
  </si>
  <si>
    <t>4030-01-
4030-02-</t>
    <phoneticPr fontId="14"/>
  </si>
  <si>
    <t>4667-10-</t>
    <phoneticPr fontId="14"/>
  </si>
  <si>
    <t>4908-05-</t>
    <phoneticPr fontId="14"/>
  </si>
  <si>
    <t>4559-05-</t>
    <phoneticPr fontId="14"/>
  </si>
  <si>
    <t>4559-08-</t>
    <phoneticPr fontId="14"/>
  </si>
  <si>
    <t>4858-01-</t>
    <phoneticPr fontId="14"/>
  </si>
  <si>
    <t>4858-09-</t>
    <phoneticPr fontId="14"/>
  </si>
  <si>
    <t>4879-03-</t>
    <phoneticPr fontId="14"/>
  </si>
  <si>
    <t>4879-06-</t>
    <phoneticPr fontId="14"/>
  </si>
  <si>
    <t>7559-02-</t>
    <phoneticPr fontId="14"/>
  </si>
  <si>
    <t>9713-08-</t>
    <phoneticPr fontId="14"/>
  </si>
  <si>
    <t>9764-02-</t>
    <phoneticPr fontId="14"/>
  </si>
  <si>
    <t>\\pk4473\rdengnr\製造技術\DATABASE\TOOL寸法.mdb</t>
    <phoneticPr fontId="14"/>
  </si>
  <si>
    <t>ACCESS</t>
    <phoneticPr fontId="14"/>
  </si>
  <si>
    <t>-</t>
    <phoneticPr fontId="14"/>
  </si>
  <si>
    <t>W/M</t>
    <phoneticPr fontId="14"/>
  </si>
  <si>
    <t>EXCEL</t>
    <phoneticPr fontId="14"/>
  </si>
  <si>
    <t>-02</t>
    <phoneticPr fontId="2"/>
  </si>
  <si>
    <t>-99</t>
    <phoneticPr fontId="2"/>
  </si>
  <si>
    <t>-01</t>
    <phoneticPr fontId="2"/>
  </si>
  <si>
    <t>-03</t>
    <phoneticPr fontId="2"/>
  </si>
  <si>
    <t>-04</t>
    <phoneticPr fontId="2"/>
  </si>
  <si>
    <t>4001-01-</t>
    <phoneticPr fontId="3"/>
  </si>
  <si>
    <t>4693-05-</t>
    <phoneticPr fontId="2"/>
  </si>
  <si>
    <t>SHANK HOLDER</t>
    <phoneticPr fontId="3"/>
  </si>
  <si>
    <t>4649-03-</t>
    <phoneticPr fontId="3"/>
  </si>
  <si>
    <t>CHUCK JAW</t>
    <phoneticPr fontId="2"/>
  </si>
  <si>
    <t>MILL</t>
    <phoneticPr fontId="2"/>
  </si>
  <si>
    <t>4863-02-</t>
    <phoneticPr fontId="3"/>
  </si>
  <si>
    <t>KEYWAY CUTTER</t>
    <phoneticPr fontId="14"/>
  </si>
  <si>
    <t>X-52-</t>
    <phoneticPr fontId="14"/>
  </si>
  <si>
    <t>GAUGE</t>
    <phoneticPr fontId="14"/>
  </si>
  <si>
    <t>4853-07-</t>
    <phoneticPr fontId="14"/>
  </si>
  <si>
    <t>QUILL</t>
    <phoneticPr fontId="14"/>
  </si>
  <si>
    <t>WHEEL</t>
    <phoneticPr fontId="14"/>
  </si>
  <si>
    <t>4800-42-</t>
    <phoneticPr fontId="14"/>
  </si>
  <si>
    <t>Q-</t>
    <phoneticPr fontId="14"/>
  </si>
  <si>
    <t>-</t>
    <phoneticPr fontId="14"/>
  </si>
  <si>
    <t>Q-</t>
    <phoneticPr fontId="3"/>
  </si>
  <si>
    <t>-</t>
    <phoneticPr fontId="14"/>
  </si>
  <si>
    <t>-</t>
    <phoneticPr fontId="14"/>
  </si>
  <si>
    <t>GROOVE GRIND</t>
    <phoneticPr fontId="14"/>
  </si>
  <si>
    <t>NC CONTOUR</t>
    <phoneticPr fontId="3"/>
  </si>
  <si>
    <t>BODY HOLDER</t>
    <phoneticPr fontId="3"/>
  </si>
  <si>
    <t>CLAMP PLATE</t>
    <phoneticPr fontId="14"/>
  </si>
  <si>
    <t>SHANK TURNING</t>
    <phoneticPr fontId="3"/>
  </si>
  <si>
    <t>NK20</t>
    <phoneticPr fontId="14"/>
  </si>
  <si>
    <t>JAW(A)</t>
    <phoneticPr fontId="3"/>
  </si>
  <si>
    <t>4667-10-</t>
    <phoneticPr fontId="3"/>
  </si>
  <si>
    <t>JAW(B)</t>
    <phoneticPr fontId="3"/>
  </si>
  <si>
    <t>SHANK GRIND</t>
    <phoneticPr fontId="14"/>
  </si>
  <si>
    <t>MA-3CN</t>
    <phoneticPr fontId="14"/>
  </si>
  <si>
    <t>COLLET CHUCK</t>
    <phoneticPr fontId="3"/>
  </si>
  <si>
    <t>4815-02-</t>
    <phoneticPr fontId="3"/>
  </si>
  <si>
    <t>PUSSHER</t>
    <phoneticPr fontId="14"/>
  </si>
  <si>
    <t>HOLDER</t>
    <phoneticPr fontId="3"/>
  </si>
  <si>
    <t>HOLDER(2)</t>
    <phoneticPr fontId="3"/>
  </si>
  <si>
    <t>4671-03-</t>
    <phoneticPr fontId="14"/>
  </si>
  <si>
    <t>4671-05-</t>
    <phoneticPr fontId="14"/>
  </si>
  <si>
    <t>4853-07-</t>
    <phoneticPr fontId="14"/>
  </si>
  <si>
    <t>BACKING PLATE</t>
    <phoneticPr fontId="14"/>
  </si>
  <si>
    <t>4853-01-</t>
    <phoneticPr fontId="14"/>
  </si>
  <si>
    <t>LOADER JAW</t>
    <phoneticPr fontId="14"/>
  </si>
  <si>
    <t>4853-03-</t>
    <phoneticPr fontId="14"/>
  </si>
  <si>
    <t>QUILL</t>
    <phoneticPr fontId="14"/>
  </si>
  <si>
    <t>4853-05-</t>
    <phoneticPr fontId="14"/>
  </si>
  <si>
    <t>JAW(B)</t>
    <phoneticPr fontId="14"/>
  </si>
  <si>
    <t>GAUGE</t>
    <phoneticPr fontId="14"/>
  </si>
  <si>
    <t>COLLAR</t>
    <phoneticPr fontId="14"/>
  </si>
  <si>
    <t>4853-10-</t>
    <phoneticPr fontId="14"/>
  </si>
  <si>
    <t>SHAFT</t>
    <phoneticPr fontId="14"/>
  </si>
  <si>
    <t>4853-11-</t>
    <phoneticPr fontId="14"/>
  </si>
  <si>
    <t>RING GAUGE (GO)</t>
    <phoneticPr fontId="14"/>
  </si>
  <si>
    <t>9901-22-</t>
    <phoneticPr fontId="3"/>
  </si>
  <si>
    <t>RING GAUGE (NO GO)</t>
    <phoneticPr fontId="14"/>
  </si>
  <si>
    <t>9901-22-</t>
    <phoneticPr fontId="14"/>
  </si>
  <si>
    <t>4815-05-</t>
    <phoneticPr fontId="14"/>
  </si>
  <si>
    <t>4815-06-</t>
    <phoneticPr fontId="3"/>
  </si>
  <si>
    <t>4815-10-</t>
    <phoneticPr fontId="3"/>
  </si>
  <si>
    <t>4029-14-</t>
    <phoneticPr fontId="14"/>
  </si>
  <si>
    <t>4815-06-</t>
    <phoneticPr fontId="14"/>
  </si>
  <si>
    <t>4815-10-</t>
    <phoneticPr fontId="14"/>
  </si>
  <si>
    <t>TRIM</t>
    <phoneticPr fontId="2"/>
  </si>
  <si>
    <t>COLLET</t>
    <phoneticPr fontId="2"/>
  </si>
  <si>
    <t>U:\製造技術\yamamoto/設計基準・寸法・在庫データ/トリム_KL20_トリムコレット資料/20151216_TOOLING%20LIST_KL20(TRIM).xls.xls</t>
    <phoneticPr fontId="14"/>
  </si>
  <si>
    <t>FACE GRIND</t>
    <phoneticPr fontId="3"/>
  </si>
  <si>
    <t>HIRAKEN</t>
    <phoneticPr fontId="3"/>
  </si>
  <si>
    <t>TURNING</t>
    <phoneticPr fontId="2"/>
  </si>
  <si>
    <t>INSERT</t>
    <phoneticPr fontId="2"/>
  </si>
  <si>
    <t>Q-51-</t>
    <phoneticPr fontId="2"/>
  </si>
  <si>
    <t>FACE GRIND</t>
    <phoneticPr fontId="3"/>
  </si>
  <si>
    <t>SEIBU</t>
    <phoneticPr fontId="3"/>
  </si>
  <si>
    <t>CARRIER</t>
    <phoneticPr fontId="3"/>
  </si>
  <si>
    <t>4556-01-</t>
    <phoneticPr fontId="3"/>
  </si>
  <si>
    <t>BASE PLATE</t>
    <phoneticPr fontId="3"/>
  </si>
  <si>
    <t>N/C</t>
    <phoneticPr fontId="2"/>
  </si>
  <si>
    <t>PLATE</t>
    <phoneticPr fontId="3"/>
  </si>
  <si>
    <t>CHUTE COVER</t>
    <phoneticPr fontId="3"/>
  </si>
  <si>
    <t>4866-14-</t>
    <phoneticPr fontId="3"/>
  </si>
  <si>
    <t>HAMAI</t>
    <phoneticPr fontId="3"/>
  </si>
  <si>
    <t>4564-03-</t>
    <phoneticPr fontId="3"/>
  </si>
  <si>
    <t>CHAMFER</t>
    <phoneticPr fontId="2"/>
  </si>
  <si>
    <t>COLLET CHUCK</t>
    <phoneticPr fontId="2"/>
  </si>
  <si>
    <t>4541-11-</t>
    <phoneticPr fontId="2"/>
  </si>
  <si>
    <t>PUSHER</t>
    <phoneticPr fontId="2"/>
  </si>
  <si>
    <t>4541-12-</t>
    <phoneticPr fontId="2"/>
  </si>
  <si>
    <t>NONE</t>
    <phoneticPr fontId="14"/>
  </si>
  <si>
    <t>-</t>
    <phoneticPr fontId="14"/>
  </si>
  <si>
    <t>EXCEL</t>
    <phoneticPr fontId="14"/>
  </si>
  <si>
    <t>EXCEL</t>
    <phoneticPr fontId="14"/>
  </si>
  <si>
    <t>U:\製造技術\yamamoto\設計基準・寸法・在庫データ\切削_巾切削_OKKハイドラクリップ（磯貝）</t>
    <phoneticPr fontId="14"/>
  </si>
  <si>
    <t>U:\製造技術\yamamoto/設計基準・寸法・在庫データ/センタレス_押し棒&amp;セットピン（榊原）/20150727_TOOLING%20LIST_RACE%20PUSHER%20&amp;%20SET%20PIN.xlsx</t>
    <phoneticPr fontId="14"/>
  </si>
  <si>
    <t>U:\製造技術\yamamoto/設計基準・寸法・在庫データ/研磨_巾研_浜井巾ラップ盤用キャリア（松本）/20160329_巾ラップ用キャリア一覧表.xlsx</t>
    <phoneticPr fontId="14"/>
  </si>
  <si>
    <t>(BONDING PLATE)</t>
    <phoneticPr fontId="3"/>
  </si>
  <si>
    <t>Name</t>
    <phoneticPr fontId="3"/>
  </si>
  <si>
    <t>BONDING ARBOR</t>
    <phoneticPr fontId="3"/>
  </si>
  <si>
    <t>BA</t>
    <phoneticPr fontId="3"/>
  </si>
  <si>
    <t>(BONDING PLATE)</t>
    <phoneticPr fontId="3"/>
  </si>
  <si>
    <t>BONDING PLATE</t>
    <phoneticPr fontId="3"/>
  </si>
  <si>
    <t>GUIDE RING</t>
    <phoneticPr fontId="3"/>
  </si>
  <si>
    <t>4800-38-</t>
    <phoneticPr fontId="3"/>
  </si>
  <si>
    <t>TRIM</t>
    <phoneticPr fontId="2"/>
  </si>
  <si>
    <t>COLLET</t>
    <phoneticPr fontId="2"/>
  </si>
  <si>
    <t>4030-01-
4030-02-</t>
    <phoneticPr fontId="2"/>
  </si>
  <si>
    <t>型式にHがつく場合選定する</t>
    <phoneticPr fontId="14"/>
  </si>
  <si>
    <t>FINISH OD</t>
    <phoneticPr fontId="14"/>
  </si>
  <si>
    <t>OD GRIND</t>
    <phoneticPr fontId="3"/>
  </si>
  <si>
    <t>RACE PUSHER</t>
    <phoneticPr fontId="14"/>
  </si>
  <si>
    <t>4560-18-</t>
    <phoneticPr fontId="14"/>
  </si>
  <si>
    <t>SET PIN</t>
    <phoneticPr fontId="3"/>
  </si>
  <si>
    <t>4560-21-</t>
    <phoneticPr fontId="3"/>
  </si>
  <si>
    <t>COLLAR</t>
    <phoneticPr fontId="2"/>
  </si>
  <si>
    <t>4800-66-</t>
    <phoneticPr fontId="14"/>
  </si>
  <si>
    <t>GUIDE RING</t>
    <phoneticPr fontId="3"/>
  </si>
  <si>
    <t>4560-21-</t>
    <phoneticPr fontId="3"/>
  </si>
  <si>
    <t>COLLAR</t>
    <phoneticPr fontId="2"/>
  </si>
  <si>
    <r>
      <t>4800-66移行完了後削除</t>
    </r>
    <r>
      <rPr>
        <b/>
        <sz val="11"/>
        <color indexed="8"/>
        <rFont val="ＭＳ Ｐゴシック"/>
        <family val="3"/>
        <charset val="128"/>
      </rPr>
      <t>(※1)</t>
    </r>
    <rPh sb="7" eb="9">
      <t>イコウ</t>
    </rPh>
    <rPh sb="9" eb="11">
      <t>カンリョウ</t>
    </rPh>
    <rPh sb="11" eb="12">
      <t>ゴ</t>
    </rPh>
    <rPh sb="12" eb="14">
      <t>サクジョ</t>
    </rPh>
    <phoneticPr fontId="14"/>
  </si>
  <si>
    <t>U:\製造技術\yamamoto\設計基準・寸法・在庫データ\テフロン_フランジスリーブ用プレート・リング\20180119_TFE_BONDINGツーリングリスト(フランジスリーブ).xlsx</t>
    <phoneticPr fontId="14"/>
  </si>
  <si>
    <t>4800-66-</t>
    <phoneticPr fontId="3"/>
  </si>
  <si>
    <t>MARKING</t>
    <phoneticPr fontId="2"/>
  </si>
  <si>
    <t>RUBBER STAMP</t>
    <phoneticPr fontId="2"/>
  </si>
  <si>
    <t>JAW</t>
    <phoneticPr fontId="3"/>
  </si>
  <si>
    <t>4021-01-</t>
    <phoneticPr fontId="2"/>
  </si>
  <si>
    <t>BACK PLATE</t>
    <phoneticPr fontId="3"/>
  </si>
  <si>
    <t>4021-02-</t>
    <phoneticPr fontId="2"/>
  </si>
  <si>
    <t>QUILL</t>
    <phoneticPr fontId="3"/>
  </si>
  <si>
    <t>4021-03-</t>
    <phoneticPr fontId="2"/>
  </si>
  <si>
    <t>4866-10-</t>
    <phoneticPr fontId="3"/>
  </si>
  <si>
    <t>0005</t>
    <phoneticPr fontId="2"/>
  </si>
  <si>
    <t>(4800-38-</t>
    <phoneticPr fontId="3"/>
  </si>
  <si>
    <t>)</t>
    <phoneticPr fontId="14"/>
  </si>
  <si>
    <t>(4800-38-</t>
    <phoneticPr fontId="14"/>
  </si>
  <si>
    <t>(4800-38-</t>
    <phoneticPr fontId="3"/>
  </si>
  <si>
    <t>)</t>
    <phoneticPr fontId="14"/>
  </si>
  <si>
    <t>00-</t>
    <phoneticPr fontId="2"/>
  </si>
  <si>
    <t>00-</t>
    <phoneticPr fontId="14"/>
  </si>
  <si>
    <t>4559-05-</t>
    <phoneticPr fontId="3"/>
  </si>
  <si>
    <t>(4559-05-</t>
    <phoneticPr fontId="2"/>
  </si>
  <si>
    <t>-01)</t>
    <phoneticPr fontId="14"/>
  </si>
  <si>
    <t>(4559-08-</t>
    <phoneticPr fontId="2"/>
  </si>
  <si>
    <t>(4559-08-</t>
    <phoneticPr fontId="2"/>
  </si>
  <si>
    <t>0022</t>
    <phoneticPr fontId="14"/>
  </si>
  <si>
    <t>0032</t>
    <phoneticPr fontId="14"/>
  </si>
  <si>
    <t>7559-02-</t>
    <phoneticPr fontId="14"/>
  </si>
  <si>
    <t>0001</t>
  </si>
  <si>
    <t>0002</t>
  </si>
  <si>
    <t>0003</t>
  </si>
  <si>
    <t>4691-10-</t>
    <phoneticPr fontId="14"/>
  </si>
  <si>
    <t>4866-10-</t>
    <phoneticPr fontId="3"/>
  </si>
  <si>
    <t>0005</t>
    <phoneticPr fontId="14"/>
  </si>
  <si>
    <t>0006</t>
    <phoneticPr fontId="14"/>
  </si>
  <si>
    <t>SPHERICAL
GRIND</t>
    <phoneticPr fontId="3"/>
  </si>
  <si>
    <t>WORK DRIVER</t>
    <phoneticPr fontId="3"/>
  </si>
  <si>
    <t>4664-01-</t>
    <phoneticPr fontId="3"/>
  </si>
  <si>
    <t>LOADING CHUTE</t>
    <phoneticPr fontId="3"/>
  </si>
  <si>
    <t>4664-02-</t>
    <phoneticPr fontId="3"/>
  </si>
  <si>
    <t>SUPPORT BLOCK</t>
    <phoneticPr fontId="3"/>
  </si>
  <si>
    <t>4664-03-</t>
    <phoneticPr fontId="3"/>
  </si>
  <si>
    <t>PLUG（A)</t>
    <phoneticPr fontId="3"/>
  </si>
  <si>
    <t>4664-06-</t>
    <phoneticPr fontId="3"/>
  </si>
  <si>
    <t>PLUG（B)</t>
    <phoneticPr fontId="3"/>
  </si>
  <si>
    <t>4664-21-</t>
    <phoneticPr fontId="3"/>
  </si>
  <si>
    <t>4664-22-</t>
    <phoneticPr fontId="3"/>
  </si>
  <si>
    <t>ID GRIND</t>
    <phoneticPr fontId="3"/>
  </si>
  <si>
    <t>BRYANT</t>
    <phoneticPr fontId="3"/>
  </si>
  <si>
    <r>
      <t>FR</t>
    </r>
    <r>
      <rPr>
        <sz val="14"/>
        <color theme="1"/>
        <rFont val="Tahoma"/>
        <family val="3"/>
        <charset val="128"/>
        <scheme val="minor"/>
      </rPr>
      <t>ONT PLATE</t>
    </r>
    <phoneticPr fontId="3"/>
  </si>
  <si>
    <r>
      <t>C</t>
    </r>
    <r>
      <rPr>
        <sz val="14"/>
        <color theme="1"/>
        <rFont val="Tahoma"/>
        <family val="3"/>
        <charset val="128"/>
        <scheme val="minor"/>
      </rPr>
      <t>HUTE COVER</t>
    </r>
    <phoneticPr fontId="3"/>
  </si>
  <si>
    <t>4559-04-</t>
    <phoneticPr fontId="3"/>
  </si>
  <si>
    <r>
      <t>R</t>
    </r>
    <r>
      <rPr>
        <sz val="14"/>
        <color theme="1"/>
        <rFont val="Tahoma"/>
        <family val="3"/>
        <charset val="128"/>
        <scheme val="minor"/>
      </rPr>
      <t>OLLER SHOE ASSY</t>
    </r>
    <phoneticPr fontId="3"/>
  </si>
  <si>
    <t>4559-05-</t>
    <phoneticPr fontId="3"/>
  </si>
  <si>
    <t>ROLLER SHOE</t>
    <phoneticPr fontId="3"/>
  </si>
  <si>
    <t>(4559-05-</t>
    <phoneticPr fontId="2"/>
  </si>
  <si>
    <t>-01)</t>
    <phoneticPr fontId="14"/>
  </si>
  <si>
    <t>SHAFT</t>
    <phoneticPr fontId="2"/>
  </si>
  <si>
    <t>(4559-08-</t>
    <phoneticPr fontId="2"/>
  </si>
  <si>
    <t>)</t>
    <phoneticPr fontId="14"/>
  </si>
  <si>
    <t>ROLLER</t>
    <phoneticPr fontId="2"/>
  </si>
  <si>
    <t>COMPAX SHOE</t>
    <phoneticPr fontId="2"/>
  </si>
  <si>
    <t>4559-40-</t>
    <phoneticPr fontId="2"/>
  </si>
  <si>
    <t>LOADER</t>
    <phoneticPr fontId="14"/>
  </si>
  <si>
    <t>4559-06-</t>
    <phoneticPr fontId="14"/>
  </si>
  <si>
    <r>
      <t>L</t>
    </r>
    <r>
      <rPr>
        <sz val="14"/>
        <color theme="1"/>
        <rFont val="Tahoma"/>
        <family val="3"/>
        <charset val="128"/>
        <scheme val="minor"/>
      </rPr>
      <t>OADER</t>
    </r>
    <phoneticPr fontId="3"/>
  </si>
  <si>
    <t>4559-41-</t>
    <phoneticPr fontId="3"/>
  </si>
  <si>
    <t>PRESSURE ROTOR</t>
    <phoneticPr fontId="3"/>
  </si>
  <si>
    <t>4559-17-</t>
    <phoneticPr fontId="3"/>
  </si>
  <si>
    <r>
      <t>P</t>
    </r>
    <r>
      <rPr>
        <sz val="14"/>
        <color theme="1"/>
        <rFont val="Tahoma"/>
        <family val="3"/>
        <charset val="128"/>
        <scheme val="minor"/>
      </rPr>
      <t>LUG GAUGE</t>
    </r>
    <phoneticPr fontId="3"/>
  </si>
  <si>
    <t>4559-18-</t>
    <phoneticPr fontId="3"/>
  </si>
  <si>
    <r>
      <t>S</t>
    </r>
    <r>
      <rPr>
        <sz val="14"/>
        <color theme="1"/>
        <rFont val="Tahoma"/>
        <family val="3"/>
        <charset val="128"/>
        <scheme val="minor"/>
      </rPr>
      <t>ETTING GAUGE</t>
    </r>
    <phoneticPr fontId="3"/>
  </si>
  <si>
    <t>4559-19-</t>
    <phoneticPr fontId="3"/>
  </si>
  <si>
    <t xml:space="preserve"> </t>
    <phoneticPr fontId="14"/>
  </si>
  <si>
    <r>
      <t>M</t>
    </r>
    <r>
      <rPr>
        <sz val="14"/>
        <color theme="1"/>
        <rFont val="Tahoma"/>
        <family val="3"/>
        <charset val="128"/>
        <scheme val="minor"/>
      </rPr>
      <t>ASTER RING GAUGE</t>
    </r>
    <phoneticPr fontId="3"/>
  </si>
  <si>
    <t>4559-20-</t>
    <phoneticPr fontId="3"/>
  </si>
  <si>
    <r>
      <t>V</t>
    </r>
    <r>
      <rPr>
        <sz val="14"/>
        <color theme="1"/>
        <rFont val="Tahoma"/>
        <family val="3"/>
        <charset val="128"/>
        <scheme val="minor"/>
      </rPr>
      <t>ERTICAL PLATE</t>
    </r>
    <phoneticPr fontId="3"/>
  </si>
  <si>
    <t>7559-02-</t>
    <phoneticPr fontId="3"/>
  </si>
  <si>
    <r>
      <t>A</t>
    </r>
    <r>
      <rPr>
        <sz val="14"/>
        <color theme="1"/>
        <rFont val="Tahoma"/>
        <family val="3"/>
        <charset val="128"/>
        <scheme val="minor"/>
      </rPr>
      <t>IR BEARING</t>
    </r>
    <phoneticPr fontId="3"/>
  </si>
  <si>
    <r>
      <t>C</t>
    </r>
    <r>
      <rPr>
        <sz val="14"/>
        <color theme="1"/>
        <rFont val="Tahoma"/>
        <family val="3"/>
        <charset val="128"/>
        <scheme val="minor"/>
      </rPr>
      <t>ENTER RING</t>
    </r>
    <phoneticPr fontId="3"/>
  </si>
  <si>
    <t>KS-B22G</t>
    <phoneticPr fontId="2"/>
  </si>
  <si>
    <t>JAW</t>
    <phoneticPr fontId="2"/>
  </si>
  <si>
    <t>4027-01-</t>
    <phoneticPr fontId="2"/>
  </si>
  <si>
    <t>BACK PLATE</t>
    <phoneticPr fontId="2"/>
  </si>
  <si>
    <t>4027-02-</t>
    <phoneticPr fontId="2"/>
  </si>
  <si>
    <t>KS H70</t>
    <phoneticPr fontId="3"/>
  </si>
  <si>
    <t>FINISH WHEEL SIZE</t>
    <phoneticPr fontId="14"/>
  </si>
  <si>
    <t>ROUGH WHEEL SIZE</t>
    <phoneticPr fontId="14"/>
  </si>
  <si>
    <t>4691-01-</t>
    <phoneticPr fontId="3"/>
  </si>
  <si>
    <t>STOPPER</t>
    <phoneticPr fontId="3"/>
  </si>
  <si>
    <t>4691-02-</t>
    <phoneticPr fontId="3"/>
  </si>
  <si>
    <t xml:space="preserve">GRINDSTONE BASE </t>
    <phoneticPr fontId="3"/>
  </si>
  <si>
    <t>4691-04-</t>
    <phoneticPr fontId="3"/>
  </si>
  <si>
    <t>4907-05-</t>
    <phoneticPr fontId="14"/>
  </si>
  <si>
    <t>4907-06-</t>
    <phoneticPr fontId="3"/>
  </si>
  <si>
    <t>COLLET ADAPTER</t>
    <phoneticPr fontId="14"/>
  </si>
  <si>
    <t>COLLET</t>
    <phoneticPr fontId="14"/>
  </si>
  <si>
    <t>4691-03-</t>
    <phoneticPr fontId="14"/>
  </si>
  <si>
    <t>JOINT</t>
    <phoneticPr fontId="14"/>
  </si>
  <si>
    <t>COLLET</t>
    <phoneticPr fontId="3"/>
  </si>
  <si>
    <t>END BLOCK</t>
    <phoneticPr fontId="2"/>
  </si>
  <si>
    <t>4907-01-</t>
    <phoneticPr fontId="2"/>
  </si>
  <si>
    <t>FINGER CHUCK</t>
    <phoneticPr fontId="14"/>
  </si>
  <si>
    <t>4907-03-</t>
    <phoneticPr fontId="14"/>
  </si>
  <si>
    <t>ｺﾝﾊﾟｯｸｽｼｭｰ</t>
    <phoneticPr fontId="2"/>
  </si>
  <si>
    <t>SETTING GAUGEとTYPE一致のこと</t>
    <phoneticPr fontId="14"/>
  </si>
  <si>
    <t>ｺﾝﾊﾟｯｸｽｼｭｰ</t>
    <phoneticPr fontId="2"/>
  </si>
  <si>
    <t>SETTING GAUGEとTYPE一致のこと</t>
    <phoneticPr fontId="14"/>
  </si>
  <si>
    <t>PRESSURE ROTORとTYPE一致のこと</t>
    <phoneticPr fontId="14"/>
  </si>
  <si>
    <t>球径≦Sφ32まで</t>
    <phoneticPr fontId="2"/>
  </si>
  <si>
    <t>内径≦φ15.875まで</t>
    <phoneticPr fontId="2"/>
  </si>
  <si>
    <t>ID≦φ15.875</t>
    <phoneticPr fontId="14"/>
  </si>
  <si>
    <t>ID＜12.7</t>
    <phoneticPr fontId="14"/>
  </si>
  <si>
    <t xml:space="preserve"> 12.7≦ID</t>
    <phoneticPr fontId="14"/>
  </si>
  <si>
    <t>PRESSURE ROTOR による。いづれかを選択のこと。
PRESSURE ROTOR TYPE 1 ： 0021
PRESSURE ROTOR TYPE 2 ： 0022
PRESSURE ROTOR TYPE 3 ： 0054</t>
    <rPh sb="24" eb="26">
      <t>センタク</t>
    </rPh>
    <phoneticPr fontId="3"/>
  </si>
  <si>
    <t>PRESSURE ROTOR による。いづれかを選択のこと。
PRESSURE ROTOR TYPE 1 ： 0031
PRESSURE ROTOR TYPE 2 ： 0032
PRESSURE ROTOR TYPE 3 ： 0055</t>
    <rPh sb="24" eb="26">
      <t>センタク</t>
    </rPh>
    <phoneticPr fontId="3"/>
  </si>
  <si>
    <t>U:\製造技術\yamamoto/設計基準・寸法・在庫データ/センタレス_押し棒&amp;セットピン（榊原）/20150727_TOOLING%20LIST_RACE%20PUSHER%20&amp;%20SET%20PIN.xlsx</t>
    <phoneticPr fontId="14"/>
  </si>
  <si>
    <t>U:\製造技術\yamamoto/設計基準・寸法・在庫データ/研磨_球研機_KS-400(B1～B4)（百瀬）/20171025_TOOLING%20LIST_KS400B(SPHERICAL%20GRIND).xlsx</t>
    <phoneticPr fontId="14"/>
  </si>
  <si>
    <t>U:\製造技術\yamamoto\設計基準・寸法・在庫データ\研磨_巾研_西部巾研機TSG300（百瀬）\20170508_TOOLING%20LIST_TSG300(FACE%20GRIND)_SEIBU.xls</t>
    <phoneticPr fontId="14"/>
  </si>
  <si>
    <t>4559-01-</t>
    <phoneticPr fontId="14"/>
  </si>
  <si>
    <t>U:\製造技術\yamamoto\設計基準・寸法・在庫データ\研磨_内研機_BRYANT_B（百瀬）\20171204_TOOLING LIST_BRYANT_B(ID GRIND).xlsx</t>
    <phoneticPr fontId="14"/>
  </si>
  <si>
    <t>U:\製造技術\yamamoto\設計基準・寸法・在庫データ\研磨_内研機_KS-B80及び球研機_KN-312A(坂本)\20180222_TOOLING LIST_KS-B80.xls</t>
    <phoneticPr fontId="14"/>
  </si>
  <si>
    <t>U:\製造技術\yamamoto/設計基準・寸法・在庫データ/研磨_内研機_KS-B22G(坂本)/20150609_TOOLING%20LIST_KS-B22G.xls</t>
    <phoneticPr fontId="14"/>
  </si>
  <si>
    <t>U:\製造技術\yamamoto/設計基準・寸法・在庫データ/超仕上げ_球面超仕上機_治具（山本）/20180301_TOOLING%20LIST_SUPER%20SPHERE%20FINISH.xlsx</t>
    <phoneticPr fontId="14"/>
  </si>
  <si>
    <t>WA</t>
    <phoneticPr fontId="14"/>
  </si>
  <si>
    <t>U:\製造技術\yamamoto\設計基準・寸法・在庫データ\バイト_X-52-XXX_キー溝カッターリスト（三田）\キー溝カッターリスト20170824.xls</t>
    <phoneticPr fontId="14"/>
  </si>
  <si>
    <t>EXCEL</t>
    <phoneticPr fontId="14"/>
  </si>
  <si>
    <t>4907-05-</t>
    <phoneticPr fontId="14"/>
  </si>
  <si>
    <t>4907-06-</t>
    <phoneticPr fontId="14"/>
  </si>
  <si>
    <t>SPHERICAL
GRIND</t>
    <phoneticPr fontId="3"/>
  </si>
  <si>
    <t>WORK DRIVER</t>
    <phoneticPr fontId="3"/>
  </si>
  <si>
    <t>4664-01-</t>
    <phoneticPr fontId="3"/>
  </si>
  <si>
    <t>球径≦Sφ32まで</t>
    <phoneticPr fontId="2"/>
  </si>
  <si>
    <t>LOADING CHUTE</t>
    <phoneticPr fontId="3"/>
  </si>
  <si>
    <t>4664-02-</t>
    <phoneticPr fontId="3"/>
  </si>
  <si>
    <t>SUPPORT BLOCK</t>
    <phoneticPr fontId="3"/>
  </si>
  <si>
    <t>4664-03-</t>
    <phoneticPr fontId="3"/>
  </si>
  <si>
    <t>PLUG（A)</t>
    <phoneticPr fontId="3"/>
  </si>
  <si>
    <t>4664-06-</t>
    <phoneticPr fontId="3"/>
  </si>
  <si>
    <t>PLUG（B)</t>
    <phoneticPr fontId="3"/>
  </si>
  <si>
    <t>4664-21-</t>
    <phoneticPr fontId="3"/>
  </si>
  <si>
    <t>4664-22-</t>
    <phoneticPr fontId="3"/>
  </si>
  <si>
    <t>ID GRIND</t>
    <phoneticPr fontId="2"/>
  </si>
  <si>
    <t>KS-B80</t>
    <phoneticPr fontId="3"/>
  </si>
  <si>
    <t>4828-02-</t>
    <phoneticPr fontId="3"/>
  </si>
  <si>
    <t>SPHERICAL
GRIND</t>
    <phoneticPr fontId="2"/>
  </si>
  <si>
    <t>0006</t>
    <phoneticPr fontId="14"/>
  </si>
  <si>
    <t>\\pk4473\rdengnr\製造技術\DATABASE\TOOL寸法.mdb</t>
    <phoneticPr fontId="14"/>
  </si>
  <si>
    <t>ACCESS</t>
    <phoneticPr fontId="14"/>
  </si>
  <si>
    <r>
      <rPr>
        <b/>
        <sz val="11"/>
        <color indexed="8"/>
        <rFont val="ＭＳ Ｐゴシック"/>
        <family val="3"/>
        <charset val="128"/>
      </rPr>
      <t>巾7mm以下の場合</t>
    </r>
    <r>
      <rPr>
        <sz val="11"/>
        <color theme="1"/>
        <rFont val="Tahoma"/>
        <family val="3"/>
        <charset val="128"/>
        <scheme val="minor"/>
      </rPr>
      <t xml:space="preserve">：
西部・浜井両方選定
</t>
    </r>
    <r>
      <rPr>
        <b/>
        <sz val="11"/>
        <color indexed="8"/>
        <rFont val="ＭＳ Ｐゴシック"/>
        <family val="3"/>
        <charset val="128"/>
      </rPr>
      <t>ボール入りインナーの場合</t>
    </r>
    <r>
      <rPr>
        <sz val="11"/>
        <color theme="1"/>
        <rFont val="Tahoma"/>
        <family val="3"/>
        <charset val="128"/>
        <scheme val="minor"/>
      </rPr>
      <t>：
浜井のみ選定</t>
    </r>
    <phoneticPr fontId="2"/>
  </si>
  <si>
    <t>FACE GRIND
FACE LAP</t>
    <phoneticPr fontId="3"/>
  </si>
  <si>
    <t>SPHERICAL
GRIND(1), (2)</t>
    <phoneticPr fontId="3"/>
  </si>
  <si>
    <t>ID GRIND</t>
    <phoneticPr fontId="3"/>
  </si>
  <si>
    <t>BRYANT</t>
    <phoneticPr fontId="3"/>
  </si>
  <si>
    <r>
      <t>FR</t>
    </r>
    <r>
      <rPr>
        <sz val="14"/>
        <color theme="1"/>
        <rFont val="Tahoma"/>
        <family val="3"/>
        <charset val="128"/>
        <scheme val="minor"/>
      </rPr>
      <t>ONT PLATE</t>
    </r>
    <phoneticPr fontId="3"/>
  </si>
  <si>
    <t>4559-01-</t>
    <phoneticPr fontId="3"/>
  </si>
  <si>
    <t>内径≦φ16まで</t>
    <phoneticPr fontId="2"/>
  </si>
  <si>
    <r>
      <t>C</t>
    </r>
    <r>
      <rPr>
        <sz val="14"/>
        <color theme="1"/>
        <rFont val="Tahoma"/>
        <family val="3"/>
        <charset val="128"/>
        <scheme val="minor"/>
      </rPr>
      <t>HUTE COVER</t>
    </r>
    <phoneticPr fontId="3"/>
  </si>
  <si>
    <t>4559-04-</t>
    <phoneticPr fontId="3"/>
  </si>
  <si>
    <r>
      <t>R</t>
    </r>
    <r>
      <rPr>
        <sz val="14"/>
        <color theme="1"/>
        <rFont val="Tahoma"/>
        <family val="3"/>
        <charset val="128"/>
        <scheme val="minor"/>
      </rPr>
      <t>OLLER SHOE ASSY</t>
    </r>
    <phoneticPr fontId="3"/>
  </si>
  <si>
    <t>ROLLER SHOE</t>
    <phoneticPr fontId="3"/>
  </si>
  <si>
    <t>SHAFT</t>
    <phoneticPr fontId="2"/>
  </si>
  <si>
    <t>ROLLER</t>
    <phoneticPr fontId="2"/>
  </si>
  <si>
    <t>COMPAX SHOE</t>
    <phoneticPr fontId="2"/>
  </si>
  <si>
    <t>4559-40-</t>
    <phoneticPr fontId="2"/>
  </si>
  <si>
    <t>LOADER</t>
    <phoneticPr fontId="14"/>
  </si>
  <si>
    <t>4559-06-</t>
    <phoneticPr fontId="14"/>
  </si>
  <si>
    <r>
      <t>L</t>
    </r>
    <r>
      <rPr>
        <sz val="14"/>
        <color theme="1"/>
        <rFont val="Tahoma"/>
        <family val="3"/>
        <charset val="128"/>
        <scheme val="minor"/>
      </rPr>
      <t>OADER</t>
    </r>
    <phoneticPr fontId="3"/>
  </si>
  <si>
    <t>4559-41-</t>
    <phoneticPr fontId="3"/>
  </si>
  <si>
    <t>PRESSURE ROTOR</t>
    <phoneticPr fontId="3"/>
  </si>
  <si>
    <t>4559-17-</t>
    <phoneticPr fontId="3"/>
  </si>
  <si>
    <r>
      <t>P</t>
    </r>
    <r>
      <rPr>
        <sz val="14"/>
        <color theme="1"/>
        <rFont val="Tahoma"/>
        <family val="3"/>
        <charset val="128"/>
        <scheme val="minor"/>
      </rPr>
      <t>LUG GAUGE</t>
    </r>
    <phoneticPr fontId="3"/>
  </si>
  <si>
    <t>4559-18-</t>
    <phoneticPr fontId="3"/>
  </si>
  <si>
    <r>
      <t>S</t>
    </r>
    <r>
      <rPr>
        <sz val="14"/>
        <color theme="1"/>
        <rFont val="Tahoma"/>
        <family val="3"/>
        <charset val="128"/>
        <scheme val="minor"/>
      </rPr>
      <t>ETTING GAUGE</t>
    </r>
    <phoneticPr fontId="3"/>
  </si>
  <si>
    <t>4559-19-</t>
    <phoneticPr fontId="3"/>
  </si>
  <si>
    <t>4559-20-</t>
    <phoneticPr fontId="3"/>
  </si>
  <si>
    <r>
      <t>V</t>
    </r>
    <r>
      <rPr>
        <sz val="14"/>
        <color theme="1"/>
        <rFont val="Tahoma"/>
        <family val="3"/>
        <charset val="128"/>
        <scheme val="minor"/>
      </rPr>
      <t>ERTICAL PLATE</t>
    </r>
    <phoneticPr fontId="3"/>
  </si>
  <si>
    <r>
      <t>A</t>
    </r>
    <r>
      <rPr>
        <sz val="14"/>
        <color theme="1"/>
        <rFont val="Tahoma"/>
        <family val="3"/>
        <charset val="128"/>
        <scheme val="minor"/>
      </rPr>
      <t>IR BEARING</t>
    </r>
    <phoneticPr fontId="3"/>
  </si>
  <si>
    <r>
      <t>C</t>
    </r>
    <r>
      <rPr>
        <sz val="14"/>
        <color theme="1"/>
        <rFont val="Tahoma"/>
        <family val="3"/>
        <charset val="128"/>
        <scheme val="minor"/>
      </rPr>
      <t>ENTER RING</t>
    </r>
    <phoneticPr fontId="3"/>
  </si>
  <si>
    <t>SANDBLAST</t>
    <phoneticPr fontId="14"/>
  </si>
  <si>
    <t>MASKING TOOL</t>
    <phoneticPr fontId="14"/>
  </si>
  <si>
    <t>4800-43-</t>
    <phoneticPr fontId="14"/>
  </si>
  <si>
    <t>TEFLON BONDING</t>
    <phoneticPr fontId="14"/>
  </si>
  <si>
    <t>BONDING ARBOR</t>
    <phoneticPr fontId="2"/>
  </si>
  <si>
    <t>BA</t>
    <phoneticPr fontId="2"/>
  </si>
  <si>
    <t>BA</t>
    <phoneticPr fontId="14"/>
  </si>
  <si>
    <t>TRIM</t>
    <phoneticPr fontId="14"/>
  </si>
  <si>
    <t>4030-02-</t>
    <phoneticPr fontId="2"/>
  </si>
  <si>
    <t>TFE：X-1820の場合選定</t>
    <phoneticPr fontId="14"/>
  </si>
  <si>
    <t>-99</t>
    <phoneticPr fontId="14"/>
  </si>
  <si>
    <t>-01)</t>
    <phoneticPr fontId="14"/>
  </si>
  <si>
    <t>7559-02-</t>
    <phoneticPr fontId="3"/>
  </si>
  <si>
    <t>-01</t>
    <phoneticPr fontId="14"/>
  </si>
  <si>
    <t>0021</t>
    <phoneticPr fontId="14"/>
  </si>
  <si>
    <t>0054</t>
    <phoneticPr fontId="14"/>
  </si>
  <si>
    <t>0031</t>
    <phoneticPr fontId="14"/>
  </si>
  <si>
    <t>0055</t>
    <phoneticPr fontId="14"/>
  </si>
  <si>
    <t>極力既存品から選択する   (TYPE     )</t>
    <rPh sb="0" eb="2">
      <t>キョクリョク</t>
    </rPh>
    <rPh sb="2" eb="4">
      <t>キゾン</t>
    </rPh>
    <rPh sb="4" eb="5">
      <t>ヒン</t>
    </rPh>
    <rPh sb="7" eb="9">
      <t>センタク</t>
    </rPh>
    <phoneticPr fontId="3"/>
  </si>
  <si>
    <t>極力既存品から選択する  (A寸法        TYPE     )</t>
    <rPh sb="0" eb="2">
      <t>キョクリョク</t>
    </rPh>
    <rPh sb="2" eb="4">
      <t>キゾン</t>
    </rPh>
    <rPh sb="4" eb="5">
      <t>ヒン</t>
    </rPh>
    <rPh sb="7" eb="9">
      <t>センタク</t>
    </rPh>
    <rPh sb="15" eb="17">
      <t>スンポウ</t>
    </rPh>
    <phoneticPr fontId="3"/>
  </si>
  <si>
    <t>ID GRIND</t>
    <phoneticPr fontId="14"/>
  </si>
  <si>
    <t>ROTARY DRESSER</t>
    <phoneticPr fontId="3"/>
  </si>
  <si>
    <t>4800-42-</t>
    <phoneticPr fontId="2"/>
  </si>
  <si>
    <t>WORK CLAMP</t>
    <phoneticPr fontId="3"/>
  </si>
  <si>
    <t>4906-01-</t>
    <phoneticPr fontId="3"/>
  </si>
  <si>
    <t>SHAFT</t>
    <phoneticPr fontId="3"/>
  </si>
  <si>
    <t>4906-02-</t>
    <phoneticPr fontId="2"/>
  </si>
  <si>
    <t>WORK CHUTE</t>
    <phoneticPr fontId="3"/>
  </si>
  <si>
    <t>4906-03-</t>
    <phoneticPr fontId="2"/>
  </si>
  <si>
    <t>WORK LOADER</t>
    <phoneticPr fontId="3"/>
  </si>
  <si>
    <t>WORK CHUCK</t>
    <phoneticPr fontId="3"/>
  </si>
  <si>
    <t>4906-05-</t>
    <phoneticPr fontId="2"/>
  </si>
  <si>
    <t>WORK HOLDER</t>
    <phoneticPr fontId="3"/>
  </si>
  <si>
    <t>4906-06-</t>
    <phoneticPr fontId="2"/>
  </si>
  <si>
    <t>CHUCK JAW</t>
    <phoneticPr fontId="3"/>
  </si>
  <si>
    <t>4906-08-</t>
    <phoneticPr fontId="2"/>
  </si>
  <si>
    <t>4906-11-</t>
    <phoneticPr fontId="2"/>
  </si>
  <si>
    <t>4906-12-</t>
    <phoneticPr fontId="2"/>
  </si>
  <si>
    <t>RA-10</t>
    <phoneticPr fontId="14"/>
  </si>
  <si>
    <t>※1</t>
    <phoneticPr fontId="14"/>
  </si>
  <si>
    <t xml:space="preserve">BASE </t>
    <phoneticPr fontId="3"/>
  </si>
  <si>
    <t>※1：SPHERICITY MEASURING JIG ASSYの部品が一つでもオーダーの場合には、ASSY部品全て発注すること</t>
    <phoneticPr fontId="14"/>
  </si>
  <si>
    <t>SPHERICITY MEASURING
JIG ASSY</t>
    <phoneticPr fontId="14"/>
  </si>
  <si>
    <t>9901-21-</t>
    <phoneticPr fontId="14"/>
  </si>
  <si>
    <t>9901-21-</t>
    <phoneticPr fontId="2"/>
  </si>
  <si>
    <t>U:\製造技術\yamamoto/設計基準・寸法・在庫データ/研磨_球研機_KS-400B5（石川）/20130405_TOOLING%20LIST_KS-400B5.xls</t>
    <phoneticPr fontId="14"/>
  </si>
  <si>
    <t>SPHERICITY MEASURING
 JIG ASSY</t>
    <phoneticPr fontId="14"/>
  </si>
  <si>
    <t>WHEEL</t>
    <phoneticPr fontId="2"/>
  </si>
  <si>
    <t>TURNING
(SHIMADA 6 SPINDLE)</t>
    <phoneticPr fontId="14"/>
  </si>
  <si>
    <t>COLLET 1</t>
    <phoneticPr fontId="14"/>
  </si>
  <si>
    <t>4013-01-</t>
    <phoneticPr fontId="14"/>
  </si>
  <si>
    <t>STOPPER 1</t>
    <phoneticPr fontId="14"/>
  </si>
  <si>
    <t>4013-02-</t>
    <phoneticPr fontId="14"/>
  </si>
  <si>
    <t>PUSHER 1</t>
    <phoneticPr fontId="14"/>
  </si>
  <si>
    <t>4013-03-</t>
    <phoneticPr fontId="14"/>
  </si>
  <si>
    <t>TURNING (2)
(XC-100)</t>
    <phoneticPr fontId="14"/>
  </si>
  <si>
    <t>RECESS</t>
    <phoneticPr fontId="14"/>
  </si>
  <si>
    <t>CHUCK JAW</t>
    <phoneticPr fontId="14"/>
  </si>
  <si>
    <t>4667-10-</t>
    <phoneticPr fontId="14"/>
  </si>
  <si>
    <t>4852-13-</t>
    <phoneticPr fontId="14"/>
  </si>
  <si>
    <t>QUILL</t>
    <phoneticPr fontId="14"/>
  </si>
  <si>
    <t>4852-05-</t>
    <phoneticPr fontId="14"/>
  </si>
  <si>
    <t>ROTARY DREESER</t>
    <phoneticPr fontId="14"/>
  </si>
  <si>
    <t>4800-42-</t>
    <phoneticPr fontId="14"/>
  </si>
  <si>
    <t>4837-08-</t>
    <phoneticPr fontId="14"/>
  </si>
  <si>
    <t>W/M</t>
    <phoneticPr fontId="14"/>
  </si>
  <si>
    <t>W/M</t>
    <phoneticPr fontId="14"/>
  </si>
  <si>
    <t>BONDING ARBER</t>
    <phoneticPr fontId="2"/>
  </si>
  <si>
    <t>4030-01-</t>
    <phoneticPr fontId="14"/>
  </si>
  <si>
    <t>COLLET OP1</t>
    <phoneticPr fontId="2"/>
  </si>
  <si>
    <t>4879-04-</t>
    <phoneticPr fontId="2"/>
  </si>
  <si>
    <t>COLLET OP2</t>
    <phoneticPr fontId="2"/>
  </si>
  <si>
    <t>4879-05-</t>
    <phoneticPr fontId="2"/>
  </si>
  <si>
    <t>GUIDE PIN HOLDER</t>
    <phoneticPr fontId="2"/>
  </si>
  <si>
    <t>GUIDE PIN</t>
    <phoneticPr fontId="2"/>
  </si>
  <si>
    <t>SPRING</t>
    <phoneticPr fontId="14"/>
  </si>
  <si>
    <t>SET SCREW</t>
    <phoneticPr fontId="2"/>
  </si>
  <si>
    <t>INVERSION JAW</t>
    <phoneticPr fontId="2"/>
  </si>
  <si>
    <t>4879-02-</t>
    <phoneticPr fontId="2"/>
  </si>
  <si>
    <t>COLLET OP1</t>
    <phoneticPr fontId="14"/>
  </si>
  <si>
    <t>4501-01-</t>
    <phoneticPr fontId="14"/>
  </si>
  <si>
    <t>PUSHER OP1</t>
    <phoneticPr fontId="14"/>
  </si>
  <si>
    <t>4501-02-</t>
    <phoneticPr fontId="14"/>
  </si>
  <si>
    <t>COLLET OP2</t>
    <phoneticPr fontId="14"/>
  </si>
  <si>
    <t>PUSHER OP2</t>
    <phoneticPr fontId="14"/>
  </si>
  <si>
    <t>4606-08-</t>
    <phoneticPr fontId="2"/>
  </si>
  <si>
    <t>4606-10-</t>
    <phoneticPr fontId="2"/>
  </si>
  <si>
    <t>WORK HOLDER</t>
    <phoneticPr fontId="2"/>
  </si>
  <si>
    <t>9713-10-</t>
    <phoneticPr fontId="2"/>
  </si>
  <si>
    <t>ARBOR</t>
    <phoneticPr fontId="14"/>
  </si>
  <si>
    <t>4639-02-</t>
    <phoneticPr fontId="3"/>
  </si>
  <si>
    <t>RING</t>
    <phoneticPr fontId="14"/>
  </si>
  <si>
    <t>4639-04-</t>
    <phoneticPr fontId="3"/>
  </si>
  <si>
    <t>BA</t>
    <phoneticPr fontId="2"/>
  </si>
  <si>
    <t>WRIST END ASSY</t>
    <phoneticPr fontId="2"/>
  </si>
  <si>
    <t>WRIST END</t>
    <phoneticPr fontId="2"/>
  </si>
  <si>
    <t>COLLAR</t>
    <phoneticPr fontId="2"/>
  </si>
  <si>
    <t>COLLET OP1</t>
    <phoneticPr fontId="14"/>
  </si>
  <si>
    <t>4501-01-</t>
    <phoneticPr fontId="14"/>
  </si>
  <si>
    <t>PUSHER OP1</t>
    <phoneticPr fontId="14"/>
  </si>
  <si>
    <t>4501-02-</t>
    <phoneticPr fontId="14"/>
  </si>
  <si>
    <t>COLLET OP2</t>
    <phoneticPr fontId="14"/>
  </si>
  <si>
    <t>PUSHER OP2</t>
    <phoneticPr fontId="14"/>
  </si>
  <si>
    <t>PIN</t>
    <phoneticPr fontId="2"/>
  </si>
  <si>
    <t>4606-10-</t>
    <phoneticPr fontId="2"/>
  </si>
  <si>
    <t>WORK HOLDER</t>
    <phoneticPr fontId="2"/>
  </si>
  <si>
    <t>9713-10-</t>
    <phoneticPr fontId="2"/>
  </si>
  <si>
    <t>ARBOR</t>
    <phoneticPr fontId="14"/>
  </si>
  <si>
    <t>4639-02-</t>
    <phoneticPr fontId="3"/>
  </si>
  <si>
    <t>RING</t>
    <phoneticPr fontId="14"/>
  </si>
  <si>
    <t>4639-04-</t>
    <phoneticPr fontId="3"/>
  </si>
  <si>
    <t>0009</t>
    <phoneticPr fontId="14"/>
  </si>
  <si>
    <t>0003</t>
    <phoneticPr fontId="14"/>
  </si>
  <si>
    <t>0004</t>
    <phoneticPr fontId="14"/>
  </si>
  <si>
    <t>4857-06-</t>
    <phoneticPr fontId="3"/>
  </si>
  <si>
    <t>4857-06-</t>
    <phoneticPr fontId="14"/>
  </si>
  <si>
    <t>0016</t>
    <phoneticPr fontId="14"/>
  </si>
  <si>
    <t>0015</t>
    <phoneticPr fontId="14"/>
  </si>
  <si>
    <t>0002</t>
    <phoneticPr fontId="14"/>
  </si>
  <si>
    <t>0012</t>
    <phoneticPr fontId="14"/>
  </si>
  <si>
    <t>4857-08-</t>
    <phoneticPr fontId="3"/>
  </si>
  <si>
    <t>0001</t>
    <phoneticPr fontId="14"/>
  </si>
  <si>
    <t>-99</t>
    <phoneticPr fontId="14"/>
  </si>
  <si>
    <t>4606-03-</t>
    <phoneticPr fontId="2"/>
  </si>
  <si>
    <t>-01</t>
    <phoneticPr fontId="14"/>
  </si>
  <si>
    <t>-02</t>
    <phoneticPr fontId="14"/>
  </si>
  <si>
    <t>4879-03-</t>
    <phoneticPr fontId="2"/>
  </si>
  <si>
    <t>4879-06-</t>
    <phoneticPr fontId="2"/>
  </si>
  <si>
    <t>(</t>
    <phoneticPr fontId="2"/>
  </si>
  <si>
    <t>)</t>
    <phoneticPr fontId="14"/>
  </si>
  <si>
    <t>CONCENTRICITY 
MEASURING PIN</t>
    <phoneticPr fontId="2"/>
  </si>
  <si>
    <t>EXCEL</t>
    <phoneticPr fontId="14"/>
  </si>
  <si>
    <t>U:\製造技術\yamamoto/設計基準・寸法・在庫データ/組切削_高松X-100＆XD-8（榊原）/X-100(D切削)/20180309_TOOLING%20LIST_CONCENTRICITY%20MEASURING%20PIN.xlsx</t>
    <phoneticPr fontId="14"/>
  </si>
  <si>
    <t>U:\製造技術\yamamoto/設計基準・寸法・在庫データ/組切削_高松X-100＆XD-8（榊原）/X-100(D切削)/20171115_TOOLING%20LIST_X-100.xlsx</t>
    <phoneticPr fontId="14"/>
  </si>
  <si>
    <t>4857-06-</t>
    <phoneticPr fontId="14"/>
  </si>
  <si>
    <t>4857-08-</t>
    <phoneticPr fontId="14"/>
  </si>
  <si>
    <t>U:\製造技術\yamamoto\設計基準・寸法・在庫データ\研磨_巾研_西部巾研機TSG300（百瀬）\20170508_TOOLING%20LIST_TSG300(FACE%20GRIND)_SEIBU.xls</t>
    <phoneticPr fontId="14"/>
  </si>
  <si>
    <t>U:\製造技術\yamamoto\設計基準・寸法・在庫データ\組切削_高松J-WAVE（榊原）\20171220_TOOLING%20LIST_J-WAVE.xlsx</t>
    <phoneticPr fontId="14"/>
  </si>
  <si>
    <t>U:\製造技術\yamamoto/設計基準・寸法・在庫データ/トリム_KL20_トリムコレット資料/20151216_TOOLING%20LIST_KL20(TRIM).xls.xls</t>
    <phoneticPr fontId="14"/>
  </si>
  <si>
    <t>U:\製造技術\yamamoto/設計基準・寸法・在庫データ/組切削_FTLコレットチャック（積山）/20171123_TOOLING%20LIST.xlsx</t>
    <phoneticPr fontId="14"/>
  </si>
  <si>
    <t>U:\製造技術\yamamoto/設計基準・寸法・在庫データ/仕上_シール溶接用治具(磯貝)/TOOLING%20LIST_BEAM%20WELDING(FOR%20THAI)_20160905.xlsx</t>
    <phoneticPr fontId="14"/>
  </si>
  <si>
    <t>4606-03-</t>
    <phoneticPr fontId="14"/>
  </si>
  <si>
    <t>TEFLON BODING</t>
    <phoneticPr fontId="2"/>
  </si>
  <si>
    <t>BONDING ARBOR</t>
    <phoneticPr fontId="2"/>
  </si>
  <si>
    <t>TRIM</t>
    <phoneticPr fontId="2"/>
  </si>
  <si>
    <t>COLLET</t>
    <phoneticPr fontId="2"/>
  </si>
  <si>
    <t>4030-01-</t>
    <phoneticPr fontId="2"/>
  </si>
  <si>
    <t>4571-01-</t>
    <phoneticPr fontId="3"/>
  </si>
  <si>
    <t>4571-02-</t>
    <phoneticPr fontId="3"/>
  </si>
  <si>
    <t>4571-03-</t>
    <phoneticPr fontId="3"/>
  </si>
  <si>
    <t>9901-09-</t>
    <phoneticPr fontId="3"/>
  </si>
  <si>
    <t>4857-01-</t>
    <phoneticPr fontId="3"/>
  </si>
  <si>
    <t>4857-02-</t>
    <phoneticPr fontId="3"/>
  </si>
  <si>
    <t>4857-03-</t>
    <phoneticPr fontId="3"/>
  </si>
  <si>
    <t>4857-04-</t>
    <phoneticPr fontId="3"/>
  </si>
  <si>
    <t>4858-22-</t>
    <phoneticPr fontId="2"/>
  </si>
  <si>
    <t>4858-15-</t>
    <phoneticPr fontId="3"/>
  </si>
  <si>
    <t>4858-17-</t>
    <phoneticPr fontId="3"/>
  </si>
  <si>
    <t>SPRING</t>
    <phoneticPr fontId="2"/>
  </si>
  <si>
    <t>SCREW BOLT</t>
    <phoneticPr fontId="2"/>
  </si>
  <si>
    <t>4606-08-</t>
    <phoneticPr fontId="3"/>
  </si>
  <si>
    <t>0005</t>
    <phoneticPr fontId="2"/>
  </si>
  <si>
    <t>0001</t>
    <phoneticPr fontId="2"/>
  </si>
  <si>
    <t>0002</t>
    <phoneticPr fontId="2"/>
  </si>
  <si>
    <t>0004</t>
    <phoneticPr fontId="2"/>
  </si>
  <si>
    <t>0003</t>
    <phoneticPr fontId="2"/>
  </si>
  <si>
    <t>4858-12-</t>
    <phoneticPr fontId="2"/>
  </si>
  <si>
    <t>4858-11-</t>
    <phoneticPr fontId="3"/>
  </si>
  <si>
    <t>-99</t>
    <phoneticPr fontId="2"/>
  </si>
  <si>
    <t>-01</t>
    <phoneticPr fontId="2"/>
  </si>
  <si>
    <t>-02</t>
    <phoneticPr fontId="2"/>
  </si>
  <si>
    <t>)</t>
    <phoneticPr fontId="2"/>
  </si>
  <si>
    <t>4858-01-</t>
    <phoneticPr fontId="3"/>
  </si>
  <si>
    <t>(4858-01-</t>
    <phoneticPr fontId="2"/>
  </si>
  <si>
    <t>(4858-09-</t>
    <phoneticPr fontId="2"/>
  </si>
  <si>
    <t>4858-08-</t>
    <phoneticPr fontId="3"/>
  </si>
  <si>
    <t>0009</t>
    <phoneticPr fontId="2"/>
  </si>
  <si>
    <t>0016</t>
    <phoneticPr fontId="2"/>
  </si>
  <si>
    <t>0015</t>
    <phoneticPr fontId="2"/>
  </si>
  <si>
    <t>0012</t>
    <phoneticPr fontId="2"/>
  </si>
  <si>
    <t>CONCENTRICITY
MEASURING PIN</t>
    <phoneticPr fontId="2"/>
  </si>
  <si>
    <t>U:\製造技術\yamamoto/設計基準・寸法・在庫データ/組切削_高松X-100＆XD-8（榊原）/X-100(D切削)/20171115_TOOLING%20LIST_X-100.xlsx</t>
    <phoneticPr fontId="14"/>
  </si>
  <si>
    <t>4858-08-</t>
    <phoneticPr fontId="14"/>
  </si>
  <si>
    <t>4858-11-</t>
    <phoneticPr fontId="14"/>
  </si>
  <si>
    <t>4858-12-</t>
    <phoneticPr fontId="14"/>
  </si>
  <si>
    <t>data
base</t>
    <phoneticPr fontId="14"/>
  </si>
  <si>
    <t>STAKING</t>
    <phoneticPr fontId="2"/>
  </si>
  <si>
    <t>U:\製造技術\yamamoto/設計基準・寸法・在庫データ/超仕上げ_球面超仕上機_治具（山本）/20180301_TOOLING%20LIST_SUPER%20SPHERE%20FINISH.xlsx</t>
    <phoneticPr fontId="14"/>
  </si>
  <si>
    <t>U:\製造技術\yamamoto/設計基準・寸法・在庫データ/仕上_3PCSボディ用バニシングツール/20160120_BURNISHING%20TOOL%20LIST.xlsx</t>
    <phoneticPr fontId="14"/>
  </si>
  <si>
    <t>SR-</t>
    <phoneticPr fontId="14"/>
  </si>
  <si>
    <t>R-</t>
    <phoneticPr fontId="14"/>
  </si>
  <si>
    <t>U:\製造技術\yamamoto/設計基準・寸法・在庫データ/仕上_ハンドプレス全般/仕上_ハンドプレス_SPH挿入治具(中井寿)/20170927_SPH挿入治具(中井寿).xlsx</t>
    <phoneticPr fontId="14"/>
  </si>
  <si>
    <t>R/P測定用</t>
    <rPh sb="3" eb="5">
      <t>ソクテイ</t>
    </rPh>
    <rPh sb="5" eb="6">
      <t>ヨウ</t>
    </rPh>
    <phoneticPr fontId="14"/>
  </si>
  <si>
    <t>WORK SUPPORTER (1)</t>
    <phoneticPr fontId="14"/>
  </si>
  <si>
    <t>WORK SUPPORTER (2)</t>
    <phoneticPr fontId="14"/>
  </si>
  <si>
    <t>ECCENTRIC PIN</t>
    <phoneticPr fontId="14"/>
  </si>
  <si>
    <t>9764-03-</t>
    <phoneticPr fontId="14"/>
  </si>
  <si>
    <t>SCREW</t>
    <phoneticPr fontId="14"/>
  </si>
  <si>
    <t>9738-05-</t>
    <phoneticPr fontId="2"/>
  </si>
  <si>
    <t>HAND
FEEL
INSPECT</t>
    <phoneticPr fontId="2"/>
  </si>
  <si>
    <t>PLATE</t>
    <phoneticPr fontId="14"/>
  </si>
  <si>
    <t>FILL
GREASE</t>
    <phoneticPr fontId="14"/>
  </si>
  <si>
    <t>ASSEMBLY (2)</t>
    <phoneticPr fontId="2"/>
  </si>
  <si>
    <t>4645-01-</t>
    <phoneticPr fontId="2"/>
  </si>
  <si>
    <t>4645-02-</t>
    <phoneticPr fontId="2"/>
  </si>
  <si>
    <t>-</t>
    <phoneticPr fontId="14"/>
  </si>
  <si>
    <t>9764-01-</t>
    <phoneticPr fontId="2"/>
  </si>
  <si>
    <t>9713-08-</t>
    <phoneticPr fontId="2"/>
  </si>
  <si>
    <t>MISUMI</t>
    <phoneticPr fontId="14"/>
  </si>
  <si>
    <t>揺動トルク要求が
有る場合のみ設計
する。</t>
    <rPh sb="0" eb="1">
      <t>ヨウ</t>
    </rPh>
    <rPh sb="1" eb="2">
      <t>ドウ</t>
    </rPh>
    <rPh sb="5" eb="7">
      <t>ヨウキュウ</t>
    </rPh>
    <rPh sb="9" eb="10">
      <t>ア</t>
    </rPh>
    <rPh sb="11" eb="13">
      <t>バアイ</t>
    </rPh>
    <rPh sb="15" eb="17">
      <t>セッケイ</t>
    </rPh>
    <phoneticPr fontId="14"/>
  </si>
  <si>
    <t>9764-01-</t>
    <phoneticPr fontId="14"/>
  </si>
  <si>
    <t>NC GRIND</t>
    <phoneticPr fontId="3"/>
  </si>
  <si>
    <t>ROTARY DRESSER</t>
    <phoneticPr fontId="3"/>
  </si>
  <si>
    <t>4800-42-</t>
    <phoneticPr fontId="2"/>
  </si>
  <si>
    <t>DD</t>
    <phoneticPr fontId="14"/>
  </si>
  <si>
    <t>BLADE</t>
    <phoneticPr fontId="3"/>
  </si>
  <si>
    <t>4029-01-</t>
    <phoneticPr fontId="14"/>
  </si>
  <si>
    <t>オーダーリスト：2PCS</t>
    <phoneticPr fontId="14"/>
  </si>
  <si>
    <t>CARRIER (R)</t>
    <phoneticPr fontId="3"/>
  </si>
  <si>
    <t>4029-02-</t>
    <phoneticPr fontId="14"/>
  </si>
  <si>
    <t>CARRIER (F)</t>
    <phoneticPr fontId="3"/>
  </si>
  <si>
    <t>4029-03-</t>
    <phoneticPr fontId="14"/>
  </si>
  <si>
    <t>SLEEVE</t>
    <phoneticPr fontId="3"/>
  </si>
  <si>
    <t>4029-04-</t>
    <phoneticPr fontId="14"/>
  </si>
  <si>
    <t>オーダーリスト：2PCS,Subpart of 4029-06-</t>
    <phoneticPr fontId="14"/>
  </si>
  <si>
    <t>SEPARATE BLOCK</t>
    <phoneticPr fontId="14"/>
  </si>
  <si>
    <t>4029-06-</t>
    <phoneticPr fontId="14"/>
  </si>
  <si>
    <t>オーダーリスト：1PCS</t>
    <phoneticPr fontId="14"/>
  </si>
  <si>
    <t>SEPARATE PLATE</t>
    <phoneticPr fontId="3"/>
  </si>
  <si>
    <t>4029-07-</t>
    <phoneticPr fontId="14"/>
  </si>
  <si>
    <t>LIFTER GUIDE</t>
    <phoneticPr fontId="14"/>
  </si>
  <si>
    <t>4029-08-</t>
    <phoneticPr fontId="14"/>
  </si>
  <si>
    <t>LIFTER</t>
    <phoneticPr fontId="14"/>
  </si>
  <si>
    <t>4029-09-</t>
    <phoneticPr fontId="14"/>
  </si>
  <si>
    <t>GUIDE TUBE (1)</t>
    <phoneticPr fontId="14"/>
  </si>
  <si>
    <t>4029-13-</t>
    <phoneticPr fontId="14"/>
  </si>
  <si>
    <t>GUIDE TUBE (2)</t>
    <phoneticPr fontId="14"/>
  </si>
  <si>
    <t>4029-14</t>
    <phoneticPr fontId="14"/>
  </si>
  <si>
    <t>TUBE</t>
    <phoneticPr fontId="14"/>
  </si>
  <si>
    <t>NT-</t>
    <phoneticPr fontId="14"/>
  </si>
  <si>
    <t>R砥石調整ブロック</t>
    <phoneticPr fontId="3"/>
  </si>
  <si>
    <t>4805-01-</t>
    <phoneticPr fontId="14"/>
  </si>
  <si>
    <t>ガイドブロック</t>
    <phoneticPr fontId="3"/>
  </si>
  <si>
    <t>4805-03-</t>
    <phoneticPr fontId="14"/>
  </si>
  <si>
    <t>サイドプレートR</t>
    <phoneticPr fontId="3"/>
  </si>
  <si>
    <t>4805-04-</t>
    <phoneticPr fontId="14"/>
  </si>
  <si>
    <t>サイドプレートL</t>
    <phoneticPr fontId="3"/>
  </si>
  <si>
    <t>4805-05-</t>
    <phoneticPr fontId="14"/>
  </si>
  <si>
    <t>ワークチェンジ</t>
    <phoneticPr fontId="14"/>
  </si>
  <si>
    <t>4805-06-</t>
    <phoneticPr fontId="14"/>
  </si>
  <si>
    <t>ワークホルダー</t>
    <phoneticPr fontId="3"/>
  </si>
  <si>
    <t>4805-07-</t>
    <phoneticPr fontId="14"/>
  </si>
  <si>
    <t>4805-08-</t>
    <phoneticPr fontId="14"/>
  </si>
  <si>
    <t>4805-09-</t>
    <phoneticPr fontId="14"/>
  </si>
  <si>
    <t>ワークキャリア</t>
    <phoneticPr fontId="3"/>
  </si>
  <si>
    <t>4805-10-</t>
    <phoneticPr fontId="14"/>
  </si>
  <si>
    <t>ブレード</t>
    <phoneticPr fontId="14"/>
  </si>
  <si>
    <t>4805-11-</t>
    <phoneticPr fontId="14"/>
  </si>
  <si>
    <t>U:\製造技術\yamamoto\設計基準・寸法・在庫データ\テフロン_フランジスリーブ用プレート・リング\20180119_TFE_BONDINGツーリングリスト(フランジスリーブ).xlsx</t>
    <phoneticPr fontId="14"/>
  </si>
  <si>
    <t>U:\製造技術\yamamoto/設計基準・寸法・在庫データ/センタレス_ローラーピン(Sigma-18-I)（積山）/20160609_TOOLING%20LIST_Sigma-18-I_ROLLER%20PIN.xlsx</t>
    <phoneticPr fontId="14"/>
  </si>
  <si>
    <t>U:\製造技術\yamamoto\設計基準・寸法・在庫データ\センタレス_ローラーピンKS-450C（山本）\20160324_TOOLING LIST_KS-450C_ROLLER PIN.xlsx</t>
    <phoneticPr fontId="14"/>
  </si>
  <si>
    <t>4029-10-</t>
    <phoneticPr fontId="14"/>
  </si>
  <si>
    <t>0003</t>
    <phoneticPr fontId="14"/>
  </si>
  <si>
    <t>0004</t>
    <phoneticPr fontId="14"/>
  </si>
  <si>
    <t>4029-10-</t>
    <phoneticPr fontId="14"/>
  </si>
  <si>
    <t>-</t>
    <phoneticPr fontId="14"/>
  </si>
  <si>
    <t>マザック
VCS530C</t>
    <phoneticPr fontId="14"/>
  </si>
  <si>
    <t>Mill Keyway Assy</t>
    <phoneticPr fontId="14"/>
  </si>
  <si>
    <t>Arbor</t>
    <phoneticPr fontId="14"/>
  </si>
  <si>
    <t>Collar</t>
    <phoneticPr fontId="14"/>
  </si>
  <si>
    <t>Nut</t>
    <phoneticPr fontId="14"/>
  </si>
  <si>
    <t>Cutter</t>
    <phoneticPr fontId="14"/>
  </si>
  <si>
    <t>T-slot cutter</t>
    <phoneticPr fontId="14"/>
  </si>
  <si>
    <t>End mill cutter</t>
    <phoneticPr fontId="14"/>
  </si>
  <si>
    <t>x-52無しの場合</t>
    <phoneticPr fontId="14"/>
  </si>
  <si>
    <t>-99)</t>
    <phoneticPr fontId="14"/>
  </si>
  <si>
    <t>-03</t>
    <phoneticPr fontId="14"/>
  </si>
  <si>
    <t>(4908-05-</t>
    <phoneticPr fontId="14"/>
  </si>
  <si>
    <t>4908-05-</t>
    <phoneticPr fontId="14"/>
  </si>
  <si>
    <t>U:\製造技術\yamamoto/設計基準・寸法・在庫データ/マシニング_ロックナットキー溝加工治具（スラチャイ）/20170614_ロックナットキー溝加工治具.xlsx</t>
    <phoneticPr fontId="14"/>
  </si>
  <si>
    <t>(4908-05-</t>
    <phoneticPr fontId="14"/>
  </si>
  <si>
    <t>W/M</t>
    <phoneticPr fontId="14"/>
  </si>
  <si>
    <t>X-52-</t>
    <phoneticPr fontId="14"/>
  </si>
  <si>
    <t>(CB-</t>
    <phoneticPr fontId="14"/>
  </si>
  <si>
    <t>(CB</t>
    <phoneticPr fontId="14"/>
  </si>
  <si>
    <t>(CB</t>
    <phoneticPr fontId="14"/>
  </si>
  <si>
    <t>4866-10-</t>
    <phoneticPr fontId="14"/>
  </si>
  <si>
    <t>FWSSA-D</t>
    <phoneticPr fontId="14"/>
  </si>
  <si>
    <t>※：既に日本設備用の治具情報がK-INFに記載されている場合、上記表に記録し、所定のエクセル(下記参照)へ入力の上保存すること</t>
    <rPh sb="2" eb="3">
      <t>スデ</t>
    </rPh>
    <rPh sb="4" eb="6">
      <t>ニホン</t>
    </rPh>
    <rPh sb="6" eb="8">
      <t>セツビ</t>
    </rPh>
    <rPh sb="8" eb="9">
      <t>ヨウ</t>
    </rPh>
    <rPh sb="10" eb="11">
      <t>ジ</t>
    </rPh>
    <rPh sb="11" eb="12">
      <t>グ</t>
    </rPh>
    <rPh sb="12" eb="14">
      <t>ジョウホウ</t>
    </rPh>
    <rPh sb="21" eb="23">
      <t>キサイ</t>
    </rPh>
    <rPh sb="28" eb="30">
      <t>バアイ</t>
    </rPh>
    <rPh sb="31" eb="33">
      <t>ジョウキ</t>
    </rPh>
    <rPh sb="33" eb="34">
      <t>ヒョウ</t>
    </rPh>
    <rPh sb="35" eb="37">
      <t>キロク</t>
    </rPh>
    <rPh sb="39" eb="41">
      <t>ショテイ</t>
    </rPh>
    <rPh sb="47" eb="49">
      <t>カキ</t>
    </rPh>
    <rPh sb="49" eb="51">
      <t>サンショウ</t>
    </rPh>
    <rPh sb="53" eb="55">
      <t>ニュウリョク</t>
    </rPh>
    <rPh sb="56" eb="57">
      <t>ウエ</t>
    </rPh>
    <rPh sb="57" eb="59">
      <t>ホゾン</t>
    </rPh>
    <phoneticPr fontId="14"/>
  </si>
  <si>
    <t>先
に
確
認
！
！
→</t>
    <rPh sb="0" eb="1">
      <t>サキ</t>
    </rPh>
    <rPh sb="4" eb="5">
      <t>アキラ</t>
    </rPh>
    <rPh sb="6" eb="7">
      <t>シノブ</t>
    </rPh>
    <phoneticPr fontId="14"/>
  </si>
  <si>
    <t>U:\製造技術\yamamoto\設計基準・寸法・在庫データ\センタレス_ローラーピン(Sigma-18-I)（積山）\20160609_TOOLING LIST_Sigma-18-I_ROLLER PIN.xlsx</t>
    <phoneticPr fontId="14"/>
  </si>
  <si>
    <t>東振
Sigma-18-I</t>
    <rPh sb="0" eb="1">
      <t>トウ</t>
    </rPh>
    <rPh sb="1" eb="2">
      <t>シン</t>
    </rPh>
    <phoneticPr fontId="3"/>
  </si>
  <si>
    <t>minebea
KS-450C</t>
    <phoneticPr fontId="3"/>
  </si>
  <si>
    <t>DD</t>
    <phoneticPr fontId="14"/>
  </si>
  <si>
    <t>0001</t>
    <phoneticPr fontId="14"/>
  </si>
  <si>
    <t>4001-01-</t>
    <phoneticPr fontId="3"/>
  </si>
  <si>
    <t>0099</t>
    <phoneticPr fontId="2"/>
  </si>
  <si>
    <t>DRILL TAP HOLE
TAP
MILL KEYWAY
WRENCH FLAT MILL</t>
    <phoneticPr fontId="2"/>
  </si>
  <si>
    <t>U:\製造技術\yamamoto\設計基準・寸法・在庫データ\マシニング_タップ加工用治具_NSV1555FE（山本）/20150527_スギノマシンタップ用治具.xls</t>
    <phoneticPr fontId="14"/>
  </si>
  <si>
    <t>KS-400
B6</t>
    <phoneticPr fontId="3"/>
  </si>
  <si>
    <t>DRIVER</t>
  </si>
  <si>
    <t>LOADING CHUTE</t>
    <phoneticPr fontId="3"/>
  </si>
  <si>
    <t>PILOT PIN ASSY</t>
    <phoneticPr fontId="3"/>
  </si>
  <si>
    <t>PLUG</t>
  </si>
  <si>
    <t>WORK GUIDE</t>
    <phoneticPr fontId="3"/>
  </si>
  <si>
    <t>FRONT SHOE</t>
    <phoneticPr fontId="3"/>
  </si>
  <si>
    <t>REAR SHOE</t>
    <phoneticPr fontId="3"/>
  </si>
  <si>
    <t>WORK PUSHER</t>
    <phoneticPr fontId="3"/>
  </si>
  <si>
    <t>STOCKER CHUTE</t>
    <phoneticPr fontId="14"/>
  </si>
  <si>
    <t>ROTARY DRESSER</t>
    <phoneticPr fontId="3"/>
  </si>
  <si>
    <t>4931-01-</t>
    <phoneticPr fontId="2"/>
  </si>
  <si>
    <t>4931-02-</t>
    <phoneticPr fontId="3"/>
  </si>
  <si>
    <t>4931-03-             -99</t>
    <phoneticPr fontId="2"/>
  </si>
  <si>
    <t>4931-06-</t>
  </si>
  <si>
    <t>4931-06-</t>
    <phoneticPr fontId="2"/>
  </si>
  <si>
    <t>4931-09-</t>
  </si>
  <si>
    <t>4931-09-</t>
    <phoneticPr fontId="14"/>
  </si>
  <si>
    <t>4931-11-</t>
    <phoneticPr fontId="2"/>
  </si>
  <si>
    <t>4931-12-</t>
  </si>
  <si>
    <t>4931-12-</t>
    <phoneticPr fontId="2"/>
  </si>
  <si>
    <t>4931-14-</t>
  </si>
  <si>
    <t>4931-14-</t>
    <phoneticPr fontId="2"/>
  </si>
  <si>
    <t>4664-34-</t>
  </si>
  <si>
    <t>4664-34-</t>
    <phoneticPr fontId="2"/>
  </si>
  <si>
    <t>4800-42-</t>
    <phoneticPr fontId="2"/>
  </si>
  <si>
    <t>4931-03-</t>
    <phoneticPr fontId="14"/>
  </si>
  <si>
    <t>4931-01-</t>
    <phoneticPr fontId="14"/>
  </si>
  <si>
    <t>4931-02-</t>
    <phoneticPr fontId="14"/>
  </si>
  <si>
    <t>4931-11-</t>
    <phoneticPr fontId="14"/>
  </si>
  <si>
    <t>U:\製造技術\yamamoto\設計基準・寸法・在庫データ\研磨_溝研機_KS-400B6（阿部）\20170317_TOOLING LIST_KS-400B6.xlsx</t>
    <phoneticPr fontId="14"/>
  </si>
  <si>
    <t>KS400
B1～B2</t>
    <phoneticPr fontId="3"/>
  </si>
  <si>
    <t>4918-03-</t>
    <phoneticPr fontId="14"/>
  </si>
  <si>
    <t>W/M</t>
  </si>
  <si>
    <t xml:space="preserve">※2：AHJ/AHJFのCRESS材の場合は～#24, AHJ/AHJFのALUMINIUM材の場合は～#16 </t>
    <phoneticPr fontId="14"/>
  </si>
  <si>
    <t>PALLET</t>
    <phoneticPr fontId="14"/>
  </si>
  <si>
    <t>SPACER</t>
    <phoneticPr fontId="14"/>
  </si>
  <si>
    <t>U:\製造技術\yamamoto\設計基準・寸法・在庫データ\転造_ロールダイス（山本）/ロールダイスリスト_20130417YAMAMOTO.xls</t>
    <phoneticPr fontId="14"/>
  </si>
  <si>
    <t>TH CODE</t>
    <phoneticPr fontId="2"/>
  </si>
  <si>
    <t>有り・無し</t>
    <rPh sb="0" eb="1">
      <t>ア</t>
    </rPh>
    <rPh sb="3" eb="4">
      <t>ナ</t>
    </rPh>
    <phoneticPr fontId="2"/>
  </si>
  <si>
    <t>W/MのTH4ケタを確認（THAIで実績が無い場合、TAP有無を問い合わせる事）</t>
    <rPh sb="10" eb="12">
      <t>カクニン</t>
    </rPh>
    <rPh sb="18" eb="20">
      <t>ジッセキ</t>
    </rPh>
    <rPh sb="21" eb="22">
      <t>ナ</t>
    </rPh>
    <rPh sb="23" eb="25">
      <t>バアイ</t>
    </rPh>
    <rPh sb="29" eb="30">
      <t>ユウ</t>
    </rPh>
    <rPh sb="30" eb="31">
      <t>ム</t>
    </rPh>
    <rPh sb="32" eb="33">
      <t>ト</t>
    </rPh>
    <rPh sb="34" eb="35">
      <t>ア</t>
    </rPh>
    <rPh sb="38" eb="39">
      <t>コト</t>
    </rPh>
    <phoneticPr fontId="2"/>
  </si>
  <si>
    <t>HOLDER</t>
    <phoneticPr fontId="2"/>
  </si>
  <si>
    <t>MXC-</t>
    <phoneticPr fontId="3"/>
  </si>
  <si>
    <t>HOLDER</t>
    <phoneticPr fontId="14"/>
  </si>
  <si>
    <t>PRESSURE ROTORとTYPE一致のこと #(KCS)#がある場合は載せない</t>
    <rPh sb="35" eb="37">
      <t>バアイ</t>
    </rPh>
    <rPh sb="38" eb="39">
      <t>ノ</t>
    </rPh>
    <phoneticPr fontId="14"/>
  </si>
  <si>
    <t>U:\製造技術\yamamoto\設計基準・寸法・在庫データ\組切削_高松X-100＆XD-8（榊原）\XD-8(T切削)/20180802_TOOLING LIST_XD-8.xlsx</t>
    <phoneticPr fontId="14"/>
  </si>
  <si>
    <t>PALLET</t>
    <phoneticPr fontId="2"/>
  </si>
  <si>
    <t>SPACER</t>
    <phoneticPr fontId="2"/>
  </si>
  <si>
    <t>4918-03-</t>
    <phoneticPr fontId="2"/>
  </si>
  <si>
    <t>-</t>
    <phoneticPr fontId="14"/>
  </si>
  <si>
    <t>CONCENTRICITY
MEASURING PIN</t>
    <phoneticPr fontId="14"/>
  </si>
  <si>
    <t>9901-09-</t>
    <phoneticPr fontId="14"/>
  </si>
  <si>
    <t>2018.12.10　THAI小林さんからの要望。φ40以上のD切削はX-100で手動で加工したい。その為、この3点の治具は選定して欲しい。</t>
    <rPh sb="15" eb="17">
      <t>コバヤシ</t>
    </rPh>
    <rPh sb="22" eb="24">
      <t>ヨウボウ</t>
    </rPh>
    <rPh sb="28" eb="30">
      <t>イジョウ</t>
    </rPh>
    <rPh sb="32" eb="34">
      <t>セッサク</t>
    </rPh>
    <rPh sb="41" eb="43">
      <t>シュドウ</t>
    </rPh>
    <rPh sb="44" eb="46">
      <t>カコウ</t>
    </rPh>
    <rPh sb="52" eb="53">
      <t>タメ</t>
    </rPh>
    <rPh sb="57" eb="58">
      <t>テン</t>
    </rPh>
    <rPh sb="59" eb="60">
      <t>ジ</t>
    </rPh>
    <rPh sb="60" eb="61">
      <t>グ</t>
    </rPh>
    <rPh sb="62" eb="64">
      <t>センテイ</t>
    </rPh>
    <rPh sb="66" eb="67">
      <t>ホ</t>
    </rPh>
    <phoneticPr fontId="14"/>
  </si>
  <si>
    <t>T切削治具は不要。ツガミMB-08Y（三つ爪チャック）で加工の為、治具不使用。IDY</t>
    <rPh sb="1" eb="3">
      <t>セッサク</t>
    </rPh>
    <rPh sb="3" eb="4">
      <t>ジ</t>
    </rPh>
    <rPh sb="4" eb="5">
      <t>グ</t>
    </rPh>
    <rPh sb="6" eb="8">
      <t>フヨウ</t>
    </rPh>
    <rPh sb="19" eb="20">
      <t>ミ</t>
    </rPh>
    <rPh sb="21" eb="22">
      <t>ツメ</t>
    </rPh>
    <rPh sb="28" eb="30">
      <t>カコウ</t>
    </rPh>
    <rPh sb="31" eb="32">
      <t>タメ</t>
    </rPh>
    <rPh sb="33" eb="34">
      <t>ジ</t>
    </rPh>
    <rPh sb="34" eb="35">
      <t>グ</t>
    </rPh>
    <rPh sb="35" eb="38">
      <t>フシヨウ</t>
    </rPh>
    <phoneticPr fontId="14"/>
  </si>
  <si>
    <t xml:space="preserve">4800-31-      </t>
    <phoneticPr fontId="2"/>
  </si>
  <si>
    <t>NOZZLE ASSY</t>
    <phoneticPr fontId="2"/>
  </si>
  <si>
    <t>NOZZLE</t>
    <phoneticPr fontId="14"/>
  </si>
  <si>
    <t>PIN</t>
    <phoneticPr fontId="14"/>
  </si>
  <si>
    <t>4800-31-</t>
    <phoneticPr fontId="14"/>
  </si>
  <si>
    <t>-01</t>
    <phoneticPr fontId="14"/>
  </si>
  <si>
    <t>-02</t>
    <phoneticPr fontId="14"/>
  </si>
  <si>
    <t>-99</t>
    <phoneticPr fontId="14"/>
  </si>
  <si>
    <t>ストッカーシュートはTHAIからリクエストがある物以外不要</t>
    <rPh sb="24" eb="25">
      <t>モノ</t>
    </rPh>
    <rPh sb="25" eb="27">
      <t>イガイ</t>
    </rPh>
    <rPh sb="27" eb="29">
      <t>フヨウ</t>
    </rPh>
    <phoneticPr fontId="14"/>
  </si>
  <si>
    <t>2018.12.17 IDY</t>
    <phoneticPr fontId="14"/>
  </si>
  <si>
    <t>KINMEI</t>
    <phoneticPr fontId="14"/>
  </si>
  <si>
    <t>球径：54mmMAX
巾：14mmMIN
内径：8.4mmMIN
(把握能力：90mm(?)MAX)</t>
    <phoneticPr fontId="2"/>
  </si>
  <si>
    <t>MALE BODY WITH KEYWAY SLOT</t>
    <phoneticPr fontId="14"/>
  </si>
  <si>
    <t>FEMALE BODY</t>
    <phoneticPr fontId="2"/>
  </si>
  <si>
    <t xml:space="preserve">BALL BEARING BODY </t>
    <phoneticPr fontId="14"/>
  </si>
  <si>
    <t>RECIPROCATE BEARING BODY</t>
    <phoneticPr fontId="14"/>
  </si>
  <si>
    <t>RACE (NOT REQUIRED GRINDING)</t>
    <phoneticPr fontId="2"/>
  </si>
  <si>
    <t>SLEEVE</t>
    <phoneticPr fontId="14"/>
  </si>
  <si>
    <t>BOEING SLEEVE (AHJFAY SERIES)</t>
    <phoneticPr fontId="14"/>
  </si>
  <si>
    <t>SLEEVE (ID GRIND)</t>
    <phoneticPr fontId="2"/>
  </si>
  <si>
    <t>標準ボール (ID＜15.875、OD＜32 W≦29)</t>
    <phoneticPr fontId="14"/>
  </si>
  <si>
    <t>標準ボール (15.875≦ID、OD≦32、W≦29)</t>
    <phoneticPr fontId="2"/>
  </si>
  <si>
    <t xml:space="preserve">標準ボール　(つなぎ要求無のYボール可)　(ID≦15.875、32≦OD)
</t>
    <phoneticPr fontId="14"/>
  </si>
  <si>
    <t>内径にTFE有タイプ</t>
    <phoneticPr fontId="14"/>
  </si>
  <si>
    <t xml:space="preserve">数物(月1000個程) Y-BALL(繋ぎR要求可)等 (15.875＜ID)
</t>
    <phoneticPr fontId="2"/>
  </si>
  <si>
    <t xml:space="preserve">UK_BALL1   ID≦15.875、OD≦32 </t>
    <phoneticPr fontId="14"/>
  </si>
  <si>
    <t>OD&lt;20 (J-WAVE)</t>
    <phoneticPr fontId="14"/>
  </si>
  <si>
    <t>D→T</t>
    <phoneticPr fontId="14"/>
  </si>
  <si>
    <t>D→DT</t>
    <phoneticPr fontId="2"/>
  </si>
  <si>
    <t>sph中型</t>
    <rPh sb="3" eb="5">
      <t>チュウガタ</t>
    </rPh>
    <phoneticPr fontId="14"/>
  </si>
  <si>
    <t>3PCS</t>
    <phoneticPr fontId="2"/>
  </si>
  <si>
    <t>ROLLER PIN</t>
    <phoneticPr fontId="14"/>
  </si>
  <si>
    <t>LOCK NUT</t>
    <phoneticPr fontId="14"/>
  </si>
  <si>
    <t xml:space="preserve">2019.03.25 THAI小林さんより。SPH BRG TURNで一発で仕上げるようなものについては通常のTUGAMI機で加工できるのでX-100での外径切削が必要ありません。今回4ABYT16V(R)-T移管
</t>
    <rPh sb="15" eb="17">
      <t>コバヤシ</t>
    </rPh>
    <rPh sb="90" eb="92">
      <t>コンカイ</t>
    </rPh>
    <rPh sb="105" eb="107">
      <t>イカン</t>
    </rPh>
    <phoneticPr fontId="14"/>
  </si>
  <si>
    <t>INNOV</t>
  </si>
  <si>
    <t>0091</t>
    <phoneticPr fontId="14"/>
  </si>
  <si>
    <t>0311</t>
    <phoneticPr fontId="14"/>
  </si>
  <si>
    <t>0351
0041</t>
    <phoneticPr fontId="14"/>
  </si>
  <si>
    <t>ROUGH FINISH ID</t>
    <phoneticPr fontId="3"/>
  </si>
  <si>
    <t>0451</t>
    <phoneticPr fontId="14"/>
  </si>
  <si>
    <t>KNURING</t>
    <phoneticPr fontId="2"/>
  </si>
  <si>
    <t>1851</t>
    <phoneticPr fontId="14"/>
  </si>
  <si>
    <t>0311</t>
    <phoneticPr fontId="2"/>
  </si>
  <si>
    <t>0451</t>
    <phoneticPr fontId="2"/>
  </si>
  <si>
    <t xml:space="preserve">0331 </t>
    <phoneticPr fontId="2"/>
  </si>
  <si>
    <t>0431</t>
    <phoneticPr fontId="2"/>
  </si>
  <si>
    <t>0411</t>
    <phoneticPr fontId="2"/>
  </si>
  <si>
    <t>0091</t>
    <phoneticPr fontId="2"/>
  </si>
  <si>
    <t>0411</t>
    <phoneticPr fontId="14"/>
  </si>
  <si>
    <t>1841</t>
    <phoneticPr fontId="14"/>
  </si>
  <si>
    <t>Process</t>
    <phoneticPr fontId="3"/>
  </si>
  <si>
    <t>2031</t>
    <phoneticPr fontId="14"/>
  </si>
  <si>
    <t>2511</t>
    <phoneticPr fontId="2"/>
  </si>
  <si>
    <t>2561</t>
    <phoneticPr fontId="2"/>
  </si>
  <si>
    <t>2401</t>
    <phoneticPr fontId="2"/>
  </si>
  <si>
    <t>2411
2412</t>
    <phoneticPr fontId="2"/>
  </si>
  <si>
    <t>3161</t>
    <phoneticPr fontId="2"/>
  </si>
  <si>
    <t>0101</t>
    <phoneticPr fontId="14"/>
  </si>
  <si>
    <t>0101</t>
    <phoneticPr fontId="2"/>
  </si>
  <si>
    <t>FINISH ID
CHAMFER
ID SPH TURN</t>
    <phoneticPr fontId="3"/>
  </si>
  <si>
    <t xml:space="preserve">
X-100</t>
    <phoneticPr fontId="3"/>
  </si>
  <si>
    <t>XD-8</t>
    <phoneticPr fontId="2"/>
  </si>
  <si>
    <t>X-100</t>
    <phoneticPr fontId="3"/>
  </si>
  <si>
    <t>XD-8</t>
    <phoneticPr fontId="2"/>
  </si>
  <si>
    <t>2071
2021</t>
    <phoneticPr fontId="14"/>
  </si>
  <si>
    <t>EXCEL</t>
    <phoneticPr fontId="14"/>
  </si>
  <si>
    <t>U:\製造技術\yamamoto\設計基準・寸法・在庫データ\切削_頭部切削_BODY COLLET(MPA)_MAZAK QTN200（百瀬）</t>
    <phoneticPr fontId="14"/>
  </si>
  <si>
    <t>4853-06-</t>
    <phoneticPr fontId="14"/>
  </si>
  <si>
    <t>0151
1811
1851
0321</t>
    <phoneticPr fontId="14"/>
  </si>
  <si>
    <t>0091</t>
    <phoneticPr fontId="14"/>
  </si>
  <si>
    <t>0351</t>
    <phoneticPr fontId="14"/>
  </si>
  <si>
    <t>0451</t>
    <phoneticPr fontId="14"/>
  </si>
  <si>
    <t>0331</t>
    <phoneticPr fontId="14"/>
  </si>
  <si>
    <t>4853-01-</t>
    <phoneticPr fontId="14"/>
  </si>
  <si>
    <t>BACKING PLATE</t>
    <phoneticPr fontId="14"/>
  </si>
  <si>
    <t>JAW</t>
    <phoneticPr fontId="14"/>
  </si>
  <si>
    <t>1121
1061</t>
    <phoneticPr fontId="14"/>
  </si>
  <si>
    <t>2071</t>
    <phoneticPr fontId="2"/>
  </si>
  <si>
    <r>
      <t>S</t>
    </r>
    <r>
      <rPr>
        <sz val="11"/>
        <color indexed="8"/>
        <rFont val="ＭＳ Ｐゴシック"/>
        <family val="3"/>
        <charset val="128"/>
      </rPr>
      <t>ET PIN+0.05まで許容可。2020/01/23斎藤</t>
    </r>
    <rPh sb="14" eb="16">
      <t>キョヨウ</t>
    </rPh>
    <rPh sb="16" eb="17">
      <t>カ</t>
    </rPh>
    <rPh sb="28" eb="30">
      <t>サイトウ</t>
    </rPh>
    <phoneticPr fontId="14"/>
  </si>
  <si>
    <t>SET PIN+0.05まで許容可。2020/01/23斎藤</t>
    <phoneticPr fontId="2"/>
  </si>
  <si>
    <t>SET PIN+0.05まで許容可。2020/01/23斎藤</t>
    <phoneticPr fontId="14"/>
  </si>
  <si>
    <t>SET PIN+0.05まで許容可。2020/01/23斎藤</t>
    <phoneticPr fontId="2"/>
  </si>
  <si>
    <t>SET PIN+0.05まで許容可。2020/01/23斎藤</t>
    <phoneticPr fontId="14"/>
  </si>
  <si>
    <t>SET PIN+0.05まで許容可。2020/01/23斎藤</t>
    <phoneticPr fontId="14"/>
  </si>
  <si>
    <t>NC GRIND</t>
    <phoneticPr fontId="2"/>
  </si>
  <si>
    <t>SUPER FINISH</t>
    <phoneticPr fontId="2"/>
  </si>
  <si>
    <t>WORK DRIVER</t>
    <phoneticPr fontId="2"/>
  </si>
  <si>
    <t>PINTLE</t>
    <phoneticPr fontId="2"/>
  </si>
  <si>
    <t>FRONT SHOE</t>
    <phoneticPr fontId="2"/>
  </si>
  <si>
    <t>4033-01-</t>
    <phoneticPr fontId="2"/>
  </si>
  <si>
    <t>4033-02-</t>
    <phoneticPr fontId="2"/>
  </si>
  <si>
    <t>4033-03-</t>
    <phoneticPr fontId="2"/>
  </si>
  <si>
    <t>巾仕上げ時の公差により設備制限があります。</t>
    <rPh sb="0" eb="1">
      <t>ハバ</t>
    </rPh>
    <rPh sb="1" eb="3">
      <t>シア</t>
    </rPh>
    <rPh sb="4" eb="5">
      <t>ジ</t>
    </rPh>
    <rPh sb="6" eb="8">
      <t>コウサ</t>
    </rPh>
    <rPh sb="11" eb="13">
      <t>セツビ</t>
    </rPh>
    <rPh sb="13" eb="15">
      <t>セイゲン</t>
    </rPh>
    <phoneticPr fontId="14"/>
  </si>
  <si>
    <t>OC-16A</t>
    <phoneticPr fontId="2"/>
  </si>
  <si>
    <t>KN-113A</t>
    <phoneticPr fontId="2"/>
  </si>
  <si>
    <t>TECH ONE</t>
    <phoneticPr fontId="2"/>
  </si>
  <si>
    <t>ROTARY DREESER</t>
    <phoneticPr fontId="14"/>
  </si>
  <si>
    <t>CHUCK JAW</t>
    <phoneticPr fontId="2"/>
  </si>
  <si>
    <t>QUILL</t>
    <phoneticPr fontId="2"/>
  </si>
  <si>
    <t>4656-06-</t>
    <phoneticPr fontId="2"/>
  </si>
  <si>
    <t>4656-10-0001</t>
    <phoneticPr fontId="2"/>
  </si>
  <si>
    <t>1号機</t>
    <rPh sb="1" eb="3">
      <t>ゴウキ</t>
    </rPh>
    <phoneticPr fontId="14"/>
  </si>
  <si>
    <t>2号機</t>
    <rPh sb="1" eb="3">
      <t>ゴウキ</t>
    </rPh>
    <phoneticPr fontId="14"/>
  </si>
  <si>
    <t>TUBE STAY
（1号機）</t>
    <rPh sb="12" eb="14">
      <t>ゴウキ</t>
    </rPh>
    <phoneticPr fontId="3"/>
  </si>
  <si>
    <t>LIFTERの子部品(全型式共用)※1号機</t>
    <rPh sb="7" eb="8">
      <t>コ</t>
    </rPh>
    <rPh sb="8" eb="10">
      <t>ブヒン</t>
    </rPh>
    <rPh sb="11" eb="12">
      <t>ゼン</t>
    </rPh>
    <rPh sb="12" eb="14">
      <t>カタシキ</t>
    </rPh>
    <rPh sb="14" eb="16">
      <t>キョウヨウ</t>
    </rPh>
    <rPh sb="19" eb="21">
      <t>ゴウキ</t>
    </rPh>
    <phoneticPr fontId="14"/>
  </si>
  <si>
    <t>LIFTER STAY（1号機）</t>
    <rPh sb="13" eb="15">
      <t>ゴウキ</t>
    </rPh>
    <phoneticPr fontId="3"/>
  </si>
  <si>
    <t>TUBE STAY
（2号機）</t>
    <phoneticPr fontId="14"/>
  </si>
  <si>
    <t>4029-15-</t>
    <phoneticPr fontId="14"/>
  </si>
  <si>
    <t>4029-16-</t>
    <phoneticPr fontId="14"/>
  </si>
  <si>
    <t>N2-4-</t>
    <phoneticPr fontId="14"/>
  </si>
  <si>
    <t>1号機　MISUMI購入品　</t>
    <rPh sb="1" eb="3">
      <t>ゴウキ</t>
    </rPh>
    <rPh sb="10" eb="12">
      <t>コウニュウ</t>
    </rPh>
    <rPh sb="12" eb="13">
      <t>ヒン</t>
    </rPh>
    <phoneticPr fontId="14"/>
  </si>
  <si>
    <t>2号機　MISUMI購入品　</t>
    <rPh sb="1" eb="3">
      <t>ゴウキ</t>
    </rPh>
    <rPh sb="10" eb="12">
      <t>コウニュウ</t>
    </rPh>
    <rPh sb="12" eb="13">
      <t>ヒン</t>
    </rPh>
    <phoneticPr fontId="14"/>
  </si>
  <si>
    <t>※TURNING工程には事前に型式連絡をする事。→シチズンB12用ツーリング3アイテムをTHAIで確認。（主軸コレットチャック　ガイドブッシュ　背面コレットチャック）</t>
    <rPh sb="8" eb="10">
      <t>コウテイ</t>
    </rPh>
    <rPh sb="12" eb="14">
      <t>ジゼン</t>
    </rPh>
    <rPh sb="15" eb="17">
      <t>カタシキ</t>
    </rPh>
    <rPh sb="17" eb="19">
      <t>レンラク</t>
    </rPh>
    <rPh sb="22" eb="23">
      <t>コト</t>
    </rPh>
    <rPh sb="53" eb="55">
      <t>シュジク</t>
    </rPh>
    <rPh sb="72" eb="74">
      <t>ハイメン</t>
    </rPh>
    <phoneticPr fontId="14"/>
  </si>
  <si>
    <t>専用治具不要</t>
    <phoneticPr fontId="14"/>
  </si>
  <si>
    <t>CLEARANCE SELECT</t>
    <phoneticPr fontId="14"/>
  </si>
  <si>
    <t>ASSEMBLY(2)</t>
    <phoneticPr fontId="14"/>
  </si>
  <si>
    <t>SLEEVE INSERT JIG ASSY</t>
    <phoneticPr fontId="14"/>
  </si>
  <si>
    <t xml:space="preserve">PIN </t>
    <phoneticPr fontId="14"/>
  </si>
  <si>
    <t>SLEEVE PUSH OUT JIG ASSY</t>
    <phoneticPr fontId="14"/>
  </si>
  <si>
    <t>-01</t>
    <phoneticPr fontId="14"/>
  </si>
  <si>
    <t>-02</t>
    <phoneticPr fontId="14"/>
  </si>
  <si>
    <t>4577-09-</t>
    <phoneticPr fontId="14"/>
  </si>
  <si>
    <t>4577-09-</t>
    <phoneticPr fontId="14"/>
  </si>
  <si>
    <t>-01</t>
    <phoneticPr fontId="14"/>
  </si>
  <si>
    <t>4027-10-</t>
    <phoneticPr fontId="14"/>
  </si>
  <si>
    <t>HOLDER</t>
    <phoneticPr fontId="2"/>
  </si>
  <si>
    <t>NUT</t>
    <phoneticPr fontId="2"/>
  </si>
  <si>
    <t>4027-12-</t>
    <phoneticPr fontId="14"/>
  </si>
  <si>
    <t>-02</t>
    <phoneticPr fontId="14"/>
  </si>
  <si>
    <t>4027-03-</t>
    <phoneticPr fontId="14"/>
  </si>
  <si>
    <t>4027-08-</t>
    <phoneticPr fontId="14"/>
  </si>
  <si>
    <t>ヤトイ</t>
    <phoneticPr fontId="14"/>
  </si>
  <si>
    <t>4021-05-</t>
  </si>
  <si>
    <t>4021-05-</t>
    <phoneticPr fontId="2"/>
  </si>
  <si>
    <t>FILL GREASE</t>
    <phoneticPr fontId="14"/>
  </si>
  <si>
    <t>STAKING JIG ASSY</t>
    <phoneticPr fontId="2"/>
  </si>
  <si>
    <t>3003
2211</t>
    <phoneticPr fontId="14"/>
  </si>
  <si>
    <t>ASSEMBLY (3)
STAKING</t>
    <phoneticPr fontId="2"/>
  </si>
  <si>
    <t>4843-01-</t>
    <phoneticPr fontId="2"/>
  </si>
  <si>
    <t>-99</t>
    <phoneticPr fontId="14"/>
  </si>
  <si>
    <t>L/RMARKING</t>
    <phoneticPr fontId="14"/>
  </si>
  <si>
    <t>PALLET</t>
    <phoneticPr fontId="14"/>
  </si>
  <si>
    <t>4918-01-</t>
  </si>
  <si>
    <t>シールテーナ単体レーザマーキング治具</t>
    <rPh sb="6" eb="8">
      <t>タンタイ</t>
    </rPh>
    <rPh sb="16" eb="18">
      <t>ジグ</t>
    </rPh>
    <phoneticPr fontId="14"/>
  </si>
  <si>
    <t>4027-12-</t>
    <phoneticPr fontId="14"/>
  </si>
  <si>
    <t>V BLOCK(Triple)</t>
    <phoneticPr fontId="2"/>
  </si>
  <si>
    <t>memo</t>
    <phoneticPr fontId="14"/>
  </si>
  <si>
    <t>THAI NC GRIND（1181）設備加工限界　巾最大＝8.0mm　切削外径ストレート部最大＝φ5.19    2020/06/09 IDY（以前はφ5.14）</t>
    <rPh sb="36" eb="38">
      <t>セッサク</t>
    </rPh>
    <rPh sb="38" eb="39">
      <t>ソト</t>
    </rPh>
    <rPh sb="45" eb="46">
      <t>ブ</t>
    </rPh>
    <rPh sb="73" eb="75">
      <t>イゼン</t>
    </rPh>
    <phoneticPr fontId="14"/>
  </si>
  <si>
    <t>4645-02-</t>
    <phoneticPr fontId="14"/>
  </si>
  <si>
    <t xml:space="preserve">BASE </t>
    <phoneticPr fontId="14"/>
  </si>
  <si>
    <t>4843-01-</t>
    <phoneticPr fontId="14"/>
  </si>
  <si>
    <t>-01</t>
    <phoneticPr fontId="14"/>
  </si>
  <si>
    <t>HEAD</t>
    <phoneticPr fontId="14"/>
  </si>
  <si>
    <t>4843-02-</t>
    <phoneticPr fontId="2"/>
  </si>
  <si>
    <t>BASE</t>
    <phoneticPr fontId="14"/>
  </si>
  <si>
    <t>ボール用真円度測定冶具</t>
    <rPh sb="3" eb="4">
      <t>ヨウ</t>
    </rPh>
    <rPh sb="4" eb="5">
      <t>シン</t>
    </rPh>
    <rPh sb="5" eb="6">
      <t>エン</t>
    </rPh>
    <rPh sb="6" eb="7">
      <t>ド</t>
    </rPh>
    <rPh sb="7" eb="9">
      <t>ソクテイ</t>
    </rPh>
    <rPh sb="9" eb="10">
      <t>ジ</t>
    </rPh>
    <rPh sb="10" eb="11">
      <t>グ</t>
    </rPh>
    <phoneticPr fontId="14"/>
  </si>
  <si>
    <t>4691-19-</t>
    <phoneticPr fontId="3"/>
  </si>
  <si>
    <t>ASSEMBLY</t>
    <phoneticPr fontId="14"/>
  </si>
  <si>
    <t>ASSEMBLY TOOL</t>
    <phoneticPr fontId="14"/>
  </si>
  <si>
    <t>ASSEMBLY JIG ASSY</t>
    <phoneticPr fontId="14"/>
  </si>
  <si>
    <t>4800-68-</t>
    <phoneticPr fontId="14"/>
  </si>
  <si>
    <t>BASE (1)</t>
    <phoneticPr fontId="14"/>
  </si>
  <si>
    <t>SAPPORT (1)</t>
    <phoneticPr fontId="14"/>
  </si>
  <si>
    <t>BASE (2)</t>
    <phoneticPr fontId="14"/>
  </si>
  <si>
    <t>SAPPORT (2)</t>
    <phoneticPr fontId="14"/>
  </si>
  <si>
    <t>3Dプリンター</t>
    <phoneticPr fontId="14"/>
  </si>
  <si>
    <t>ASSEMBLY（1）</t>
    <phoneticPr fontId="14"/>
  </si>
  <si>
    <t>4800-68-</t>
    <phoneticPr fontId="14"/>
  </si>
  <si>
    <t>GUIDE WASHER</t>
    <phoneticPr fontId="14"/>
  </si>
  <si>
    <t>SLEEVE GUIDE</t>
    <phoneticPr fontId="14"/>
  </si>
  <si>
    <t>L/MARKING</t>
    <phoneticPr fontId="14"/>
  </si>
  <si>
    <t>CHECK CLEARANCE</t>
    <phoneticPr fontId="2"/>
  </si>
  <si>
    <t xml:space="preserve"> FINISH ID</t>
    <phoneticPr fontId="3"/>
  </si>
  <si>
    <t>0191</t>
    <phoneticPr fontId="14"/>
  </si>
  <si>
    <t>ID SPH TURN</t>
    <phoneticPr fontId="3"/>
  </si>
  <si>
    <t>NIPPLE INSERT JIG</t>
    <phoneticPr fontId="2"/>
  </si>
  <si>
    <t>4577-21-</t>
    <phoneticPr fontId="2"/>
  </si>
  <si>
    <t>4577-01-</t>
    <phoneticPr fontId="2"/>
  </si>
  <si>
    <t>未入荷                   …設備加工限界　巾最大＝17.0mm　切削外径ストレート部最大＝φ11.0</t>
    <rPh sb="0" eb="1">
      <t>ミ</t>
    </rPh>
    <rPh sb="1" eb="3">
      <t>ニュウカ</t>
    </rPh>
    <phoneticPr fontId="14"/>
  </si>
  <si>
    <t>注記：内径φ60以上のアイテムについては治具設計と共に、登録担当者へ一報入れる「本件通常サイズ外なので設備機器並びにタイ駐在員研磨担当者に要確認お願いします」（業務支援課　中井）2021/01/08</t>
    <rPh sb="0" eb="2">
      <t>チュウキ</t>
    </rPh>
    <rPh sb="28" eb="30">
      <t>トウロク</t>
    </rPh>
    <rPh sb="30" eb="33">
      <t>タントウシャ</t>
    </rPh>
    <rPh sb="80" eb="82">
      <t>ギョウム</t>
    </rPh>
    <rPh sb="82" eb="84">
      <t>シエン</t>
    </rPh>
    <rPh sb="84" eb="85">
      <t>カ</t>
    </rPh>
    <rPh sb="86" eb="88">
      <t>ナカイ</t>
    </rPh>
    <phoneticPr fontId="14"/>
  </si>
  <si>
    <t>4691-18-</t>
    <phoneticPr fontId="3"/>
  </si>
  <si>
    <t>COLLET BODY</t>
    <phoneticPr fontId="3"/>
  </si>
  <si>
    <t>先端穴径：φ3.5～φ5.3</t>
    <phoneticPr fontId="14"/>
  </si>
  <si>
    <t>妥当なサイズがあるか確認する事</t>
    <rPh sb="0" eb="2">
      <t>ダトウ</t>
    </rPh>
    <rPh sb="10" eb="12">
      <t>カクニン</t>
    </rPh>
    <rPh sb="14" eb="15">
      <t>コト</t>
    </rPh>
    <phoneticPr fontId="2"/>
  </si>
  <si>
    <r>
      <rPr>
        <b/>
        <sz val="11"/>
        <color theme="1"/>
        <rFont val="Tahoma"/>
        <family val="3"/>
        <charset val="128"/>
        <scheme val="minor"/>
      </rPr>
      <t>AC-8XXX</t>
    </r>
    <r>
      <rPr>
        <sz val="11"/>
        <color theme="1"/>
        <rFont val="Tahoma"/>
        <family val="3"/>
        <charset val="128"/>
        <scheme val="minor"/>
      </rPr>
      <t xml:space="preserve">                (TEIKOKU CHUCK)</t>
    </r>
    <phoneticPr fontId="3"/>
  </si>
  <si>
    <r>
      <rPr>
        <b/>
        <sz val="11"/>
        <color theme="1"/>
        <rFont val="Tahoma"/>
        <family val="3"/>
        <charset val="128"/>
        <scheme val="minor"/>
      </rPr>
      <t>AC7XXXX</t>
    </r>
    <r>
      <rPr>
        <sz val="11"/>
        <color theme="1"/>
        <rFont val="Tahoma"/>
        <family val="3"/>
        <charset val="128"/>
        <scheme val="minor"/>
      </rPr>
      <t xml:space="preserve">               (TEIKOKU CHUCK)</t>
    </r>
    <phoneticPr fontId="3"/>
  </si>
  <si>
    <t>Process
No,</t>
    <phoneticPr fontId="14"/>
  </si>
  <si>
    <t>0611</t>
    <phoneticPr fontId="14"/>
  </si>
  <si>
    <t>0111</t>
    <phoneticPr fontId="14"/>
  </si>
  <si>
    <t>1111</t>
    <phoneticPr fontId="14"/>
  </si>
  <si>
    <t>1161</t>
    <phoneticPr fontId="14"/>
  </si>
  <si>
    <t>8012</t>
    <phoneticPr fontId="14"/>
  </si>
  <si>
    <r>
      <t>C</t>
    </r>
    <r>
      <rPr>
        <sz val="12"/>
        <color indexed="8"/>
        <rFont val="ＭＳ Ｐゴシック"/>
        <family val="3"/>
        <charset val="128"/>
      </rPr>
      <t>LAMP PLATE</t>
    </r>
    <phoneticPr fontId="3"/>
  </si>
  <si>
    <t>0321</t>
    <phoneticPr fontId="2"/>
  </si>
  <si>
    <t>WRENCH FLAT MILL</t>
    <phoneticPr fontId="2"/>
  </si>
  <si>
    <t>ACCESS
EXEL</t>
    <phoneticPr fontId="2"/>
  </si>
  <si>
    <t>ACCESS
EXEL</t>
    <phoneticPr fontId="14"/>
  </si>
  <si>
    <t xml:space="preserve">
OD GRIND
GROOVE
GRIND</t>
    <phoneticPr fontId="2"/>
  </si>
  <si>
    <t>EXCEL</t>
    <phoneticPr fontId="2"/>
  </si>
  <si>
    <t>EXCEL</t>
    <phoneticPr fontId="14"/>
  </si>
  <si>
    <t>EXCEL</t>
  </si>
  <si>
    <t>RELEASE
RELEASE(2)</t>
    <phoneticPr fontId="2"/>
  </si>
  <si>
    <t>EXCEL</t>
    <phoneticPr fontId="2"/>
  </si>
  <si>
    <t>EXCEL</t>
    <phoneticPr fontId="14"/>
  </si>
  <si>
    <t>LUBE FIT HOLE</t>
    <phoneticPr fontId="3"/>
  </si>
  <si>
    <t>THRU HOLE</t>
    <phoneticPr fontId="3"/>
  </si>
  <si>
    <t>加工情報</t>
    <rPh sb="0" eb="4">
      <t>カコウジョウホウ</t>
    </rPh>
    <phoneticPr fontId="3"/>
  </si>
  <si>
    <t>チェック</t>
    <phoneticPr fontId="14"/>
  </si>
  <si>
    <t>担当者</t>
    <rPh sb="0" eb="3">
      <t>タントウシャ</t>
    </rPh>
    <phoneticPr fontId="14"/>
  </si>
  <si>
    <t>確認者</t>
    <rPh sb="0" eb="3">
      <t>カクニンシャ</t>
    </rPh>
    <phoneticPr fontId="14"/>
  </si>
  <si>
    <t>新規設計</t>
    <rPh sb="0" eb="2">
      <t>シンキ</t>
    </rPh>
    <rPh sb="2" eb="4">
      <t>セッケイ</t>
    </rPh>
    <phoneticPr fontId="3"/>
  </si>
  <si>
    <t>4800-57-</t>
    <phoneticPr fontId="2"/>
  </si>
  <si>
    <t>MASKING TOOL ASSY</t>
    <phoneticPr fontId="2"/>
  </si>
  <si>
    <t>U:\製造技術\yamamoto\設計基準・寸法・在庫データ\切削_頭部切削_BODY COLLET(MPA)_MAZAK QTN200（百瀬）_20160825_TOOLING LIST_BODY COLLET</t>
    <phoneticPr fontId="14"/>
  </si>
  <si>
    <t>MILL KEYWAY</t>
    <phoneticPr fontId="3"/>
  </si>
  <si>
    <t>NOTE1</t>
    <phoneticPr fontId="3"/>
  </si>
  <si>
    <t>NOTE2</t>
  </si>
  <si>
    <t xml:space="preserve">
ID SPH GRIND
ID GRIND</t>
    <phoneticPr fontId="14"/>
  </si>
  <si>
    <t>COMPONENT　INSPECT(2)</t>
    <phoneticPr fontId="14"/>
  </si>
  <si>
    <t>0081</t>
    <phoneticPr fontId="2"/>
  </si>
  <si>
    <t>RACE (GRINDING)</t>
  </si>
  <si>
    <t>EXCEL</t>
    <phoneticPr fontId="2"/>
  </si>
  <si>
    <t>F付き外径仕上(切削仕上)はダイヤフラムチャック方式の爪を加工時に成形してチャックしている。
また、それらの爪は現地にて常にストックがあるように管理されている。
そのため、製造技術側で改めて治具選定する必要はありません。
(2018/01/31　TNKI)</t>
    <phoneticPr fontId="14"/>
  </si>
  <si>
    <t>OD FINISH</t>
    <phoneticPr fontId="14"/>
  </si>
  <si>
    <t>01:F無(COLLET ID:                       )
02:F有(COLLET OD:                          )</t>
    <rPh sb="4" eb="5">
      <t>ナシ</t>
    </rPh>
    <rPh sb="45" eb="46">
      <t>アリ</t>
    </rPh>
    <phoneticPr fontId="14"/>
  </si>
  <si>
    <t>選定不要</t>
    <rPh sb="0" eb="4">
      <t>センテイフヨウ</t>
    </rPh>
    <phoneticPr fontId="14"/>
  </si>
  <si>
    <r>
      <rPr>
        <b/>
        <sz val="11"/>
        <color indexed="8"/>
        <rFont val="ＭＳ Ｐゴシック"/>
        <family val="3"/>
        <charset val="128"/>
      </rPr>
      <t>巾7mm以下の場合</t>
    </r>
    <r>
      <rPr>
        <sz val="11"/>
        <color theme="1"/>
        <rFont val="Tahoma"/>
        <family val="3"/>
        <charset val="128"/>
        <scheme val="minor"/>
      </rPr>
      <t xml:space="preserve">：西部・浜井両方選定
</t>
    </r>
    <r>
      <rPr>
        <b/>
        <sz val="11"/>
        <color indexed="8"/>
        <rFont val="ＭＳ Ｐゴシック"/>
        <family val="3"/>
        <charset val="128"/>
      </rPr>
      <t>ボール入りインナーの場合</t>
    </r>
    <r>
      <rPr>
        <sz val="11"/>
        <color theme="1"/>
        <rFont val="Tahoma"/>
        <family val="3"/>
        <charset val="128"/>
        <scheme val="minor"/>
      </rPr>
      <t>：浜井のみ選定</t>
    </r>
    <phoneticPr fontId="2"/>
  </si>
  <si>
    <t>SUPER FINISH</t>
    <phoneticPr fontId="3"/>
  </si>
  <si>
    <t>油穴BALLはマスターボールタイプ選択、内径がFRONT PLATE A寸法と同じこと</t>
    <rPh sb="0" eb="1">
      <t>アブラ</t>
    </rPh>
    <rPh sb="1" eb="2">
      <t>アナ</t>
    </rPh>
    <rPh sb="17" eb="19">
      <t>センタク</t>
    </rPh>
    <rPh sb="20" eb="22">
      <t>ナイケイ</t>
    </rPh>
    <rPh sb="36" eb="38">
      <t>スンポウ</t>
    </rPh>
    <rPh sb="39" eb="40">
      <t>オナ</t>
    </rPh>
    <phoneticPr fontId="2"/>
  </si>
  <si>
    <t>EXCEL</t>
    <phoneticPr fontId="14"/>
  </si>
  <si>
    <t>妥当なサイズがあるか確認する事</t>
    <phoneticPr fontId="14"/>
  </si>
  <si>
    <t>4691-20-</t>
    <phoneticPr fontId="14"/>
  </si>
  <si>
    <t>#800 　　　　D　    W　　　° 　　X　　　T</t>
    <phoneticPr fontId="14"/>
  </si>
  <si>
    <t xml:space="preserve">1021
1031 </t>
    <phoneticPr fontId="14"/>
  </si>
  <si>
    <t>1041
1042</t>
    <phoneticPr fontId="14"/>
  </si>
  <si>
    <t>技術課選定</t>
    <rPh sb="0" eb="3">
      <t>ギジュツカ</t>
    </rPh>
    <rPh sb="3" eb="5">
      <t>センテイ</t>
    </rPh>
    <phoneticPr fontId="14"/>
  </si>
  <si>
    <t>球径&gt;40 or 巾&gt;38の場合は平研</t>
    <phoneticPr fontId="2"/>
  </si>
  <si>
    <t>EXCEL</t>
    <phoneticPr fontId="14"/>
  </si>
  <si>
    <t>1011
1161</t>
    <phoneticPr fontId="14"/>
  </si>
  <si>
    <t>0451</t>
    <phoneticPr fontId="14"/>
  </si>
  <si>
    <t>0081</t>
    <phoneticPr fontId="14"/>
  </si>
  <si>
    <t>0082</t>
    <phoneticPr fontId="14"/>
  </si>
  <si>
    <t>WELD SEAL</t>
    <phoneticPr fontId="14"/>
  </si>
  <si>
    <t>TURN SPH. OD</t>
    <phoneticPr fontId="3"/>
  </si>
  <si>
    <t>TURN SPH.</t>
  </si>
  <si>
    <t>(X-100)</t>
    <phoneticPr fontId="14"/>
  </si>
  <si>
    <t xml:space="preserve">INSTALL LUB FITTING </t>
    <phoneticPr fontId="2"/>
  </si>
  <si>
    <t>※検査治具リスト・エクセル有。入力後、RODEND DOCUMENTの"移管データフォルダ(資料)"に更新すること。</t>
  </si>
  <si>
    <t>MASTER GAUGE ASSY</t>
    <phoneticPr fontId="2"/>
  </si>
  <si>
    <t>MASTER GAUGE(INNER)</t>
    <phoneticPr fontId="2"/>
  </si>
  <si>
    <t>MASTER GAUGE(OUTER)</t>
    <phoneticPr fontId="14"/>
  </si>
  <si>
    <t>WORK SUPPORTASSY</t>
    <phoneticPr fontId="14"/>
  </si>
  <si>
    <t>STAKING PUNCH(UPPER)</t>
    <phoneticPr fontId="2"/>
  </si>
  <si>
    <t>STAKING PUNCH(LOWER)</t>
    <phoneticPr fontId="2"/>
  </si>
  <si>
    <t>TORQUE MEASUREMENT TOOL</t>
    <phoneticPr fontId="2"/>
  </si>
  <si>
    <t>TORQUE MEASUREMENT TOOL ASSY</t>
    <phoneticPr fontId="2"/>
  </si>
  <si>
    <r>
      <t>・カシメタイプのみ選定
（スナップリングリテーナータイプは不要)
・オーダーリスト</t>
    </r>
    <r>
      <rPr>
        <b/>
        <sz val="11"/>
        <color rgb="FFFF3232"/>
        <rFont val="ＭＳ Ｐゴシック"/>
        <family val="3"/>
        <charset val="128"/>
      </rPr>
      <t>WC28→39</t>
    </r>
    <r>
      <rPr>
        <sz val="11"/>
        <color indexed="8"/>
        <rFont val="ＭＳ Ｐゴシック"/>
        <family val="3"/>
        <charset val="128"/>
      </rPr>
      <t>に手動で打ち変えること。</t>
    </r>
    <rPh sb="9" eb="11">
      <t>センテイ</t>
    </rPh>
    <rPh sb="29" eb="31">
      <t>フヨウ</t>
    </rPh>
    <rPh sb="49" eb="51">
      <t>シュドウ</t>
    </rPh>
    <rPh sb="52" eb="53">
      <t>ウ</t>
    </rPh>
    <rPh sb="54" eb="55">
      <t>カ</t>
    </rPh>
    <phoneticPr fontId="2"/>
  </si>
  <si>
    <t>SUPER FINISH</t>
    <phoneticPr fontId="14"/>
  </si>
  <si>
    <t xml:space="preserve">
KS H70</t>
    <phoneticPr fontId="3"/>
  </si>
  <si>
    <t>SPHERICAL
 GRIND</t>
    <phoneticPr fontId="14"/>
  </si>
  <si>
    <t>COLLETの先端穴径によるφ5.3：-0002
                                   φ3.5：-0003</t>
    <rPh sb="7" eb="9">
      <t>センタン</t>
    </rPh>
    <rPh sb="9" eb="10">
      <t>アナ</t>
    </rPh>
    <rPh sb="10" eb="11">
      <t>ケイ</t>
    </rPh>
    <phoneticPr fontId="14"/>
  </si>
  <si>
    <t xml:space="preserve"> WA     X        X</t>
    <phoneticPr fontId="14"/>
  </si>
  <si>
    <t xml:space="preserve">サイズがあるか確認する事  </t>
    <phoneticPr fontId="14"/>
  </si>
  <si>
    <t>これを使用する場合は4691-100001/0002or0003を使用</t>
    <rPh sb="3" eb="5">
      <t>シヨウ</t>
    </rPh>
    <rPh sb="7" eb="9">
      <t>バアイ</t>
    </rPh>
    <rPh sb="33" eb="35">
      <t>シヨウ</t>
    </rPh>
    <phoneticPr fontId="14"/>
  </si>
  <si>
    <t>EXCEL</t>
    <phoneticPr fontId="14"/>
  </si>
  <si>
    <t>ID GRIND</t>
    <phoneticPr fontId="14"/>
  </si>
  <si>
    <t>KS-H70</t>
    <phoneticPr fontId="3"/>
  </si>
  <si>
    <t>SPHERICAL
GRIND</t>
    <phoneticPr fontId="14"/>
  </si>
  <si>
    <t>KS400B
1～B4</t>
    <phoneticPr fontId="3"/>
  </si>
  <si>
    <t>チューブホルダー(出口側)</t>
    <phoneticPr fontId="14"/>
  </si>
  <si>
    <t>チューブホルダー(入口側)</t>
    <rPh sb="9" eb="10">
      <t>イ</t>
    </rPh>
    <phoneticPr fontId="14"/>
  </si>
  <si>
    <t>0561</t>
    <phoneticPr fontId="14"/>
  </si>
  <si>
    <t>MACHINING</t>
    <phoneticPr fontId="14"/>
  </si>
  <si>
    <t>0401</t>
    <phoneticPr fontId="14"/>
  </si>
  <si>
    <t>更新日</t>
    <rPh sb="0" eb="3">
      <t>コウシンビ</t>
    </rPh>
    <phoneticPr fontId="14"/>
  </si>
  <si>
    <t>IDE</t>
    <phoneticPr fontId="14"/>
  </si>
  <si>
    <t>EXCEL</t>
    <phoneticPr fontId="2"/>
  </si>
  <si>
    <t>L/MARKING</t>
    <phoneticPr fontId="2"/>
  </si>
  <si>
    <t>DRY FILM
※ID</t>
    <phoneticPr fontId="2"/>
  </si>
  <si>
    <t>3521</t>
    <phoneticPr fontId="14"/>
  </si>
  <si>
    <t>3521</t>
    <phoneticPr fontId="2"/>
  </si>
  <si>
    <t>SPH BRG TURN</t>
    <phoneticPr fontId="14"/>
  </si>
  <si>
    <t>TUGAMI</t>
    <phoneticPr fontId="14"/>
  </si>
  <si>
    <t>3491</t>
    <phoneticPr fontId="2"/>
  </si>
  <si>
    <t>UNIVERSAL PALLET ASSY</t>
    <phoneticPr fontId="14"/>
  </si>
  <si>
    <t>FACE GRIND(2)</t>
    <phoneticPr fontId="3"/>
  </si>
  <si>
    <t>20220215 furuta</t>
    <phoneticPr fontId="14"/>
  </si>
  <si>
    <t>OKK</t>
    <phoneticPr fontId="14"/>
  </si>
  <si>
    <t>WA  or   CRYSTAL</t>
    <phoneticPr fontId="14"/>
  </si>
  <si>
    <t>スペック→</t>
    <phoneticPr fontId="14"/>
  </si>
  <si>
    <t>段付きカラー</t>
    <rPh sb="0" eb="2">
      <t>ダンツ</t>
    </rPh>
    <phoneticPr fontId="14"/>
  </si>
  <si>
    <t xml:space="preserve">#800 </t>
    <phoneticPr fontId="14"/>
  </si>
  <si>
    <t>COLLET（A）</t>
    <phoneticPr fontId="14"/>
  </si>
  <si>
    <t>4691-03-</t>
    <phoneticPr fontId="14"/>
  </si>
  <si>
    <t>ID＜12.7</t>
    <phoneticPr fontId="14"/>
  </si>
  <si>
    <t>砥石台</t>
    <rPh sb="0" eb="2">
      <t>トイシ</t>
    </rPh>
    <rPh sb="2" eb="3">
      <t>ダイ</t>
    </rPh>
    <phoneticPr fontId="14"/>
  </si>
  <si>
    <t>12.7≦ID＜41.7　　AC7XXXX    (TEIKOKU CHUCK)</t>
    <phoneticPr fontId="14"/>
  </si>
  <si>
    <t xml:space="preserve">サイズがあるか確認する事  </t>
    <phoneticPr fontId="14"/>
  </si>
  <si>
    <t xml:space="preserve">
KS400B1～B3</t>
    <phoneticPr fontId="3"/>
  </si>
  <si>
    <t>PT 技術科選定（設計）</t>
    <rPh sb="3" eb="5">
      <t>ギジュツ</t>
    </rPh>
    <rPh sb="5" eb="6">
      <t>カ</t>
    </rPh>
    <rPh sb="6" eb="8">
      <t>センテイ</t>
    </rPh>
    <rPh sb="9" eb="11">
      <t>セッケイ</t>
    </rPh>
    <phoneticPr fontId="14"/>
  </si>
  <si>
    <t>4800-68-</t>
    <phoneticPr fontId="14"/>
  </si>
  <si>
    <t>3Dプリンター製（元図があり、技術から依頼があれば生技で設計）</t>
    <rPh sb="7" eb="8">
      <t>セイ</t>
    </rPh>
    <rPh sb="9" eb="11">
      <t>モトズ</t>
    </rPh>
    <rPh sb="15" eb="17">
      <t>ギジュツ</t>
    </rPh>
    <rPh sb="19" eb="21">
      <t>イライ</t>
    </rPh>
    <rPh sb="25" eb="27">
      <t>セイギ</t>
    </rPh>
    <rPh sb="28" eb="30">
      <t>セッケイ</t>
    </rPh>
    <phoneticPr fontId="14"/>
  </si>
  <si>
    <t>ASSEMBLY(2)</t>
  </si>
  <si>
    <t>ASSEMBLY(3)</t>
  </si>
  <si>
    <t>※リベッティングでステーキングの場合、生技で設計。（シールドカシメ）</t>
    <rPh sb="16" eb="18">
      <t>バアイ</t>
    </rPh>
    <rPh sb="19" eb="21">
      <t>セイギ</t>
    </rPh>
    <rPh sb="22" eb="24">
      <t>セッケイ</t>
    </rPh>
    <phoneticPr fontId="14"/>
  </si>
  <si>
    <t>※プレス機等でステーキングの場合、技術で設計。</t>
    <rPh sb="4" eb="5">
      <t>キ</t>
    </rPh>
    <rPh sb="5" eb="6">
      <t>ナド</t>
    </rPh>
    <rPh sb="14" eb="16">
      <t>バアイ</t>
    </rPh>
    <rPh sb="17" eb="19">
      <t>ギジュツ</t>
    </rPh>
    <rPh sb="20" eb="22">
      <t>セッケイ</t>
    </rPh>
    <phoneticPr fontId="14"/>
  </si>
  <si>
    <t>（STAKING）</t>
    <phoneticPr fontId="2"/>
  </si>
  <si>
    <t>-99</t>
    <phoneticPr fontId="14"/>
  </si>
  <si>
    <t>PALLET ASSY</t>
    <phoneticPr fontId="14"/>
  </si>
  <si>
    <t xml:space="preserve">PALLET </t>
    <phoneticPr fontId="14"/>
  </si>
  <si>
    <t>-01</t>
    <phoneticPr fontId="14"/>
  </si>
  <si>
    <t>3Dプリンター製</t>
    <rPh sb="7" eb="8">
      <t>セイ</t>
    </rPh>
    <phoneticPr fontId="14"/>
  </si>
  <si>
    <t>主にPOM製</t>
    <rPh sb="0" eb="1">
      <t>オモ</t>
    </rPh>
    <rPh sb="5" eb="6">
      <t>セイ</t>
    </rPh>
    <phoneticPr fontId="14"/>
  </si>
  <si>
    <t>OMIYA</t>
    <phoneticPr fontId="3"/>
  </si>
  <si>
    <t>WA  or   CRYSTAL   スペック→</t>
    <phoneticPr fontId="14"/>
  </si>
  <si>
    <t>WA  or   CRYSTAL    砥石台</t>
    <rPh sb="20" eb="22">
      <t>トイシ</t>
    </rPh>
    <rPh sb="22" eb="23">
      <t>ダイ</t>
    </rPh>
    <phoneticPr fontId="14"/>
  </si>
  <si>
    <t>COLLET ADAPTER</t>
    <phoneticPr fontId="14"/>
  </si>
  <si>
    <t>4691-10-</t>
    <phoneticPr fontId="14"/>
  </si>
  <si>
    <t>0001</t>
    <phoneticPr fontId="14"/>
  </si>
  <si>
    <t>#800  スペック→</t>
    <phoneticPr fontId="14"/>
  </si>
  <si>
    <t>粗＆仕上げ 各1=計2pcs</t>
    <rPh sb="0" eb="1">
      <t>アラ</t>
    </rPh>
    <rPh sb="2" eb="4">
      <t>シア</t>
    </rPh>
    <rPh sb="6" eb="7">
      <t>カク</t>
    </rPh>
    <rPh sb="9" eb="10">
      <t>ケイ</t>
    </rPh>
    <phoneticPr fontId="14"/>
  </si>
  <si>
    <r>
      <rPr>
        <b/>
        <sz val="11"/>
        <color theme="1"/>
        <rFont val="Tahoma"/>
        <family val="3"/>
        <charset val="128"/>
        <scheme val="minor"/>
      </rPr>
      <t>12.7≦ID＜41.7</t>
    </r>
    <r>
      <rPr>
        <sz val="11"/>
        <color theme="1"/>
        <rFont val="Tahoma"/>
        <family val="3"/>
        <charset val="128"/>
        <scheme val="minor"/>
      </rPr>
      <t>　AC7XXXX   (TEIKOKU CHUCK)</t>
    </r>
    <phoneticPr fontId="14"/>
  </si>
  <si>
    <r>
      <rPr>
        <b/>
        <sz val="11"/>
        <color theme="1"/>
        <rFont val="Tahoma"/>
        <family val="3"/>
        <charset val="128"/>
        <scheme val="minor"/>
      </rPr>
      <t xml:space="preserve">12.7≦ID＜41.7 </t>
    </r>
    <r>
      <rPr>
        <sz val="11"/>
        <color theme="1"/>
        <rFont val="Tahoma"/>
        <family val="3"/>
        <charset val="128"/>
        <scheme val="minor"/>
      </rPr>
      <t xml:space="preserve"> AC-8XXX   (TEIKOKU CHUCK)</t>
    </r>
    <phoneticPr fontId="3"/>
  </si>
  <si>
    <r>
      <rPr>
        <b/>
        <sz val="11"/>
        <color theme="1"/>
        <rFont val="Tahoma"/>
        <family val="3"/>
        <charset val="128"/>
        <scheme val="minor"/>
      </rPr>
      <t xml:space="preserve">12.7≦ID＜41.7 </t>
    </r>
    <r>
      <rPr>
        <sz val="11"/>
        <color theme="1"/>
        <rFont val="Tahoma"/>
        <family val="3"/>
        <charset val="128"/>
        <scheme val="minor"/>
      </rPr>
      <t xml:space="preserve"> 段付きカラー</t>
    </r>
    <rPh sb="14" eb="16">
      <t>ダンツ</t>
    </rPh>
    <phoneticPr fontId="14"/>
  </si>
  <si>
    <t>自動供給
可　・　不可</t>
    <phoneticPr fontId="14"/>
  </si>
  <si>
    <t>WORK CHUTE GUIDE</t>
    <phoneticPr fontId="14"/>
  </si>
  <si>
    <t>4906-09-
4906-15-</t>
    <phoneticPr fontId="14"/>
  </si>
  <si>
    <t>MASTER RING FOR JAW</t>
    <phoneticPr fontId="3"/>
  </si>
  <si>
    <t>0151
1811
0321</t>
    <phoneticPr fontId="2"/>
  </si>
  <si>
    <t>DRILL TAP HOLE
TAP
WRENCH FLAT MILL</t>
    <phoneticPr fontId="2"/>
  </si>
  <si>
    <t>Person(担当者)</t>
    <rPh sb="7" eb="10">
      <t>タントウシャ</t>
    </rPh>
    <phoneticPr fontId="14"/>
  </si>
  <si>
    <t>Final Confirm</t>
    <phoneticPr fontId="14"/>
  </si>
  <si>
    <t>MAZAK QTN200, JIG：Shank MAX+0.02</t>
    <phoneticPr fontId="14"/>
  </si>
  <si>
    <t>RE33034</t>
    <phoneticPr fontId="14"/>
  </si>
  <si>
    <t>ASSY Confirm</t>
    <phoneticPr fontId="3"/>
  </si>
  <si>
    <t>T.D.S.</t>
    <phoneticPr fontId="3"/>
  </si>
  <si>
    <t>CHECK T.D.S</t>
    <phoneticPr fontId="14"/>
  </si>
  <si>
    <t>standard</t>
    <phoneticPr fontId="3"/>
  </si>
  <si>
    <t>DATA</t>
    <phoneticPr fontId="14"/>
  </si>
  <si>
    <t>RE33036</t>
    <phoneticPr fontId="14"/>
  </si>
  <si>
    <t>RE33033</t>
    <phoneticPr fontId="14"/>
  </si>
  <si>
    <t>RE33024</t>
    <phoneticPr fontId="14"/>
  </si>
  <si>
    <t>BODY HOLDER (NEW TYPE)</t>
    <phoneticPr fontId="3"/>
  </si>
  <si>
    <t>・OD MAX 55 ・JIG A=OD MAX</t>
    <phoneticPr fontId="2"/>
  </si>
  <si>
    <t>・OD MAX 68 ・JIG A=OD MAX
・OLD TYPE (Used when there is no new type)</t>
    <phoneticPr fontId="2"/>
  </si>
  <si>
    <t>BODY HOLDER(NEW TYPE)</t>
    <phoneticPr fontId="3"/>
  </si>
  <si>
    <t>NOTE</t>
    <phoneticPr fontId="14"/>
  </si>
  <si>
    <t>※過去に発注が無い場合、組図部品を全てTHAIへ連絡して欲しい。2019/05/21　古田リクエスト</t>
    <phoneticPr fontId="14"/>
  </si>
  <si>
    <t>・ASSY inform THAI</t>
    <phoneticPr fontId="2"/>
  </si>
  <si>
    <t>THAI use insert
0.8  1.5  2.3  2.5  3.0  3.3  4.0＆45°（distance距離2.5程度degree）
But 軟鋼mild steel（8640etc.roller.ball in Steel）is use KINMEI
Reason：Scratches and indentations.HYDRAは傷、圧痕がつく為</t>
    <rPh sb="62" eb="64">
      <t>キョリ</t>
    </rPh>
    <rPh sb="177" eb="178">
      <t>キズ</t>
    </rPh>
    <rPh sb="179" eb="181">
      <t>アッコン</t>
    </rPh>
    <rPh sb="184" eb="185">
      <t>タメ</t>
    </rPh>
    <phoneticPr fontId="14"/>
  </si>
  <si>
    <t>End process</t>
    <phoneticPr fontId="14"/>
  </si>
  <si>
    <t>Confirmor</t>
    <phoneticPr fontId="14"/>
  </si>
  <si>
    <t>delivery date：　　　　　　　　　　　　engineer：</t>
    <phoneticPr fontId="14"/>
  </si>
  <si>
    <t>RECESS
(ID)</t>
    <phoneticPr fontId="14"/>
  </si>
  <si>
    <t>DRY FILM
(ID)</t>
    <phoneticPr fontId="2"/>
  </si>
  <si>
    <t>CHUCK JAWのみの選定は行わない事。</t>
    <phoneticPr fontId="2"/>
  </si>
  <si>
    <t>使用時に都度再研磨を伴うため、今後設計は
行いません。選定のみ。(2018/04/10)</t>
    <phoneticPr fontId="2"/>
  </si>
  <si>
    <t>※1：二面巾長さが50mmを超える場合にはカッター軸とワークの干渉に注意すること(65mm MAX)</t>
    <phoneticPr fontId="2"/>
  </si>
  <si>
    <t>BLANK HEAD※Male screw　おねじ</t>
    <phoneticPr fontId="3"/>
  </si>
  <si>
    <t>BODY HOLDER(LOWER SIDE)</t>
    <phoneticPr fontId="2"/>
  </si>
  <si>
    <t>RE33025</t>
    <phoneticPr fontId="2"/>
  </si>
  <si>
    <t>RE33036</t>
    <phoneticPr fontId="2"/>
  </si>
  <si>
    <t>0351
0041
0191</t>
    <phoneticPr fontId="2"/>
  </si>
  <si>
    <t>KITAMURA HX400iα</t>
    <phoneticPr fontId="2"/>
  </si>
  <si>
    <t>※過去に発注が無い場合、組図部品を全てTHAIへ連絡して欲しい。2019/05/21　古田リクエスト</t>
    <phoneticPr fontId="2"/>
  </si>
  <si>
    <t>EXCEL</t>
    <phoneticPr fontId="2"/>
  </si>
  <si>
    <t>New DWG</t>
    <phoneticPr fontId="3"/>
  </si>
  <si>
    <t>W/MのTH4ケタを確認（THAIで実績が無い場合、TAP有無を問い合わせる事）</t>
    <phoneticPr fontId="2"/>
  </si>
  <si>
    <t>※Male screw　おねじ</t>
  </si>
  <si>
    <t>※Female screw めねじ</t>
    <phoneticPr fontId="14"/>
  </si>
  <si>
    <t>MAZAK QTN200, JIG：Shank MAX+0.02</t>
    <phoneticPr fontId="14"/>
  </si>
  <si>
    <t>Thread  dies</t>
    <phoneticPr fontId="14"/>
  </si>
  <si>
    <t>W/MのTH4ケタを確認（THAIで実績が無い場合、TAP有無を問い合わせる事）</t>
    <phoneticPr fontId="14"/>
  </si>
  <si>
    <t>DRILL INSPECT HOLE</t>
    <phoneticPr fontId="2"/>
  </si>
  <si>
    <t>ID SPH GRIND
ID GRIND</t>
    <phoneticPr fontId="14"/>
  </si>
  <si>
    <t>KN-113A</t>
    <phoneticPr fontId="14"/>
  </si>
  <si>
    <t>INB</t>
    <phoneticPr fontId="14"/>
  </si>
  <si>
    <t>DDxxxx</t>
    <phoneticPr fontId="14"/>
  </si>
  <si>
    <t>4853-05-</t>
    <phoneticPr fontId="14"/>
  </si>
  <si>
    <t>4853-14-</t>
    <phoneticPr fontId="14"/>
  </si>
  <si>
    <t>Selection not required,Confirmation to RECIPRO member</t>
    <phoneticPr fontId="14"/>
  </si>
  <si>
    <t>Selection not required,Confirmation to RECIPRO member</t>
    <phoneticPr fontId="14"/>
  </si>
  <si>
    <t>Thread dies</t>
    <phoneticPr fontId="14"/>
  </si>
  <si>
    <t xml:space="preserve">4030-01-
</t>
    <phoneticPr fontId="2"/>
  </si>
  <si>
    <t>※1：バーフィーダーの加工限界は～φ80とする。現状横溝同時加工はできるが、設備キャパ的に困難(201803013)</t>
  </si>
  <si>
    <t xml:space="preserve">Select：Engineering </t>
    <phoneticPr fontId="2"/>
  </si>
  <si>
    <t>If the model name has "H", select it.
型式にHがつく場合選定する</t>
    <phoneticPr fontId="14"/>
  </si>
  <si>
    <t>Excel</t>
    <phoneticPr fontId="2"/>
  </si>
  <si>
    <t>2ASRD用</t>
  </si>
  <si>
    <t>SURFACE GRIND</t>
    <phoneticPr fontId="3"/>
  </si>
  <si>
    <t>Under W7mm：SEIBU・HAMAI Both select</t>
    <phoneticPr fontId="2"/>
  </si>
  <si>
    <t>Φ40＜OD or 38＜W
No jig required</t>
    <phoneticPr fontId="2"/>
  </si>
  <si>
    <t>RE33041</t>
    <phoneticPr fontId="2"/>
  </si>
  <si>
    <t>RE33042</t>
    <phoneticPr fontId="2"/>
  </si>
  <si>
    <t>Φ15.875≦ID</t>
    <phoneticPr fontId="2"/>
  </si>
  <si>
    <t>Check in process</t>
    <phoneticPr fontId="2"/>
  </si>
  <si>
    <t>0041</t>
    <phoneticPr fontId="2"/>
  </si>
  <si>
    <t>2017.2.24　No selection required</t>
    <phoneticPr fontId="2"/>
  </si>
  <si>
    <t>No selection required,Confirmation to RECIPRO member</t>
    <phoneticPr fontId="14"/>
  </si>
  <si>
    <t>MS-50-A</t>
    <phoneticPr fontId="2"/>
  </si>
  <si>
    <t>OD GRIND
(FINISH OD)</t>
    <phoneticPr fontId="2"/>
  </si>
  <si>
    <t>TEMPLATE</t>
    <phoneticPr fontId="14"/>
  </si>
  <si>
    <t>TEFLON BONDING</t>
    <phoneticPr fontId="3"/>
  </si>
  <si>
    <t xml:space="preserve">Select：Engineering </t>
    <phoneticPr fontId="14"/>
  </si>
  <si>
    <t>P/N：”F”=Select</t>
    <phoneticPr fontId="2"/>
  </si>
  <si>
    <t>P/N：”F”＆”H”=Select</t>
    <phoneticPr fontId="2"/>
  </si>
  <si>
    <t>※4800-66移行完了後削除</t>
    <phoneticPr fontId="14"/>
  </si>
  <si>
    <t>フランジ付きスリーブOD GRIND(1011)はPAX2 TAKAHASHI KIKAI で加工する為、治具不要。
20190215IDY（THAI KOBAYSHI）F付き外径仕上(切削仕上)はダイヤフラムチャック方式の爪を加工時に成形してチャックしている。
また、それらの爪は現地にて常にストックがあるように管理されているため、製造技術側で改めて治具選定する必要はありません。(2018/01/31　TNKI)</t>
    <rPh sb="4" eb="5">
      <t>ツ</t>
    </rPh>
    <rPh sb="47" eb="49">
      <t>カコウ</t>
    </rPh>
    <rPh sb="51" eb="52">
      <t>タメ</t>
    </rPh>
    <rPh sb="53" eb="54">
      <t>ジ</t>
    </rPh>
    <rPh sb="54" eb="55">
      <t>グ</t>
    </rPh>
    <rPh sb="55" eb="57">
      <t>フヨウ</t>
    </rPh>
    <phoneticPr fontId="14"/>
  </si>
  <si>
    <t>PAX2
TAKAHASHI</t>
    <phoneticPr fontId="14"/>
  </si>
  <si>
    <t>P/N：”H”=Select</t>
    <phoneticPr fontId="14"/>
  </si>
  <si>
    <t>EXCEL</t>
    <phoneticPr fontId="14"/>
  </si>
  <si>
    <t>P/N：Not”F”=Select</t>
    <phoneticPr fontId="2"/>
  </si>
  <si>
    <t>PIN</t>
    <phoneticPr fontId="14"/>
  </si>
  <si>
    <t>4560-04-</t>
    <phoneticPr fontId="14"/>
  </si>
  <si>
    <t>4560-10-
4560-11-</t>
    <phoneticPr fontId="14"/>
  </si>
  <si>
    <t>No Select(2018/01/31 TNKI)</t>
    <phoneticPr fontId="14"/>
  </si>
  <si>
    <t>4030-01-
4030-02-</t>
    <phoneticPr fontId="14"/>
  </si>
  <si>
    <r>
      <t>P/N：”F”=Select　</t>
    </r>
    <r>
      <rPr>
        <b/>
        <sz val="11"/>
        <color indexed="8"/>
        <rFont val="ＭＳ Ｐゴシック"/>
        <family val="3"/>
        <charset val="128"/>
      </rPr>
      <t>※OLD DWG</t>
    </r>
    <phoneticPr fontId="2"/>
  </si>
  <si>
    <t>※There is a possibility of falling=Select
　⇒Confirmation to process</t>
    <phoneticPr fontId="14"/>
  </si>
  <si>
    <t>ID GRIND
FINISH ID</t>
    <phoneticPr fontId="2"/>
  </si>
  <si>
    <t>1061
0351</t>
    <phoneticPr fontId="2"/>
  </si>
  <si>
    <t xml:space="preserve"> OD GRIND
 FINISH OD</t>
    <phoneticPr fontId="2"/>
  </si>
  <si>
    <t>1011
0401</t>
    <phoneticPr fontId="2"/>
  </si>
  <si>
    <t>1-BODY</t>
    <phoneticPr fontId="14"/>
  </si>
  <si>
    <t>2-RACE</t>
    <phoneticPr fontId="14"/>
  </si>
  <si>
    <t>61-SLEEVE</t>
    <phoneticPr fontId="14"/>
  </si>
  <si>
    <t>4-SPH</t>
    <phoneticPr fontId="14"/>
  </si>
  <si>
    <t>RE33039</t>
    <phoneticPr fontId="14"/>
  </si>
  <si>
    <t>RACE OD  φ8～18 ：0009
              φ18～30 ：0003
              φ30～45 ：0004</t>
    <phoneticPr fontId="2"/>
  </si>
  <si>
    <t>ID φ3～4    ：0016
    φ4～8    ：0015
    φ8～16  ：0002
    φ16～23 ：0012</t>
    <phoneticPr fontId="2"/>
  </si>
  <si>
    <t>RE33026</t>
    <phoneticPr fontId="14"/>
  </si>
  <si>
    <t>TURN SPH END FACE
(J-WAVE)
※(SPH BRG TURN)</t>
    <phoneticPr fontId="2"/>
  </si>
  <si>
    <t>FTL selection is not basic
Only when requested
(20171201)</t>
    <phoneticPr fontId="14"/>
  </si>
  <si>
    <t>4918-01-0001-99</t>
    <phoneticPr fontId="3"/>
  </si>
  <si>
    <t>General purpose</t>
    <phoneticPr fontId="14"/>
  </si>
  <si>
    <t>W+0.5</t>
    <phoneticPr fontId="14"/>
  </si>
  <si>
    <t>MISUMI</t>
    <phoneticPr fontId="14"/>
  </si>
  <si>
    <t>IVT</t>
    <phoneticPr fontId="14"/>
  </si>
  <si>
    <t>0001：ODφ20～40
0002：ODφ15.875～20</t>
    <phoneticPr fontId="14"/>
  </si>
  <si>
    <t>※Check：WORK DWG</t>
    <phoneticPr fontId="2"/>
  </si>
  <si>
    <t>※HI Torque is select</t>
    <phoneticPr fontId="2"/>
  </si>
  <si>
    <t>Select：Engineering</t>
  </si>
  <si>
    <t>Select：Engineering</t>
    <phoneticPr fontId="2"/>
  </si>
  <si>
    <t>RE33039</t>
    <phoneticPr fontId="2"/>
  </si>
  <si>
    <t>RE33040</t>
    <phoneticPr fontId="2"/>
  </si>
  <si>
    <t>OD  φ14～20：0001
      φ20～27：0002
      φ27～33：0004
      φ33～40：0003</t>
    <phoneticPr fontId="2"/>
  </si>
  <si>
    <t>OD φ10～15：0005
     φ15～25：0002
     φ25～35：0003
     φ35～42：0004</t>
    <phoneticPr fontId="2"/>
  </si>
  <si>
    <t>0001：φ20～40
0002：φ15.875～20</t>
    <phoneticPr fontId="14"/>
  </si>
  <si>
    <t>ワーク＜40且つピン=5：12本/SET</t>
  </si>
  <si>
    <t>ワーク＜40且つピン10：9本/SET</t>
  </si>
  <si>
    <t>40＜ワーク且つピン10：6本/SET</t>
  </si>
  <si>
    <t>40＜ワーク且つピン15：4本/SET</t>
  </si>
  <si>
    <t>(FTL)</t>
    <phoneticPr fontId="14"/>
  </si>
  <si>
    <t>RACE OD φ8～18：0009
              φ18～30：0003
              φ30～45：0004</t>
    <phoneticPr fontId="2"/>
  </si>
  <si>
    <t>ID φ3～ 4：0016
    φ4～8：0015
    φ8～16：0002
    φ16～23：0012</t>
    <phoneticPr fontId="2"/>
  </si>
  <si>
    <t>SPH BRG TURN
TURN SPH END FACE</t>
    <phoneticPr fontId="14"/>
  </si>
  <si>
    <t>RACE OD 40＜Manual processing：X-100 
Use This 3JIG　</t>
    <phoneticPr fontId="14"/>
  </si>
  <si>
    <t>TUGAMI（MB-08Y)：No jig required</t>
    <phoneticPr fontId="14"/>
  </si>
  <si>
    <t>EXCEL</t>
    <phoneticPr fontId="14"/>
  </si>
  <si>
    <t>Φ40＜OD or 38＜W = No jig required</t>
    <phoneticPr fontId="2"/>
  </si>
  <si>
    <t>Under W7mm：SEIBU・HAMAI Both select
Balled inner　：Only Hamai selected.</t>
    <phoneticPr fontId="2"/>
  </si>
  <si>
    <t>RE33037</t>
    <phoneticPr fontId="14"/>
  </si>
  <si>
    <t>Select from existing products as much as possible</t>
    <phoneticPr fontId="2"/>
  </si>
  <si>
    <t>RE33038</t>
    <phoneticPr fontId="14"/>
  </si>
  <si>
    <t>RE33042</t>
    <phoneticPr fontId="14"/>
  </si>
  <si>
    <t>SAME FLONT PLATE　TYPE＿＿</t>
    <phoneticPr fontId="2"/>
  </si>
  <si>
    <t>Usually not selected.2017/04/03</t>
    <phoneticPr fontId="14"/>
  </si>
  <si>
    <t>Standard</t>
    <phoneticPr fontId="14"/>
  </si>
  <si>
    <t>・TYPE＿＿＿　・Select from existing products as much as possible.</t>
    <phoneticPr fontId="3"/>
  </si>
  <si>
    <t>・"A"Φ＿＿＿　TYPE＿＿＿　 ・Select from existing products as much as possible.</t>
    <phoneticPr fontId="2"/>
  </si>
  <si>
    <t>SAME SETTING GAUGEとTYPE＿＿＿</t>
    <phoneticPr fontId="14"/>
  </si>
  <si>
    <t>SAME PRESSURE ROTOR TYPE＿＿＿</t>
    <phoneticPr fontId="14"/>
  </si>
  <si>
    <t>ID＿＿＿　SAME FRONT PLATE "A"</t>
    <phoneticPr fontId="2"/>
  </si>
  <si>
    <t xml:space="preserve">・WA  or   CRYSTAL　　・SIZE　ID＿＿＿＿　OD＿＿＿＿＿  </t>
    <phoneticPr fontId="14"/>
  </si>
  <si>
    <t xml:space="preserve">・#800　　　　　　　　　  　・SIZE　ID＿＿＿＿　OD＿＿＿＿＿  </t>
    <phoneticPr fontId="14"/>
  </si>
  <si>
    <t xml:space="preserve">・ROUGH/FINISH=2pcs ・SIZE　ID＿＿＿＿　OD＿＿＿＿＿  </t>
    <phoneticPr fontId="14"/>
  </si>
  <si>
    <t>ID＜Φ12.7</t>
    <phoneticPr fontId="14"/>
  </si>
  <si>
    <t>Φ12.7≦ID＜Φ41.7　AC7XXXX   (TEIKOKU CHUCK)</t>
    <phoneticPr fontId="14"/>
  </si>
  <si>
    <t>Φ12.7≦ID＜Φ41.7  AC-8XXX   (TEIKOKU CHUCK)</t>
    <phoneticPr fontId="3"/>
  </si>
  <si>
    <t>Φ12.7≦ID＜Φ41.7</t>
    <phoneticPr fontId="14"/>
  </si>
  <si>
    <t>Φ20＜OD≦Φ40,　 14＜W＜26,　
If these conditions cannot be satisfied...Automatic supply not possible</t>
    <phoneticPr fontId="2"/>
  </si>
  <si>
    <t>MEMO    delivery date：                                         engineer：</t>
    <phoneticPr fontId="14"/>
  </si>
  <si>
    <t>KS400
B1～B2
(OD≦φ32MAX )</t>
    <phoneticPr fontId="3"/>
  </si>
  <si>
    <t>BRYANT
(ID≦φ15.875MAX)　</t>
    <phoneticPr fontId="3"/>
  </si>
  <si>
    <t>KS-B22G
(ID≦φ15.875MAX)</t>
    <phoneticPr fontId="2"/>
  </si>
  <si>
    <t>ID＜Φ12.7</t>
    <phoneticPr fontId="14"/>
  </si>
  <si>
    <t>FIRST CHECK. PLUG(B)</t>
    <phoneticPr fontId="14"/>
  </si>
  <si>
    <t>KS-B80
(φ15.875≦ID＜Φ54)</t>
    <phoneticPr fontId="3"/>
  </si>
  <si>
    <t>RE33041</t>
    <phoneticPr fontId="2"/>
  </si>
  <si>
    <t>CHECK ONLY</t>
    <phoneticPr fontId="2"/>
  </si>
  <si>
    <t>・Φ40＜OD or 38＜W    ・SURFACE GRIND No jig required</t>
    <phoneticPr fontId="2"/>
  </si>
  <si>
    <t>KS400
B1～B2
(OD≦φ32MAX)</t>
    <phoneticPr fontId="3"/>
  </si>
  <si>
    <t>KS-400B5
(OD≦φ35MAX)</t>
    <phoneticPr fontId="3"/>
  </si>
  <si>
    <t>KS-500RD
（Φ27≦OD＜Φ51)</t>
    <phoneticPr fontId="2"/>
  </si>
  <si>
    <t>UK BALL Roundness measuring jig
ONLY UK-BALL</t>
    <phoneticPr fontId="14"/>
  </si>
  <si>
    <t>ID GRIND</t>
    <phoneticPr fontId="2"/>
  </si>
  <si>
    <t>3-BALL</t>
    <phoneticPr fontId="14"/>
  </si>
  <si>
    <t>ASSY</t>
    <phoneticPr fontId="14"/>
  </si>
  <si>
    <t>STAKING PUNCH ASSY</t>
    <phoneticPr fontId="2"/>
  </si>
  <si>
    <t>4591-21-</t>
  </si>
  <si>
    <t>STAKING PUNCH</t>
    <phoneticPr fontId="2"/>
  </si>
  <si>
    <t>4591-01-</t>
    <phoneticPr fontId="2"/>
  </si>
  <si>
    <t>-01</t>
    <phoneticPr fontId="2"/>
  </si>
  <si>
    <t>4591-21-</t>
    <phoneticPr fontId="2"/>
  </si>
  <si>
    <t>-02</t>
    <phoneticPr fontId="2"/>
  </si>
  <si>
    <t>INNER RING</t>
    <phoneticPr fontId="2"/>
  </si>
  <si>
    <t>OUTER RING</t>
    <phoneticPr fontId="2"/>
  </si>
  <si>
    <t>GUIDE PIN</t>
    <phoneticPr fontId="2"/>
  </si>
  <si>
    <t>SPRING</t>
  </si>
  <si>
    <t>HINGE PIN</t>
  </si>
  <si>
    <t>MISUMI</t>
    <phoneticPr fontId="2"/>
  </si>
  <si>
    <t>SWY</t>
  </si>
  <si>
    <t>SHCLGHN</t>
    <phoneticPr fontId="2"/>
  </si>
  <si>
    <t>Excel</t>
    <phoneticPr fontId="2"/>
  </si>
  <si>
    <t>OTHER</t>
    <phoneticPr fontId="14"/>
  </si>
  <si>
    <t>RE33032</t>
    <phoneticPr fontId="14"/>
  </si>
  <si>
    <t>PUNCH</t>
  </si>
  <si>
    <t>ADAPTER</t>
  </si>
  <si>
    <t>AX0</t>
    <phoneticPr fontId="2"/>
  </si>
  <si>
    <t>AX1</t>
    <phoneticPr fontId="2"/>
  </si>
  <si>
    <t>AX2</t>
    <phoneticPr fontId="2"/>
  </si>
  <si>
    <t>AX3</t>
  </si>
  <si>
    <t>9732-02-0</t>
    <phoneticPr fontId="2"/>
  </si>
  <si>
    <t>9732-02-1</t>
    <phoneticPr fontId="2"/>
  </si>
  <si>
    <t>9732-02-2</t>
    <phoneticPr fontId="2"/>
  </si>
  <si>
    <t>9732-02-3</t>
    <phoneticPr fontId="2"/>
  </si>
  <si>
    <t>(2211)</t>
    <phoneticPr fontId="2"/>
  </si>
  <si>
    <t>(Axial Proof Load Test)</t>
    <phoneticPr fontId="2"/>
  </si>
  <si>
    <t>ACCESS</t>
    <phoneticPr fontId="2"/>
  </si>
  <si>
    <t>JIG BASE</t>
    <phoneticPr fontId="2"/>
  </si>
  <si>
    <t>PUNCH BASE</t>
    <phoneticPr fontId="2"/>
  </si>
  <si>
    <t>9732-10-</t>
    <phoneticPr fontId="2"/>
  </si>
  <si>
    <t>PUNCH BASE ASSY</t>
    <phoneticPr fontId="2"/>
  </si>
  <si>
    <t>AXIAL PROOF LOAD TEST JIG ASSY</t>
    <phoneticPr fontId="2"/>
  </si>
  <si>
    <t>9732-03-</t>
    <phoneticPr fontId="2"/>
  </si>
  <si>
    <t>9751-07-　　　　</t>
    <phoneticPr fontId="2"/>
  </si>
  <si>
    <t xml:space="preserve">BLANK HEAD </t>
    <phoneticPr fontId="3"/>
  </si>
  <si>
    <t>※Female screw めねじ</t>
    <phoneticPr fontId="2"/>
  </si>
  <si>
    <t>FINISH ID
CHAMFER</t>
    <phoneticPr fontId="3"/>
  </si>
  <si>
    <t>0351
0041</t>
    <phoneticPr fontId="2"/>
  </si>
  <si>
    <t>※Female screw めねじ</t>
    <phoneticPr fontId="2"/>
  </si>
  <si>
    <t>KINMEI Confirm：4012-01-0001-99</t>
    <phoneticPr fontId="3"/>
  </si>
  <si>
    <t>1811
0431
0321</t>
    <phoneticPr fontId="2"/>
  </si>
  <si>
    <t>TAP
THRU HOLE
WRENCH FLAT MILL</t>
    <phoneticPr fontId="2"/>
  </si>
  <si>
    <t>BLANK HEAD</t>
    <phoneticPr fontId="3"/>
  </si>
  <si>
    <t xml:space="preserve"> ※Female screw めねじ</t>
    <phoneticPr fontId="2"/>
  </si>
  <si>
    <t>KINMEI Confirm：4012-01-0001-99</t>
    <phoneticPr fontId="3"/>
  </si>
  <si>
    <t>※Female screw めねじ</t>
    <phoneticPr fontId="2"/>
  </si>
  <si>
    <t xml:space="preserve">BLANK HEAD </t>
    <phoneticPr fontId="3"/>
  </si>
  <si>
    <t>Confirm：4012-01-0001-99
ステンレス材以外の物はBODY HOLDERにて加工</t>
    <phoneticPr fontId="2"/>
  </si>
  <si>
    <r>
      <t>2024/11/6</t>
    </r>
    <r>
      <rPr>
        <sz val="11"/>
        <color indexed="8"/>
        <rFont val="ＭＳ Ｐゴシック"/>
        <family val="3"/>
        <charset val="128"/>
      </rPr>
      <t xml:space="preserve"> NISHIZAWA D切削後緩めが入らない物はツガミでD＆Tを加工する。治具不要</t>
    </r>
    <rPh sb="21" eb="24">
      <t>セッサクゴ</t>
    </rPh>
    <rPh sb="24" eb="25">
      <t>ユル</t>
    </rPh>
    <rPh sb="27" eb="28">
      <t>ハイ</t>
    </rPh>
    <rPh sb="31" eb="32">
      <t>モノ</t>
    </rPh>
    <rPh sb="41" eb="43">
      <t>カコウ</t>
    </rPh>
    <rPh sb="46" eb="50">
      <t>ジグフヨウ</t>
    </rPh>
    <phoneticPr fontId="14"/>
  </si>
  <si>
    <t>4560-11-</t>
    <phoneticPr fontId="14"/>
  </si>
  <si>
    <t>RE33034</t>
  </si>
  <si>
    <t>0091</t>
  </si>
  <si>
    <r>
      <t>C</t>
    </r>
    <r>
      <rPr>
        <sz val="14"/>
        <color indexed="8"/>
        <rFont val="ＭＳ Ｐゴシック"/>
        <family val="3"/>
        <charset val="128"/>
      </rPr>
      <t>LAMP PLATE</t>
    </r>
  </si>
  <si>
    <t>4651-13-</t>
  </si>
  <si>
    <t>4516-01-</t>
  </si>
  <si>
    <t>MILL KEYWAY</t>
  </si>
  <si>
    <t>1851</t>
  </si>
  <si>
    <t>4009-01</t>
  </si>
  <si>
    <t>4009-02</t>
  </si>
  <si>
    <t>4007-04</t>
  </si>
  <si>
    <t>4651-20</t>
  </si>
  <si>
    <t>4800-57</t>
  </si>
  <si>
    <t>X-52</t>
  </si>
  <si>
    <t>4918-02-</t>
    <phoneticPr fontId="2"/>
  </si>
  <si>
    <t>ROLLER BODY</t>
    <phoneticPr fontId="14"/>
  </si>
  <si>
    <t>SPH BRG TURN</t>
    <phoneticPr fontId="2"/>
  </si>
  <si>
    <t>SEIBU</t>
    <phoneticPr fontId="14"/>
  </si>
  <si>
    <t>CARRIER</t>
    <phoneticPr fontId="14"/>
  </si>
  <si>
    <t>4556-01-</t>
    <phoneticPr fontId="14"/>
  </si>
  <si>
    <t>SURFACE GRIND</t>
    <phoneticPr fontId="14"/>
  </si>
  <si>
    <t>・Φ40＜OD or 38＜W    ・SURFACE GRIND No jig required</t>
    <phoneticPr fontId="14"/>
  </si>
  <si>
    <t>TURNING(3)</t>
    <phoneticPr fontId="14"/>
  </si>
  <si>
    <t>LB15</t>
    <phoneticPr fontId="14"/>
  </si>
  <si>
    <t>SPHERE TURN ARBOR</t>
    <phoneticPr fontId="14"/>
  </si>
  <si>
    <t>SPHERE TURN NUT</t>
    <phoneticPr fontId="14"/>
  </si>
  <si>
    <t>4649-05-</t>
    <phoneticPr fontId="14"/>
  </si>
  <si>
    <t>4649-06-</t>
    <phoneticPr fontId="14"/>
  </si>
  <si>
    <t>4649-07-</t>
    <phoneticPr fontId="14"/>
  </si>
  <si>
    <t xml:space="preserve">分割ボール (ID≦15.875、32≦OD)
</t>
    <rPh sb="0" eb="2">
      <t>ブンカツ</t>
    </rPh>
    <phoneticPr fontId="14"/>
  </si>
  <si>
    <t>0083</t>
    <phoneticPr fontId="14"/>
  </si>
  <si>
    <t>KVD300CRⅡ</t>
    <phoneticPr fontId="3"/>
  </si>
  <si>
    <t>CARRIER GUIDE</t>
    <phoneticPr fontId="3"/>
  </si>
  <si>
    <t>ＦＡＣＥＧＲＩＮＤ</t>
    <phoneticPr fontId="14"/>
  </si>
  <si>
    <t>4036-01-</t>
    <phoneticPr fontId="3"/>
  </si>
  <si>
    <t>4036-02-</t>
    <phoneticPr fontId="3"/>
  </si>
  <si>
    <t>OD MAX + 0.5 OK</t>
  </si>
  <si>
    <t>OD MAX + 0.5 OK</t>
    <phoneticPr fontId="2"/>
  </si>
  <si>
    <t>※There is a possibility of falling=Select
　⇒Confirmation to process                                              Only when requested</t>
    <phoneticPr fontId="14"/>
  </si>
  <si>
    <t>※There is a possibility of falling=Select
　⇒Confirmation to process                                            Only when requested</t>
    <phoneticPr fontId="14"/>
  </si>
  <si>
    <t>※There is a possibility of falling=Select
　⇒Confirmation to process                                                  Only when requested</t>
    <phoneticPr fontId="14"/>
  </si>
  <si>
    <t>※There is a possibility of falling=Select
　⇒Confirmation to process                                                                Only when requested</t>
    <phoneticPr fontId="14"/>
  </si>
  <si>
    <t>※There is a possibility of falling=Select
　⇒Confirmation to process                                                         Only when requested</t>
    <phoneticPr fontId="14"/>
  </si>
  <si>
    <t>OD MAX + 0.5 OK</t>
    <phoneticPr fontId="14"/>
  </si>
  <si>
    <t>-</t>
    <phoneticPr fontId="14"/>
  </si>
  <si>
    <r>
      <t xml:space="preserve">INSERT
</t>
    </r>
    <r>
      <rPr>
        <sz val="12"/>
        <color rgb="FF000000"/>
        <rFont val="ＭＳ Ｐゴシック"/>
        <family val="3"/>
        <charset val="128"/>
      </rPr>
      <t>NOSE R=0.25 ONLY</t>
    </r>
    <phoneticPr fontId="14"/>
  </si>
  <si>
    <t>T-51-</t>
    <phoneticPr fontId="14"/>
  </si>
  <si>
    <t>524
525</t>
    <phoneticPr fontId="14"/>
  </si>
  <si>
    <t>524
525</t>
    <phoneticPr fontId="14"/>
  </si>
  <si>
    <t>TURN SPH.</t>
    <phoneticPr fontId="2"/>
  </si>
  <si>
    <t>SPH BRG TURN
(DT)</t>
    <phoneticPr fontId="14"/>
  </si>
  <si>
    <t>TURN SPH OD</t>
    <phoneticPr fontId="3"/>
  </si>
  <si>
    <t>for OP1：OD=2031「TURN SPH OD」、OD MAX + 0.5 OK</t>
    <phoneticPr fontId="14"/>
  </si>
  <si>
    <t>for OP2：OD=2071「SPH BRG TURN」、OD MAX + 0.5 OK</t>
    <phoneticPr fontId="14"/>
  </si>
  <si>
    <t>基本的に、どちらのタイプでも「X-100でD切削　→　ゆるめ　→　X-100で第二D切削　→　XD-8でT切削」の加工順ですと、同芯度は悪くなります。タイ工場においてはどちらのタイプでも「X-100でD切削　→　ゆるめ　→　高松旋盤で第一D・T切削→第二D・T 切削（第一と第二では、コレットの径が異なる）」の加工順で治具の選別を行っていただきたいです。by西澤さん2025/07/10
積極的なFTL機の選定は行いません
小林さん確認済20171201</t>
    <phoneticPr fontId="14"/>
  </si>
  <si>
    <t>524：INTERIOR=30°・EXTERIOR=30°(ETN series)
525：INTERIOR=20°・EXTERIOR=30°(MHTxxV-60A series)</t>
    <phoneticPr fontId="14"/>
  </si>
  <si>
    <r>
      <t>INSERT
(</t>
    </r>
    <r>
      <rPr>
        <sz val="12"/>
        <color rgb="FF000000"/>
        <rFont val="ＭＳ Ｐゴシック"/>
        <family val="3"/>
        <charset val="128"/>
      </rPr>
      <t>NOSE R=0.25 ONLY)</t>
    </r>
    <phoneticPr fontId="14"/>
  </si>
  <si>
    <t>TRIM(1)</t>
    <phoneticPr fontId="2"/>
  </si>
  <si>
    <t>TRIM(2)</t>
    <phoneticPr fontId="2"/>
  </si>
  <si>
    <t>4030-02-</t>
    <phoneticPr fontId="14"/>
  </si>
  <si>
    <t>N/C</t>
    <phoneticPr fontId="2"/>
  </si>
  <si>
    <t>N/C</t>
    <phoneticPr fontId="14"/>
  </si>
  <si>
    <t>NMF-</t>
    <phoneticPr fontId="14"/>
  </si>
  <si>
    <t>N/C</t>
    <phoneticPr fontId="2"/>
  </si>
  <si>
    <t>SPH中心が、コレット端面から1mm程度飛び出すこと</t>
    <rPh sb="3" eb="5">
      <t>チュウシン</t>
    </rPh>
    <rPh sb="11" eb="13">
      <t>タンメン</t>
    </rPh>
    <rPh sb="18" eb="20">
      <t>テイド</t>
    </rPh>
    <rPh sb="20" eb="21">
      <t>ト</t>
    </rPh>
    <rPh sb="22" eb="23">
      <t>ダ</t>
    </rPh>
    <phoneticPr fontId="14"/>
  </si>
  <si>
    <t>SPH中心が、コレット端面とほぼ同じであること</t>
    <rPh sb="3" eb="5">
      <t>チュウシン</t>
    </rPh>
    <rPh sb="11" eb="13">
      <t>タンメン</t>
    </rPh>
    <rPh sb="16" eb="17">
      <t>オナ</t>
    </rPh>
    <phoneticPr fontId="14"/>
  </si>
  <si>
    <t>A/P測定用(3Dプリンタ治具4800-68は使用禁止)</t>
    <rPh sb="3" eb="5">
      <t>ソクテイ</t>
    </rPh>
    <rPh sb="5" eb="6">
      <t>ヨウ</t>
    </rPh>
    <rPh sb="13" eb="15">
      <t>ジグ</t>
    </rPh>
    <rPh sb="23" eb="27">
      <t>シヨウキンシ</t>
    </rPh>
    <phoneticPr fontId="14"/>
  </si>
  <si>
    <t>※Select tooling if there is a possibility of falling and Thai needs it.
　⇒Confirmation to process</t>
    <phoneticPr fontId="14"/>
  </si>
  <si>
    <t>京セラ図番：</t>
    <rPh sb="0" eb="1">
      <t>キョウ</t>
    </rPh>
    <rPh sb="3" eb="5">
      <t>ズバン</t>
    </rPh>
    <phoneticPr fontId="2"/>
  </si>
  <si>
    <t>京セラ図番：</t>
    <rPh sb="0" eb="1">
      <t>キョウ</t>
    </rPh>
    <rPh sb="3" eb="5">
      <t>ズバン</t>
    </rPh>
    <phoneticPr fontId="3"/>
  </si>
  <si>
    <t>京セラ図番：</t>
    <rPh sb="0" eb="1">
      <t>キョウ</t>
    </rPh>
    <rPh sb="3" eb="5">
      <t>ズバン</t>
    </rPh>
    <phoneticPr fontId="14"/>
  </si>
  <si>
    <t>0341</t>
    <phoneticPr fontId="2"/>
  </si>
  <si>
    <t>ROUGH BORE</t>
    <phoneticPr fontId="3"/>
  </si>
  <si>
    <t>FINISH ID</t>
    <phoneticPr fontId="3"/>
  </si>
  <si>
    <t>0351</t>
    <phoneticPr fontId="2"/>
  </si>
  <si>
    <t>0151</t>
    <phoneticPr fontId="2"/>
  </si>
  <si>
    <t>DRILL TAP HOLE</t>
    <phoneticPr fontId="2"/>
  </si>
  <si>
    <t>1811</t>
    <phoneticPr fontId="2"/>
  </si>
  <si>
    <t>TAP</t>
    <phoneticPr fontId="2"/>
  </si>
  <si>
    <t>1061</t>
    <phoneticPr fontId="14"/>
  </si>
  <si>
    <t>THAI
KN-113A</t>
    <phoneticPr fontId="14"/>
  </si>
  <si>
    <t>KZW
GI-20N</t>
    <phoneticPr fontId="14"/>
  </si>
  <si>
    <t>KZW
KS-B100</t>
    <phoneticPr fontId="14"/>
  </si>
  <si>
    <t>4652-10-</t>
    <phoneticPr fontId="14"/>
  </si>
  <si>
    <t>4652-12-</t>
    <phoneticPr fontId="14"/>
  </si>
  <si>
    <t>ガイドピン</t>
    <phoneticPr fontId="14"/>
  </si>
  <si>
    <t>カムロック式ボディホルダー</t>
    <phoneticPr fontId="14"/>
  </si>
  <si>
    <t>カムロック式ナット</t>
    <phoneticPr fontId="14"/>
  </si>
  <si>
    <t>クランパー</t>
    <phoneticPr fontId="14"/>
  </si>
  <si>
    <t>4924-01-</t>
    <phoneticPr fontId="14"/>
  </si>
  <si>
    <t>ストッパー</t>
    <phoneticPr fontId="14"/>
  </si>
  <si>
    <t>4924-02-</t>
    <phoneticPr fontId="14"/>
  </si>
  <si>
    <t>センタリング治具</t>
    <phoneticPr fontId="14"/>
  </si>
  <si>
    <t>4924-03-</t>
    <phoneticPr fontId="14"/>
  </si>
  <si>
    <t>チャックフィンガー</t>
    <phoneticPr fontId="14"/>
  </si>
  <si>
    <t>4924-04-</t>
    <phoneticPr fontId="14"/>
  </si>
  <si>
    <t>THAI use insert R0.8，1.5，2.3，2.5，3.0，3.3，4.0，5.0(see note1)＆45°
Hard material (15-5PH・17-4PH・PH13-8Mo) only(see note2)
　Note1：If the drawing specifies an R-value outside of this range,use KINMEI.
　Note2：For soft materials （4340・4130・8620・carburizing cres or etc）,use KINMEI,
　　　　　　because using HYDRA will cause scratches and indentations.
If cutting length exceeds 50 mm, pay attention to the interference between cutter shaft and work tip.</t>
    <phoneticPr fontId="14"/>
  </si>
  <si>
    <t>柔らかい材料（PHでは無い材料）および特殊Rボディは、KINMEIにて加工</t>
    <phoneticPr fontId="14"/>
  </si>
  <si>
    <t>4012-01-0001-99でセット状態を確認すること(OKK用なので、金明用と若干異なるが、確認は可能)</t>
    <phoneticPr fontId="14"/>
  </si>
  <si>
    <t>For Soft materials (not PH materials) &amp; special R body,use KINMEI,
Check the set status with 4012-01-0001-99(see note).
　Note：4012-01-0001-99 is for OKK, so it's slightly different from KINMEI, but it can be confirmed.</t>
    <phoneticPr fontId="14"/>
  </si>
  <si>
    <t>20220215 furuta→20260602Yamamoto
タイはR0.8，1.5，2.3，2.5，3.0，3.3，4.0，5.0(注1)＆45°のインサートを使用する。
硬い材料(15-5PH・17-4PH・PH13-8Mo)専用(注2)
　注1：上記以外Rが図面に記載されている場合、金明を使用する。
　注2：ハイドラグリップだとキズや凹みが発生するため、柔らかい材料（4340・4130・8620・carburizing cres or etc）は金明を使用する。
二面巾長さが50mmを超える場合、カッター軸と頭部先端の干渉に注意すること</t>
    <rPh sb="83" eb="85">
      <t>シヨウ</t>
    </rPh>
    <rPh sb="89" eb="90">
      <t>カタ</t>
    </rPh>
    <rPh sb="91" eb="93">
      <t>ザイリョウ</t>
    </rPh>
    <rPh sb="117" eb="119">
      <t>センヨウ</t>
    </rPh>
    <rPh sb="128" eb="130">
      <t>ジョウキ</t>
    </rPh>
    <rPh sb="130" eb="132">
      <t>イガイ</t>
    </rPh>
    <rPh sb="134" eb="136">
      <t>ズメン</t>
    </rPh>
    <rPh sb="137" eb="139">
      <t>キサイ</t>
    </rPh>
    <rPh sb="144" eb="146">
      <t>バアイ</t>
    </rPh>
    <rPh sb="147" eb="149">
      <t>キンメイ</t>
    </rPh>
    <rPh sb="150" eb="152">
      <t>シヨウ</t>
    </rPh>
    <rPh sb="173" eb="174">
      <t>ヘコ</t>
    </rPh>
    <rPh sb="176" eb="178">
      <t>ハッセイ</t>
    </rPh>
    <rPh sb="230" eb="232">
      <t>キンメイ</t>
    </rPh>
    <rPh sb="233" eb="235">
      <t>シヨウ</t>
    </rPh>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</si>
</sst>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7" formatCode="_ &quot;¥&quot;* #,##0_ ;_ &quot;¥&quot;* \-#,##0_ ;_ &quot;¥&quot;* &quot;-&quot;_ ;_ @_ "/>
    <numFmt numFmtId="188" formatCode="0_ "/>
  </numFmts>
  <fonts count="82">
    <font>
      <sz val="11"/>
      <color theme="1"/>
      <name val="Tahoma"/>
      <family val="3"/>
      <charset val="128"/>
      <scheme val="minor"/>
    </font>
    <font>
      <sz val="11"/>
      <color theme="1"/>
      <name val="Tahoma"/>
      <family val="2"/>
      <charset val="128"/>
      <scheme val="minor"/>
    </font>
    <font>
      <sz val="6"/>
      <name val="ＭＳ Ｐゴシック"/>
      <family val="3"/>
      <charset val="128"/>
    </font>
    <font>
      <sz val="6"/>
      <name val="ＭＳ Ｐゴシック"/>
      <family val="3"/>
      <charset val="128"/>
    </font>
    <font>
      <sz val="8"/>
      <name val="ＭＳ Ｐゴシック"/>
      <family val="3"/>
      <charset val="128"/>
    </font>
    <font>
      <b/>
      <sz val="11"/>
      <name val="ＭＳ Ｐゴシック"/>
      <family val="3"/>
      <charset val="128"/>
    </font>
    <font>
      <sz val="9"/>
      <name val="ＭＳ Ｐゴシック"/>
      <family val="3"/>
      <charset val="128"/>
    </font>
    <font>
      <sz val="11"/>
      <name val="ＭＳ Ｐゴシック"/>
      <family val="3"/>
      <charset val="128"/>
    </font>
    <font>
      <sz val="11"/>
      <color indexed="8"/>
      <name val="ＭＳ Ｐゴシック"/>
      <family val="3"/>
      <charset val="128"/>
    </font>
    <font>
      <sz val="11"/>
      <color indexed="8"/>
      <name val="ＭＳ Ｐゴシック"/>
      <family val="3"/>
      <charset val="128"/>
    </font>
    <font>
      <b/>
      <sz val="11"/>
      <color indexed="8"/>
      <name val="ＭＳ Ｐゴシック"/>
      <family val="3"/>
      <charset val="128"/>
    </font>
    <font>
      <sz val="10"/>
      <name val="ＭＳ Ｐゴシック"/>
      <family val="3"/>
      <charset val="128"/>
    </font>
    <font>
      <sz val="10"/>
      <color indexed="8"/>
      <name val="ＭＳ Ｐゴシック"/>
      <family val="3"/>
      <charset val="128"/>
    </font>
    <font>
      <sz val="11"/>
      <color indexed="9"/>
      <name val="ＭＳ Ｐゴシック"/>
      <family val="3"/>
      <charset val="128"/>
    </font>
    <font>
      <sz val="6"/>
      <name val="Tahoma"/>
      <family val="3"/>
      <charset val="128"/>
      <scheme val="minor"/>
    </font>
    <font>
      <sz val="10"/>
      <color theme="1"/>
      <name val="Tahoma"/>
      <family val="3"/>
      <charset val="128"/>
      <scheme val="minor"/>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3"/>
      <charset val="128"/>
    </font>
    <font>
      <sz val="11"/>
      <color indexed="17"/>
      <name val="ＭＳ Ｐゴシック"/>
      <family val="3"/>
      <charset val="128"/>
    </font>
    <font>
      <sz val="8"/>
      <color indexed="8"/>
      <name val="ＭＳ Ｐゴシック"/>
      <family val="3"/>
      <charset val="128"/>
    </font>
    <font>
      <sz val="9"/>
      <color indexed="8"/>
      <name val="ＭＳ Ｐゴシック"/>
      <family val="3"/>
      <charset val="128"/>
    </font>
    <font>
      <sz val="11"/>
      <color rgb="FF000000"/>
      <name val="ＭＳ Ｐゴシック"/>
      <family val="3"/>
      <charset val="128"/>
    </font>
    <font>
      <sz val="8"/>
      <color rgb="FF000000"/>
      <name val="ＭＳ Ｐゴシック"/>
      <family val="3"/>
      <charset val="128"/>
    </font>
    <font>
      <sz val="9"/>
      <color indexed="81"/>
      <name val="ＭＳ Ｐゴシック"/>
      <family val="3"/>
      <charset val="128"/>
    </font>
    <font>
      <b/>
      <sz val="9"/>
      <color indexed="81"/>
      <name val="ＭＳ Ｐゴシック"/>
      <family val="3"/>
      <charset val="128"/>
    </font>
    <font>
      <u/>
      <sz val="9.35"/>
      <color theme="10"/>
      <name val="ＭＳ Ｐゴシック"/>
      <family val="3"/>
      <charset val="128"/>
    </font>
    <font>
      <b/>
      <sz val="16"/>
      <color theme="1"/>
      <name val="Tahoma"/>
      <family val="3"/>
      <charset val="128"/>
      <scheme val="minor"/>
    </font>
    <font>
      <b/>
      <sz val="16"/>
      <color indexed="8"/>
      <name val="ＭＳ Ｐゴシック"/>
      <family val="3"/>
      <charset val="128"/>
    </font>
    <font>
      <b/>
      <sz val="12"/>
      <color indexed="8"/>
      <name val="ＭＳ Ｐゴシック"/>
      <family val="3"/>
      <charset val="128"/>
    </font>
    <font>
      <b/>
      <sz val="14"/>
      <color indexed="8"/>
      <name val="ＭＳ Ｐゴシック"/>
      <family val="3"/>
      <charset val="128"/>
    </font>
    <font>
      <b/>
      <sz val="14"/>
      <color theme="1"/>
      <name val="Tahoma"/>
      <family val="3"/>
      <charset val="128"/>
      <scheme val="minor"/>
    </font>
    <font>
      <b/>
      <sz val="14"/>
      <name val="ＭＳ Ｐゴシック"/>
      <family val="3"/>
      <charset val="128"/>
    </font>
    <font>
      <b/>
      <sz val="12"/>
      <name val="ＭＳ Ｐゴシック"/>
      <family val="3"/>
      <charset val="128"/>
    </font>
    <font>
      <b/>
      <sz val="11"/>
      <color theme="1"/>
      <name val="Tahoma"/>
      <family val="3"/>
      <charset val="128"/>
      <scheme val="minor"/>
    </font>
    <font>
      <sz val="14"/>
      <color theme="1"/>
      <name val="Tahoma"/>
      <family val="3"/>
      <charset val="128"/>
      <scheme val="minor"/>
    </font>
    <font>
      <sz val="14"/>
      <color indexed="8"/>
      <name val="ＭＳ Ｐゴシック"/>
      <family val="3"/>
      <charset val="128"/>
    </font>
    <font>
      <b/>
      <sz val="14"/>
      <color indexed="12"/>
      <name val="ＭＳ Ｐゴシック"/>
      <family val="3"/>
      <charset val="128"/>
    </font>
    <font>
      <u/>
      <sz val="14"/>
      <color theme="10"/>
      <name val="ＭＳ Ｐゴシック"/>
      <family val="3"/>
      <charset val="128"/>
    </font>
    <font>
      <sz val="14"/>
      <name val="ＭＳ Ｐゴシック"/>
      <family val="3"/>
      <charset val="128"/>
    </font>
    <font>
      <sz val="11"/>
      <name val="Tahoma"/>
      <family val="3"/>
      <charset val="128"/>
      <scheme val="minor"/>
    </font>
    <font>
      <sz val="14"/>
      <color theme="0"/>
      <name val="ＭＳ Ｐゴシック"/>
      <family val="3"/>
      <charset val="128"/>
    </font>
    <font>
      <sz val="12"/>
      <color indexed="8"/>
      <name val="ＭＳ Ｐゴシック"/>
      <family val="3"/>
      <charset val="128"/>
    </font>
    <font>
      <sz val="12"/>
      <color theme="1"/>
      <name val="Tahoma"/>
      <family val="3"/>
      <charset val="128"/>
      <scheme val="minor"/>
    </font>
    <font>
      <u/>
      <sz val="11"/>
      <color theme="10"/>
      <name val="ＭＳ Ｐゴシック"/>
      <family val="3"/>
      <charset val="128"/>
    </font>
    <font>
      <sz val="14"/>
      <color indexed="9"/>
      <name val="ＭＳ Ｐゴシック"/>
      <family val="3"/>
      <charset val="128"/>
    </font>
    <font>
      <sz val="12"/>
      <name val="ＭＳ Ｐゴシック"/>
      <family val="3"/>
      <charset val="128"/>
    </font>
    <font>
      <sz val="14"/>
      <color rgb="FF000000"/>
      <name val="ＭＳ Ｐゴシック"/>
      <family val="3"/>
      <charset val="128"/>
    </font>
    <font>
      <sz val="14"/>
      <color rgb="FF0000FF"/>
      <name val="ＭＳ Ｐゴシック"/>
      <family val="3"/>
      <charset val="128"/>
    </font>
    <font>
      <sz val="14"/>
      <color indexed="12"/>
      <name val="ＭＳ Ｐゴシック"/>
      <family val="3"/>
      <charset val="128"/>
    </font>
    <font>
      <sz val="28"/>
      <color theme="1"/>
      <name val="Tahoma"/>
      <family val="3"/>
      <charset val="128"/>
      <scheme val="minor"/>
    </font>
    <font>
      <b/>
      <sz val="10"/>
      <color theme="1"/>
      <name val="Tahoma"/>
      <family val="3"/>
      <charset val="128"/>
      <scheme val="minor"/>
    </font>
    <font>
      <b/>
      <sz val="11"/>
      <color rgb="FFFF3232"/>
      <name val="ＭＳ Ｐゴシック"/>
      <family val="3"/>
      <charset val="128"/>
    </font>
    <font>
      <u/>
      <sz val="11"/>
      <color rgb="FF0000FF"/>
      <name val="Tahoma"/>
      <family val="3"/>
      <charset val="128"/>
      <scheme val="minor"/>
    </font>
    <font>
      <b/>
      <sz val="12"/>
      <color theme="1"/>
      <name val="Tahoma"/>
      <family val="3"/>
      <charset val="128"/>
      <scheme val="minor"/>
    </font>
    <font>
      <sz val="11"/>
      <color rgb="FF0000FF"/>
      <name val="ＭＳ Ｐゴシック"/>
      <family val="3"/>
      <charset val="128"/>
    </font>
    <font>
      <sz val="14"/>
      <color rgb="FFFF0000"/>
      <name val="ＭＳ Ｐゴシック"/>
      <family val="3"/>
      <charset val="128"/>
    </font>
    <font>
      <b/>
      <sz val="10"/>
      <color indexed="8"/>
      <name val="ＭＳ Ｐゴシック"/>
      <family val="3"/>
      <charset val="128"/>
    </font>
    <font>
      <b/>
      <sz val="10"/>
      <name val="ＭＳ Ｐゴシック"/>
      <family val="3"/>
      <charset val="128"/>
    </font>
    <font>
      <sz val="22"/>
      <color theme="1"/>
      <name val="Tahoma"/>
      <family val="3"/>
      <charset val="128"/>
      <scheme val="minor"/>
    </font>
    <font>
      <b/>
      <sz val="14"/>
      <color rgb="FF000000"/>
      <name val="ＭＳ Ｐゴシック"/>
      <family val="3"/>
      <charset val="128"/>
    </font>
    <font>
      <sz val="14"/>
      <color theme="1"/>
      <name val="ＭＳ Ｐゴシック"/>
      <family val="3"/>
      <charset val="128"/>
    </font>
    <font>
      <sz val="9"/>
      <color indexed="81"/>
      <name val="MS P ゴシック"/>
      <family val="3"/>
      <charset val="128"/>
    </font>
    <font>
      <b/>
      <sz val="9"/>
      <color indexed="81"/>
      <name val="MS P ゴシック"/>
      <family val="3"/>
      <charset val="128"/>
    </font>
    <font>
      <b/>
      <sz val="14"/>
      <color rgb="FF0000FF"/>
      <name val="Tahoma"/>
      <family val="2"/>
      <scheme val="minor"/>
    </font>
    <font>
      <sz val="12"/>
      <color rgb="FF000000"/>
      <name val="ＭＳ Ｐゴシック"/>
      <family val="3"/>
      <charset val="128"/>
    </font>
    <font>
      <sz val="12"/>
      <color theme="1"/>
      <name val="ＭＳ Ｐゴシック"/>
      <family val="3"/>
      <charset val="128"/>
    </font>
    <font>
      <sz val="13"/>
      <color theme="1"/>
      <name val="ＭＳ Ｐゴシック"/>
      <family val="3"/>
      <charset val="128"/>
    </font>
    <font>
      <sz val="9"/>
      <color theme="1"/>
      <name val="Tahoma"/>
      <family val="3"/>
      <charset val="128"/>
      <scheme val="minor"/>
    </font>
    <font>
      <sz val="14"/>
      <color theme="0"/>
      <name val="Tahoma"/>
      <family val="3"/>
      <charset val="128"/>
      <scheme val="minor"/>
    </font>
    <font>
      <sz val="9"/>
      <color theme="0"/>
      <name val="Tahoma"/>
      <family val="3"/>
      <charset val="128"/>
      <scheme val="minor"/>
    </font>
  </fonts>
  <fills count="35">
    <fill>
      <patternFill patternType="none"/>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66FFFF"/>
        <bgColor indexed="64"/>
      </patternFill>
    </fill>
    <fill>
      <patternFill patternType="solid">
        <fgColor rgb="FFFFFFCC"/>
        <bgColor indexed="64"/>
      </patternFill>
    </fill>
    <fill>
      <patternFill patternType="solid">
        <fgColor rgb="FFFFCCFF"/>
        <bgColor indexed="64"/>
      </patternFill>
    </fill>
    <fill>
      <patternFill patternType="solid">
        <fgColor theme="0" tint="-4.9989318521683403E-2"/>
        <bgColor indexed="64"/>
      </patternFill>
    </fill>
    <fill>
      <patternFill patternType="solid">
        <fgColor rgb="FFFFFF00"/>
        <bgColor indexed="64"/>
      </patternFill>
    </fill>
  </fills>
  <borders count="114">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right style="thin">
        <color indexed="64"/>
      </right>
      <top style="hair">
        <color indexed="64"/>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diagonalUp="1" diagonalDown="1">
      <left style="thin">
        <color indexed="64"/>
      </left>
      <right style="thin">
        <color indexed="64"/>
      </right>
      <top style="hair">
        <color indexed="64"/>
      </top>
      <bottom style="hair">
        <color indexed="64"/>
      </bottom>
      <diagonal style="thin">
        <color indexed="64"/>
      </diagonal>
    </border>
    <border diagonalUp="1" diagonalDown="1">
      <left style="thin">
        <color indexed="64"/>
      </left>
      <right style="thin">
        <color indexed="64"/>
      </right>
      <top style="thin">
        <color indexed="64"/>
      </top>
      <bottom style="hair">
        <color indexed="64"/>
      </bottom>
      <diagonal style="thin">
        <color indexed="64"/>
      </diagonal>
    </border>
    <border diagonalUp="1" diagonalDown="1">
      <left style="thin">
        <color indexed="64"/>
      </left>
      <right style="thin">
        <color indexed="64"/>
      </right>
      <top style="hair">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diagonalUp="1" diagonalDown="1">
      <left style="thin">
        <color indexed="64"/>
      </left>
      <right style="thin">
        <color indexed="64"/>
      </right>
      <top style="hair">
        <color indexed="64"/>
      </top>
      <bottom/>
      <diagonal style="thin">
        <color indexed="64"/>
      </diagonal>
    </border>
    <border diagonalUp="1" diagonalDown="1">
      <left style="thin">
        <color indexed="64"/>
      </left>
      <right style="thin">
        <color indexed="64"/>
      </right>
      <top/>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thin">
        <color indexed="64"/>
      </right>
      <top/>
      <bottom style="hair">
        <color indexed="64"/>
      </bottom>
      <diagonal style="thin">
        <color indexed="64"/>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diagonalUp="1" diagonalDown="1">
      <left/>
      <right style="thin">
        <color indexed="64"/>
      </right>
      <top style="hair">
        <color indexed="64"/>
      </top>
      <bottom style="hair">
        <color indexed="64"/>
      </bottom>
      <diagonal style="thin">
        <color indexed="64"/>
      </diagonal>
    </border>
    <border>
      <left style="thin">
        <color indexed="64"/>
      </left>
      <right/>
      <top/>
      <bottom style="hair">
        <color indexed="64"/>
      </bottom>
      <diagonal/>
    </border>
    <border diagonalDown="1">
      <left style="thin">
        <color indexed="64"/>
      </left>
      <right style="thin">
        <color indexed="64"/>
      </right>
      <top style="hair">
        <color indexed="64"/>
      </top>
      <bottom style="thin">
        <color indexed="64"/>
      </bottom>
      <diagonal style="thin">
        <color indexed="64"/>
      </diagonal>
    </border>
    <border diagonalDown="1">
      <left style="thin">
        <color indexed="64"/>
      </left>
      <right style="thin">
        <color indexed="64"/>
      </right>
      <top style="hair">
        <color indexed="64"/>
      </top>
      <bottom/>
      <diagonal style="thin">
        <color indexed="64"/>
      </diagonal>
    </border>
    <border>
      <left/>
      <right/>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diagonalUp="1" diagonalDown="1">
      <left style="thin">
        <color indexed="64"/>
      </left>
      <right/>
      <top style="hair">
        <color indexed="64"/>
      </top>
      <bottom style="hair">
        <color indexed="64"/>
      </bottom>
      <diagonal style="thin">
        <color indexed="64"/>
      </diagonal>
    </border>
    <border diagonalUp="1" diagonalDown="1">
      <left/>
      <right/>
      <top style="hair">
        <color indexed="64"/>
      </top>
      <bottom style="hair">
        <color indexed="64"/>
      </bottom>
      <diagonal style="thin">
        <color indexed="64"/>
      </diagonal>
    </border>
    <border>
      <left/>
      <right/>
      <top style="hair">
        <color indexed="64"/>
      </top>
      <bottom/>
      <diagonal/>
    </border>
    <border>
      <left/>
      <right/>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medium">
        <color indexed="64"/>
      </right>
      <top/>
      <bottom style="medium">
        <color indexed="64"/>
      </bottom>
      <diagonal/>
    </border>
    <border diagonalUp="1" diagonalDown="1">
      <left style="thin">
        <color indexed="64"/>
      </left>
      <right style="thin">
        <color indexed="64"/>
      </right>
      <top style="hair">
        <color indexed="64"/>
      </top>
      <bottom style="medium">
        <color indexed="64"/>
      </bottom>
      <diagonal style="thin">
        <color indexed="64"/>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style="thin">
        <color indexed="64"/>
      </left>
      <right/>
      <top style="thin">
        <color indexed="64"/>
      </top>
      <bottom style="hair">
        <color indexed="64"/>
      </bottom>
      <diagonal style="thin">
        <color indexed="64"/>
      </diagonal>
    </border>
    <border diagonalUp="1" diagonalDown="1">
      <left/>
      <right/>
      <top style="thin">
        <color indexed="64"/>
      </top>
      <bottom style="hair">
        <color indexed="64"/>
      </bottom>
      <diagonal style="thin">
        <color indexed="64"/>
      </diagonal>
    </border>
    <border diagonalUp="1" diagonalDown="1">
      <left/>
      <right style="thin">
        <color indexed="64"/>
      </right>
      <top style="thin">
        <color indexed="64"/>
      </top>
      <bottom style="hair">
        <color indexed="64"/>
      </bottom>
      <diagonal style="thin">
        <color indexed="64"/>
      </diagonal>
    </border>
    <border>
      <left/>
      <right/>
      <top/>
      <bottom style="medium">
        <color indexed="64"/>
      </bottom>
      <diagonal/>
    </border>
    <border diagonalUp="1" diagonalDown="1">
      <left style="thin">
        <color indexed="64"/>
      </left>
      <right style="thin">
        <color indexed="64"/>
      </right>
      <top style="thin">
        <color indexed="64"/>
      </top>
      <bottom/>
      <diagonal style="thin">
        <color indexed="64"/>
      </diagonal>
    </border>
    <border diagonalUp="1" diagonalDown="1">
      <left style="thin">
        <color indexed="64"/>
      </left>
      <right/>
      <top style="hair">
        <color indexed="64"/>
      </top>
      <bottom/>
      <diagonal style="thin">
        <color indexed="64"/>
      </diagonal>
    </border>
    <border diagonalUp="1" diagonalDown="1">
      <left/>
      <right/>
      <top style="hair">
        <color indexed="64"/>
      </top>
      <bottom/>
      <diagonal style="thin">
        <color indexed="64"/>
      </diagonal>
    </border>
    <border diagonalUp="1" diagonalDown="1">
      <left/>
      <right style="thin">
        <color indexed="64"/>
      </right>
      <top style="hair">
        <color indexed="64"/>
      </top>
      <bottom/>
      <diagonal style="thin">
        <color indexed="64"/>
      </diagonal>
    </border>
    <border diagonalUp="1" diagonalDown="1">
      <left style="thin">
        <color indexed="64"/>
      </left>
      <right/>
      <top/>
      <bottom/>
      <diagonal style="thin">
        <color indexed="64"/>
      </diagonal>
    </border>
    <border diagonalUp="1" diagonalDown="1">
      <left/>
      <right/>
      <top/>
      <bottom/>
      <diagonal style="thin">
        <color indexed="64"/>
      </diagonal>
    </border>
    <border diagonalUp="1" diagonalDown="1">
      <left/>
      <right style="thin">
        <color indexed="64"/>
      </right>
      <top/>
      <bottom/>
      <diagonal style="thin">
        <color indexed="64"/>
      </diagonal>
    </border>
    <border diagonalUp="1" diagonalDown="1">
      <left style="thin">
        <color indexed="64"/>
      </left>
      <right/>
      <top/>
      <bottom style="hair">
        <color indexed="64"/>
      </bottom>
      <diagonal style="thin">
        <color indexed="64"/>
      </diagonal>
    </border>
    <border diagonalUp="1" diagonalDown="1">
      <left/>
      <right/>
      <top/>
      <bottom style="hair">
        <color indexed="64"/>
      </bottom>
      <diagonal style="thin">
        <color indexed="64"/>
      </diagonal>
    </border>
    <border diagonalUp="1" diagonalDown="1">
      <left/>
      <right style="thin">
        <color indexed="64"/>
      </right>
      <top/>
      <bottom style="hair">
        <color indexed="64"/>
      </bottom>
      <diagonal style="thin">
        <color indexed="64"/>
      </diagonal>
    </border>
    <border diagonalUp="1" diagonalDown="1">
      <left style="thin">
        <color indexed="64"/>
      </left>
      <right/>
      <top/>
      <bottom style="thin">
        <color indexed="64"/>
      </bottom>
      <diagonal style="thin">
        <color indexed="64"/>
      </diagonal>
    </border>
    <border diagonalUp="1" diagonalDown="1">
      <left/>
      <right/>
      <top/>
      <bottom style="thin">
        <color indexed="64"/>
      </bottom>
      <diagonal style="thin">
        <color indexed="64"/>
      </diagonal>
    </border>
    <border diagonalUp="1" diagonalDown="1">
      <left/>
      <right style="thin">
        <color indexed="64"/>
      </right>
      <top/>
      <bottom style="thin">
        <color indexed="64"/>
      </bottom>
      <diagonal style="thin">
        <color indexed="64"/>
      </diagonal>
    </border>
    <border diagonalUp="1" diagonalDown="1">
      <left/>
      <right style="thin">
        <color indexed="64"/>
      </right>
      <top style="thin">
        <color indexed="64"/>
      </top>
      <bottom style="thin">
        <color indexed="64"/>
      </bottom>
      <diagonal style="thin">
        <color indexed="64"/>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diagonalUp="1" diagonalDown="1">
      <left style="thin">
        <color indexed="64"/>
      </left>
      <right/>
      <top style="hair">
        <color indexed="64"/>
      </top>
      <bottom style="thin">
        <color indexed="64"/>
      </bottom>
      <diagonal style="thin">
        <color indexed="64"/>
      </diagonal>
    </border>
    <border diagonalUp="1" diagonalDown="1">
      <left/>
      <right/>
      <top style="hair">
        <color indexed="64"/>
      </top>
      <bottom style="thin">
        <color indexed="64"/>
      </bottom>
      <diagonal style="thin">
        <color indexed="64"/>
      </diagonal>
    </border>
    <border diagonalUp="1" diagonalDown="1">
      <left/>
      <right style="thin">
        <color indexed="64"/>
      </right>
      <top style="hair">
        <color indexed="64"/>
      </top>
      <bottom style="thin">
        <color indexed="64"/>
      </bottom>
      <diagonal style="thin">
        <color indexed="64"/>
      </diagonal>
    </border>
  </borders>
  <cellStyleXfs count="90">
    <xf numFmtId="0" fontId="0" fillId="0" borderId="0">
      <alignment vertical="center"/>
    </xf>
    <xf numFmtId="0" fontId="7" fillId="0" borderId="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8" borderId="0" applyNumberFormat="0" applyBorder="0" applyAlignment="0" applyProtection="0">
      <alignment vertical="center"/>
    </xf>
    <xf numFmtId="0" fontId="8" fillId="8" borderId="0" applyNumberFormat="0" applyBorder="0" applyAlignment="0" applyProtection="0">
      <alignment vertical="center"/>
    </xf>
    <xf numFmtId="0" fontId="8" fillId="9" borderId="0" applyNumberFormat="0" applyBorder="0" applyAlignment="0" applyProtection="0">
      <alignment vertical="center"/>
    </xf>
    <xf numFmtId="0" fontId="8" fillId="9"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9" borderId="0" applyNumberFormat="0" applyBorder="0" applyAlignment="0" applyProtection="0">
      <alignment vertical="center"/>
    </xf>
    <xf numFmtId="0" fontId="8" fillId="9" borderId="0" applyNumberFormat="0" applyBorder="0" applyAlignment="0" applyProtection="0">
      <alignment vertical="center"/>
    </xf>
    <xf numFmtId="0" fontId="8" fillId="9"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3" fillId="20" borderId="0" applyNumberFormat="0" applyBorder="0" applyAlignment="0" applyProtection="0">
      <alignment vertical="center"/>
    </xf>
    <xf numFmtId="0" fontId="16" fillId="0" borderId="0" applyNumberFormat="0" applyFill="0" applyBorder="0" applyAlignment="0" applyProtection="0">
      <alignment vertical="center"/>
    </xf>
    <xf numFmtId="0" fontId="17" fillId="21" borderId="37" applyNumberFormat="0" applyAlignment="0" applyProtection="0">
      <alignment vertical="center"/>
    </xf>
    <xf numFmtId="0" fontId="18" fillId="22" borderId="0" applyNumberFormat="0" applyBorder="0" applyAlignment="0" applyProtection="0">
      <alignment vertical="center"/>
    </xf>
    <xf numFmtId="0" fontId="8" fillId="23" borderId="38" applyNumberFormat="0" applyFont="0" applyAlignment="0" applyProtection="0">
      <alignment vertical="center"/>
    </xf>
    <xf numFmtId="0" fontId="8" fillId="23" borderId="38" applyNumberFormat="0" applyFont="0" applyAlignment="0" applyProtection="0">
      <alignment vertical="center"/>
    </xf>
    <xf numFmtId="0" fontId="8" fillId="23" borderId="38" applyNumberFormat="0" applyFont="0" applyAlignment="0" applyProtection="0">
      <alignment vertical="center"/>
    </xf>
    <xf numFmtId="0" fontId="19" fillId="0" borderId="39" applyNumberFormat="0" applyFill="0" applyAlignment="0" applyProtection="0">
      <alignment vertical="center"/>
    </xf>
    <xf numFmtId="0" fontId="20" fillId="4" borderId="0" applyNumberFormat="0" applyBorder="0" applyAlignment="0" applyProtection="0">
      <alignment vertical="center"/>
    </xf>
    <xf numFmtId="0" fontId="21" fillId="24" borderId="40" applyNumberFormat="0" applyAlignment="0" applyProtection="0">
      <alignment vertical="center"/>
    </xf>
    <xf numFmtId="0" fontId="22" fillId="0" borderId="0" applyNumberFormat="0" applyFill="0" applyBorder="0" applyAlignment="0" applyProtection="0">
      <alignment vertical="center"/>
    </xf>
    <xf numFmtId="40" fontId="7" fillId="0" borderId="0" applyFont="0" applyFill="0" applyBorder="0" applyAlignment="0" applyProtection="0">
      <alignment vertical="center"/>
    </xf>
    <xf numFmtId="0" fontId="23" fillId="0" borderId="41" applyNumberFormat="0" applyFill="0" applyAlignment="0" applyProtection="0">
      <alignment vertical="center"/>
    </xf>
    <xf numFmtId="0" fontId="24" fillId="0" borderId="42" applyNumberFormat="0" applyFill="0" applyAlignment="0" applyProtection="0">
      <alignment vertical="center"/>
    </xf>
    <xf numFmtId="0" fontId="25" fillId="0" borderId="43" applyNumberFormat="0" applyFill="0" applyAlignment="0" applyProtection="0">
      <alignment vertical="center"/>
    </xf>
    <xf numFmtId="0" fontId="25" fillId="0" borderId="0" applyNumberFormat="0" applyFill="0" applyBorder="0" applyAlignment="0" applyProtection="0">
      <alignment vertical="center"/>
    </xf>
    <xf numFmtId="0" fontId="10" fillId="0" borderId="44" applyNumberFormat="0" applyFill="0" applyAlignment="0" applyProtection="0">
      <alignment vertical="center"/>
    </xf>
    <xf numFmtId="0" fontId="26" fillId="24" borderId="45" applyNumberFormat="0" applyAlignment="0" applyProtection="0">
      <alignment vertical="center"/>
    </xf>
    <xf numFmtId="0" fontId="27" fillId="0" borderId="0" applyNumberFormat="0" applyFill="0" applyBorder="0" applyAlignment="0" applyProtection="0">
      <alignment vertical="center"/>
    </xf>
    <xf numFmtId="0" fontId="28" fillId="8" borderId="40" applyNumberFormat="0" applyAlignment="0" applyProtection="0">
      <alignment vertical="center"/>
    </xf>
    <xf numFmtId="0" fontId="7" fillId="0" borderId="0">
      <alignment vertical="center"/>
    </xf>
    <xf numFmtId="0" fontId="29"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9" fillId="0" borderId="0">
      <alignment vertical="center"/>
    </xf>
    <xf numFmtId="0" fontId="29" fillId="0" borderId="0"/>
    <xf numFmtId="0" fontId="7" fillId="0" borderId="0">
      <alignment vertical="center"/>
    </xf>
    <xf numFmtId="0" fontId="30" fillId="5" borderId="0" applyNumberFormat="0" applyBorder="0" applyAlignment="0" applyProtection="0">
      <alignment vertical="center"/>
    </xf>
    <xf numFmtId="0" fontId="1" fillId="0" borderId="0">
      <alignment vertical="center"/>
    </xf>
    <xf numFmtId="0" fontId="1" fillId="0" borderId="0"/>
    <xf numFmtId="0" fontId="1" fillId="0" borderId="0"/>
    <xf numFmtId="0" fontId="37" fillId="0" borderId="0" applyNumberFormat="0" applyFill="0" applyBorder="0" applyAlignment="0" applyProtection="0">
      <alignment vertical="top"/>
      <protection locked="0"/>
    </xf>
  </cellStyleXfs>
  <cellXfs count="2806">
    <xf numFmtId="0" fontId="0" fillId="0" borderId="0" xfId="0">
      <alignment vertical="center"/>
    </xf>
    <xf numFmtId="0" fontId="0" fillId="0" borderId="2" xfId="0" applyFont="1" applyFill="1" applyBorder="1" applyAlignment="1">
      <alignment horizontal="center" vertical="center"/>
    </xf>
    <xf numFmtId="0" fontId="0" fillId="0" borderId="10" xfId="0" applyNumberFormat="1" applyBorder="1" applyAlignment="1">
      <alignment horizontal="left" vertical="top" shrinkToFit="1"/>
    </xf>
    <xf numFmtId="0" fontId="0" fillId="0" borderId="12" xfId="0" applyNumberFormat="1" applyBorder="1" applyAlignment="1">
      <alignment horizontal="left" vertical="top" shrinkToFit="1"/>
    </xf>
    <xf numFmtId="0" fontId="0" fillId="0" borderId="0" xfId="0" applyAlignment="1">
      <alignment vertical="center" shrinkToFit="1"/>
    </xf>
    <xf numFmtId="0" fontId="9" fillId="0" borderId="0" xfId="0" applyFont="1" applyAlignment="1">
      <alignment vertical="center" shrinkToFit="1"/>
    </xf>
    <xf numFmtId="0" fontId="9" fillId="0" borderId="0" xfId="0" applyFont="1">
      <alignment vertical="center"/>
    </xf>
    <xf numFmtId="0" fontId="0" fillId="0" borderId="0" xfId="0" applyBorder="1">
      <alignment vertical="center"/>
    </xf>
    <xf numFmtId="0" fontId="0" fillId="0" borderId="0" xfId="0" applyBorder="1" applyAlignment="1">
      <alignment horizontal="center" vertical="center"/>
    </xf>
    <xf numFmtId="49" fontId="0" fillId="0" borderId="0" xfId="0" applyNumberFormat="1" applyFill="1" applyBorder="1" applyAlignment="1">
      <alignment horizontal="left" vertical="center"/>
    </xf>
    <xf numFmtId="0" fontId="9" fillId="0" borderId="3" xfId="0" applyNumberFormat="1" applyFont="1" applyBorder="1" applyAlignment="1">
      <alignment horizontal="left" vertical="top" wrapText="1" shrinkToFit="1"/>
    </xf>
    <xf numFmtId="0" fontId="9" fillId="0" borderId="5" xfId="0" applyNumberFormat="1" applyFont="1" applyBorder="1" applyAlignment="1">
      <alignment horizontal="left" vertical="top" shrinkToFit="1"/>
    </xf>
    <xf numFmtId="0" fontId="9" fillId="0" borderId="0" xfId="0" applyFont="1" applyBorder="1" applyAlignment="1">
      <alignment vertical="center"/>
    </xf>
    <xf numFmtId="49" fontId="0" fillId="0" borderId="0" xfId="0" applyNumberFormat="1">
      <alignment vertical="center"/>
    </xf>
    <xf numFmtId="0" fontId="9" fillId="0" borderId="0" xfId="0" applyFont="1" applyBorder="1">
      <alignment vertical="center"/>
    </xf>
    <xf numFmtId="0" fontId="9" fillId="0" borderId="3" xfId="0" applyNumberFormat="1" applyFont="1" applyBorder="1" applyAlignment="1">
      <alignment horizontal="left" vertical="top" shrinkToFit="1"/>
    </xf>
    <xf numFmtId="0" fontId="9" fillId="0" borderId="0" xfId="0" applyFont="1" applyBorder="1" applyAlignment="1">
      <alignment vertical="center" shrinkToFit="1"/>
    </xf>
    <xf numFmtId="0" fontId="8" fillId="0" borderId="0" xfId="0" applyFont="1" applyFill="1" applyBorder="1" applyAlignment="1">
      <alignment horizontal="center" vertical="center" shrinkToFit="1"/>
    </xf>
    <xf numFmtId="0" fontId="8" fillId="0" borderId="0" xfId="0" applyFont="1" applyBorder="1" applyAlignment="1">
      <alignment vertical="center" shrinkToFit="1"/>
    </xf>
    <xf numFmtId="0" fontId="8" fillId="0" borderId="0" xfId="0" applyNumberFormat="1" applyFont="1" applyFill="1" applyBorder="1" applyAlignment="1">
      <alignment vertical="center" shrinkToFit="1"/>
    </xf>
    <xf numFmtId="0" fontId="8" fillId="0" borderId="2" xfId="0" applyFont="1" applyBorder="1" applyAlignment="1">
      <alignment vertical="center" shrinkToFit="1"/>
    </xf>
    <xf numFmtId="49" fontId="0" fillId="0" borderId="0" xfId="0" applyNumberFormat="1" applyFill="1" applyBorder="1" applyAlignment="1">
      <alignment horizontal="center" vertical="center" shrinkToFit="1"/>
    </xf>
    <xf numFmtId="0" fontId="0" fillId="0" borderId="0" xfId="0" applyBorder="1" applyAlignment="1">
      <alignment horizontal="center" vertical="top"/>
    </xf>
    <xf numFmtId="0" fontId="9" fillId="0" borderId="0" xfId="0" applyFont="1" applyFill="1" applyBorder="1" applyAlignment="1">
      <alignment horizontal="center" vertical="center" shrinkToFit="1"/>
    </xf>
    <xf numFmtId="0" fontId="9" fillId="0" borderId="0" xfId="0" applyNumberFormat="1" applyFont="1" applyFill="1" applyBorder="1" applyAlignment="1">
      <alignment vertical="center" shrinkToFit="1"/>
    </xf>
    <xf numFmtId="0" fontId="32" fillId="0" borderId="0" xfId="0" applyFont="1" applyBorder="1" applyAlignment="1">
      <alignment vertical="center" wrapText="1" shrinkToFit="1"/>
    </xf>
    <xf numFmtId="0" fontId="8" fillId="0" borderId="2" xfId="0" applyFont="1" applyBorder="1" applyAlignment="1">
      <alignment vertical="center" wrapText="1" shrinkToFit="1"/>
    </xf>
    <xf numFmtId="0" fontId="8" fillId="0" borderId="4" xfId="0" applyFont="1" applyBorder="1">
      <alignment vertical="center"/>
    </xf>
    <xf numFmtId="0" fontId="9" fillId="0" borderId="9" xfId="0" applyNumberFormat="1" applyFont="1" applyBorder="1" applyAlignment="1">
      <alignment horizontal="left" vertical="top" shrinkToFit="1"/>
    </xf>
    <xf numFmtId="0" fontId="8" fillId="0" borderId="9" xfId="0" applyFont="1" applyBorder="1" applyAlignment="1">
      <alignment vertical="center" shrinkToFit="1"/>
    </xf>
    <xf numFmtId="0" fontId="8" fillId="0" borderId="0" xfId="0" applyFont="1" applyBorder="1" applyAlignment="1">
      <alignment vertical="center" wrapText="1" shrinkToFit="1"/>
    </xf>
    <xf numFmtId="0" fontId="0" fillId="0" borderId="5" xfId="0" applyBorder="1">
      <alignment vertical="center"/>
    </xf>
    <xf numFmtId="0" fontId="8" fillId="0" borderId="3" xfId="0" applyFont="1" applyBorder="1" applyAlignment="1">
      <alignment vertical="center" shrinkToFit="1"/>
    </xf>
    <xf numFmtId="0" fontId="8" fillId="0" borderId="3" xfId="0" applyFont="1" applyBorder="1" applyAlignment="1">
      <alignment vertical="center" wrapText="1" shrinkToFit="1"/>
    </xf>
    <xf numFmtId="0" fontId="8" fillId="0" borderId="4" xfId="0" applyFont="1" applyBorder="1" applyAlignment="1">
      <alignment vertical="center" shrinkToFit="1"/>
    </xf>
    <xf numFmtId="0" fontId="0" fillId="0" borderId="0" xfId="0" applyBorder="1" applyAlignment="1">
      <alignment vertical="center" shrinkToFit="1"/>
    </xf>
    <xf numFmtId="0" fontId="8" fillId="27" borderId="5" xfId="0" applyFont="1" applyFill="1" applyBorder="1" applyAlignment="1">
      <alignment vertical="center" shrinkToFit="1"/>
    </xf>
    <xf numFmtId="0" fontId="8" fillId="0" borderId="0" xfId="0" applyFont="1">
      <alignment vertical="center"/>
    </xf>
    <xf numFmtId="0" fontId="8" fillId="0" borderId="0" xfId="0" applyFont="1" applyAlignment="1">
      <alignment vertical="center" wrapText="1"/>
    </xf>
    <xf numFmtId="0" fontId="8" fillId="0" borderId="0" xfId="0" applyFont="1" applyAlignment="1">
      <alignment vertical="top" wrapText="1"/>
    </xf>
    <xf numFmtId="0" fontId="9" fillId="0" borderId="0" xfId="0" applyFont="1" applyFill="1">
      <alignment vertical="center"/>
    </xf>
    <xf numFmtId="0" fontId="0" fillId="0" borderId="0" xfId="0" applyBorder="1" applyAlignment="1">
      <alignment horizontal="center" vertical="center"/>
    </xf>
    <xf numFmtId="0" fontId="8" fillId="0" borderId="6" xfId="0" applyFont="1" applyBorder="1" applyAlignment="1">
      <alignment vertical="center" shrinkToFit="1"/>
    </xf>
    <xf numFmtId="0" fontId="9" fillId="2" borderId="0" xfId="0" applyFont="1" applyFill="1" applyBorder="1" applyAlignment="1">
      <alignment horizontal="center" vertical="center" shrinkToFit="1"/>
    </xf>
    <xf numFmtId="0" fontId="6" fillId="2" borderId="0" xfId="0" applyFont="1" applyFill="1" applyBorder="1" applyAlignment="1">
      <alignment horizontal="center" vertical="center" shrinkToFit="1"/>
    </xf>
    <xf numFmtId="0" fontId="9" fillId="2" borderId="0" xfId="0" applyNumberFormat="1" applyFont="1" applyFill="1" applyBorder="1" applyAlignment="1">
      <alignment horizontal="center" vertical="center" shrinkToFit="1"/>
    </xf>
    <xf numFmtId="0" fontId="9" fillId="0" borderId="0" xfId="0" applyNumberFormat="1" applyFont="1" applyFill="1" applyBorder="1" applyAlignment="1">
      <alignment horizontal="center" vertical="center" shrinkToFit="1"/>
    </xf>
    <xf numFmtId="0" fontId="8" fillId="0" borderId="0" xfId="0" applyNumberFormat="1" applyFont="1" applyFill="1" applyBorder="1" applyAlignment="1">
      <alignment vertical="center" wrapText="1" shrinkToFit="1"/>
    </xf>
    <xf numFmtId="0" fontId="8" fillId="0" borderId="0" xfId="0" applyFont="1" applyBorder="1">
      <alignment vertical="center"/>
    </xf>
    <xf numFmtId="0" fontId="9" fillId="27" borderId="0" xfId="0" applyFont="1" applyFill="1" applyBorder="1">
      <alignment vertical="center"/>
    </xf>
    <xf numFmtId="0" fontId="8" fillId="27" borderId="0" xfId="0" applyFont="1" applyFill="1" applyBorder="1" applyAlignment="1">
      <alignment horizontal="center" vertical="center" shrinkToFit="1"/>
    </xf>
    <xf numFmtId="0" fontId="8" fillId="27" borderId="0" xfId="0" applyNumberFormat="1" applyFont="1" applyFill="1" applyBorder="1" applyAlignment="1">
      <alignment vertical="center" shrinkToFit="1"/>
    </xf>
    <xf numFmtId="0" fontId="8" fillId="27" borderId="0" xfId="0" applyFont="1" applyFill="1" applyBorder="1" applyAlignment="1">
      <alignment vertical="center" shrinkToFit="1"/>
    </xf>
    <xf numFmtId="0" fontId="31" fillId="27" borderId="0" xfId="0" applyFont="1" applyFill="1" applyBorder="1" applyAlignment="1">
      <alignment vertical="center" wrapText="1" shrinkToFit="1"/>
    </xf>
    <xf numFmtId="0" fontId="31" fillId="0" borderId="0" xfId="0" applyFont="1" applyBorder="1" applyAlignment="1">
      <alignment vertical="center" wrapText="1" shrinkToFit="1"/>
    </xf>
    <xf numFmtId="0" fontId="9" fillId="0" borderId="0" xfId="0" applyFont="1" applyBorder="1" applyAlignment="1">
      <alignment horizontal="center" vertical="center"/>
    </xf>
    <xf numFmtId="0" fontId="0" fillId="0" borderId="0" xfId="0" applyNumberFormat="1" applyFill="1" applyBorder="1" applyAlignment="1">
      <alignment horizontal="center" vertical="center" wrapText="1"/>
    </xf>
    <xf numFmtId="0" fontId="7" fillId="0" borderId="0" xfId="0" applyNumberFormat="1" applyFont="1" applyFill="1" applyBorder="1" applyAlignment="1">
      <alignment horizontal="center" vertical="center" shrinkToFit="1"/>
    </xf>
    <xf numFmtId="0" fontId="0" fillId="0" borderId="0" xfId="0" applyNumberFormat="1" applyFill="1" applyBorder="1" applyAlignment="1">
      <alignment vertical="center" shrinkToFit="1"/>
    </xf>
    <xf numFmtId="0" fontId="5" fillId="0" borderId="0" xfId="0" applyNumberFormat="1" applyFont="1" applyBorder="1" applyAlignment="1">
      <alignment horizontal="center" vertical="center" shrinkToFit="1"/>
    </xf>
    <xf numFmtId="0" fontId="5" fillId="0" borderId="0" xfId="0" applyNumberFormat="1" applyFont="1" applyBorder="1" applyAlignment="1">
      <alignment vertical="center" shrinkToFit="1"/>
    </xf>
    <xf numFmtId="0" fontId="0" fillId="0" borderId="0" xfId="0" applyNumberFormat="1" applyBorder="1" applyAlignment="1">
      <alignment horizontal="left" vertical="top" shrinkToFit="1"/>
    </xf>
    <xf numFmtId="0" fontId="0" fillId="0" borderId="0" xfId="0" applyNumberFormat="1" applyFill="1" applyBorder="1" applyAlignment="1">
      <alignment horizontal="center" vertical="center" shrinkToFit="1"/>
    </xf>
    <xf numFmtId="0" fontId="0" fillId="0" borderId="0" xfId="0" applyNumberFormat="1" applyFont="1" applyBorder="1" applyAlignment="1">
      <alignment horizontal="left" vertical="top" shrinkToFit="1"/>
    </xf>
    <xf numFmtId="49" fontId="9" fillId="0" borderId="0" xfId="0" applyNumberFormat="1" applyFont="1" applyBorder="1" applyAlignment="1">
      <alignment horizontal="left" vertical="center"/>
    </xf>
    <xf numFmtId="0" fontId="7" fillId="0" borderId="0" xfId="0" applyNumberFormat="1" applyFont="1" applyFill="1" applyBorder="1" applyAlignment="1">
      <alignment horizontal="left" vertical="center" shrinkToFit="1"/>
    </xf>
    <xf numFmtId="0" fontId="9" fillId="0" borderId="0" xfId="0" applyNumberFormat="1" applyFont="1" applyBorder="1" applyAlignment="1">
      <alignment horizontal="center" vertical="center" shrinkToFit="1"/>
    </xf>
    <xf numFmtId="0" fontId="7" fillId="0" borderId="0" xfId="0" applyFont="1" applyFill="1" applyBorder="1" applyAlignment="1">
      <alignment horizontal="center" vertical="center"/>
    </xf>
    <xf numFmtId="0" fontId="9" fillId="0" borderId="0" xfId="0" applyNumberFormat="1" applyFont="1" applyBorder="1" applyAlignment="1">
      <alignment horizontal="left" vertical="top" wrapText="1" shrinkToFit="1"/>
    </xf>
    <xf numFmtId="0" fontId="7" fillId="0" borderId="0" xfId="0" applyNumberFormat="1" applyFont="1" applyBorder="1" applyAlignment="1">
      <alignment vertical="center" shrinkToFit="1"/>
    </xf>
    <xf numFmtId="0" fontId="7" fillId="0" borderId="0" xfId="0" applyNumberFormat="1" applyFont="1" applyBorder="1" applyAlignment="1">
      <alignment horizontal="center" vertical="center" shrinkToFit="1"/>
    </xf>
    <xf numFmtId="0" fontId="9" fillId="0" borderId="0" xfId="0" applyNumberFormat="1" applyFont="1" applyBorder="1" applyAlignment="1">
      <alignment horizontal="left" vertical="top" shrinkToFit="1"/>
    </xf>
    <xf numFmtId="0" fontId="9" fillId="0" borderId="0" xfId="0" applyFont="1" applyBorder="1" applyAlignment="1">
      <alignment horizontal="center" vertical="center" shrinkToFit="1"/>
    </xf>
    <xf numFmtId="0" fontId="9" fillId="0" borderId="0" xfId="0" applyNumberFormat="1" applyFont="1" applyFill="1" applyBorder="1" applyAlignment="1">
      <alignment horizontal="left" vertical="center" shrinkToFit="1"/>
    </xf>
    <xf numFmtId="0" fontId="0" fillId="0" borderId="0" xfId="0" applyNumberFormat="1" applyFill="1" applyBorder="1" applyAlignment="1">
      <alignment horizontal="left" vertical="center" shrinkToFit="1"/>
    </xf>
    <xf numFmtId="0" fontId="0" fillId="0" borderId="0" xfId="0" applyNumberFormat="1" applyFont="1" applyFill="1" applyBorder="1" applyAlignment="1">
      <alignment horizontal="center" vertical="center" shrinkToFit="1"/>
    </xf>
    <xf numFmtId="0" fontId="8" fillId="0" borderId="0" xfId="0" applyFont="1" applyFill="1" applyBorder="1" applyAlignment="1">
      <alignment vertical="center" wrapText="1" shrinkToFit="1"/>
    </xf>
    <xf numFmtId="0" fontId="9" fillId="0" borderId="0" xfId="0" applyFont="1" applyFill="1" applyBorder="1" applyAlignment="1">
      <alignment horizontal="center" vertical="center" wrapText="1"/>
    </xf>
    <xf numFmtId="0" fontId="9" fillId="0" borderId="0" xfId="0" applyFont="1" applyFill="1" applyBorder="1" applyAlignment="1">
      <alignment horizontal="center" vertical="center" shrinkToFit="1"/>
    </xf>
    <xf numFmtId="0" fontId="9" fillId="0" borderId="0" xfId="0" applyFont="1" applyFill="1" applyBorder="1" applyAlignment="1">
      <alignment vertical="center" shrinkToFit="1"/>
    </xf>
    <xf numFmtId="0" fontId="9" fillId="0" borderId="0" xfId="0" applyFont="1" applyFill="1" applyBorder="1" applyAlignment="1">
      <alignment vertical="center" wrapText="1"/>
    </xf>
    <xf numFmtId="0" fontId="9" fillId="0" borderId="0" xfId="0" applyFont="1" applyAlignment="1">
      <alignment horizontal="center" vertical="center"/>
    </xf>
    <xf numFmtId="0" fontId="40" fillId="2" borderId="1" xfId="0" applyFont="1" applyFill="1" applyBorder="1" applyAlignment="1">
      <alignment horizontal="center" vertical="center" shrinkToFit="1"/>
    </xf>
    <xf numFmtId="0" fontId="7" fillId="0" borderId="5" xfId="0" applyFont="1" applyFill="1" applyBorder="1" applyAlignment="1">
      <alignment horizontal="left" vertical="center" shrinkToFit="1"/>
    </xf>
    <xf numFmtId="0" fontId="9" fillId="0" borderId="0" xfId="0" applyFont="1" applyBorder="1" applyAlignment="1">
      <alignment horizontal="center" vertical="center"/>
    </xf>
    <xf numFmtId="0" fontId="9" fillId="0" borderId="0" xfId="0" applyFont="1" applyAlignment="1">
      <alignment horizontal="center" vertical="center"/>
    </xf>
    <xf numFmtId="0" fontId="8" fillId="0" borderId="0" xfId="0" applyFont="1" applyFill="1" applyBorder="1" applyAlignment="1">
      <alignment horizontal="left" vertical="center"/>
    </xf>
    <xf numFmtId="0" fontId="8" fillId="0" borderId="0" xfId="0" applyFont="1" applyAlignment="1">
      <alignment vertical="center"/>
    </xf>
    <xf numFmtId="0" fontId="37" fillId="0" borderId="0" xfId="89" applyFill="1" applyBorder="1" applyAlignment="1" applyProtection="1">
      <alignment vertical="center"/>
    </xf>
    <xf numFmtId="0" fontId="37" fillId="0" borderId="0" xfId="89" applyFill="1" applyBorder="1" applyAlignment="1" applyProtection="1">
      <alignment horizontal="left" vertical="center"/>
    </xf>
    <xf numFmtId="0" fontId="45" fillId="27" borderId="2" xfId="0" applyFont="1" applyFill="1" applyBorder="1" applyAlignment="1">
      <alignment horizontal="center" vertical="center" wrapText="1"/>
    </xf>
    <xf numFmtId="0" fontId="0" fillId="0" borderId="0" xfId="0" applyAlignment="1">
      <alignment horizontal="center" vertical="center"/>
    </xf>
    <xf numFmtId="0" fontId="37" fillId="0" borderId="2" xfId="89" applyBorder="1" applyAlignment="1" applyProtection="1">
      <alignment horizontal="center" vertical="center" shrinkToFit="1"/>
    </xf>
    <xf numFmtId="0" fontId="31" fillId="0" borderId="32" xfId="0" applyFont="1" applyBorder="1" applyAlignment="1">
      <alignment vertical="center" wrapText="1" shrinkToFit="1"/>
    </xf>
    <xf numFmtId="0" fontId="32" fillId="0" borderId="0" xfId="0" applyFont="1" applyBorder="1" applyAlignment="1">
      <alignment horizontal="center" vertical="center" wrapText="1" shrinkToFit="1"/>
    </xf>
    <xf numFmtId="0" fontId="8" fillId="0" borderId="0" xfId="0" applyFont="1" applyBorder="1" applyAlignment="1">
      <alignment horizontal="center" vertical="center" shrinkToFit="1"/>
    </xf>
    <xf numFmtId="0" fontId="31" fillId="27" borderId="0" xfId="0" applyFont="1" applyFill="1" applyBorder="1" applyAlignment="1">
      <alignment horizontal="center" vertical="center" wrapText="1" shrinkToFit="1"/>
    </xf>
    <xf numFmtId="0" fontId="0" fillId="0" borderId="0" xfId="0" applyNumberFormat="1" applyBorder="1" applyAlignment="1">
      <alignment horizontal="center" vertical="top" shrinkToFit="1"/>
    </xf>
    <xf numFmtId="0" fontId="0" fillId="0" borderId="0" xfId="0" applyNumberFormat="1" applyFont="1" applyBorder="1" applyAlignment="1">
      <alignment horizontal="center" vertical="top" shrinkToFit="1"/>
    </xf>
    <xf numFmtId="0" fontId="4" fillId="0" borderId="0" xfId="0" applyNumberFormat="1" applyFont="1" applyBorder="1" applyAlignment="1">
      <alignment horizontal="center" vertical="top" wrapText="1" shrinkToFit="1"/>
    </xf>
    <xf numFmtId="0" fontId="37" fillId="0" borderId="0" xfId="89" applyBorder="1" applyAlignment="1" applyProtection="1">
      <alignment vertical="center"/>
    </xf>
    <xf numFmtId="0" fontId="9" fillId="0" borderId="3" xfId="0" applyFont="1" applyBorder="1" applyAlignment="1">
      <alignment horizontal="center" vertical="center" wrapText="1"/>
    </xf>
    <xf numFmtId="0" fontId="9" fillId="0" borderId="5" xfId="0" applyFont="1" applyBorder="1" applyAlignment="1">
      <alignment horizontal="center" vertical="center" wrapText="1"/>
    </xf>
    <xf numFmtId="0" fontId="7" fillId="0" borderId="3" xfId="0" applyFont="1" applyFill="1" applyBorder="1" applyAlignment="1">
      <alignment horizontal="left" vertical="center" shrinkToFit="1"/>
    </xf>
    <xf numFmtId="0" fontId="0" fillId="0" borderId="2" xfId="0" applyBorder="1">
      <alignment vertical="center"/>
    </xf>
    <xf numFmtId="0" fontId="9" fillId="0" borderId="0" xfId="0" applyFont="1" applyAlignment="1">
      <alignment horizontal="center" vertical="center"/>
    </xf>
    <xf numFmtId="0" fontId="8" fillId="0" borderId="0" xfId="0" applyFont="1" applyBorder="1" applyAlignment="1">
      <alignment horizontal="center" vertical="center" wrapText="1" shrinkToFit="1"/>
    </xf>
    <xf numFmtId="0" fontId="0" fillId="0" borderId="2" xfId="0" applyFill="1" applyBorder="1">
      <alignment vertical="center"/>
    </xf>
    <xf numFmtId="0" fontId="37" fillId="0" borderId="3" xfId="89" applyBorder="1" applyAlignment="1" applyProtection="1">
      <alignment horizontal="center" vertical="center" wrapText="1"/>
    </xf>
    <xf numFmtId="0" fontId="37" fillId="0" borderId="5" xfId="89" applyBorder="1" applyAlignment="1" applyProtection="1">
      <alignment horizontal="center" vertical="center" wrapText="1"/>
    </xf>
    <xf numFmtId="0" fontId="37" fillId="0" borderId="2" xfId="89" applyBorder="1" applyAlignment="1" applyProtection="1">
      <alignment horizontal="center" vertical="center"/>
    </xf>
    <xf numFmtId="0" fontId="0" fillId="0" borderId="2" xfId="0" applyFill="1" applyBorder="1" applyAlignment="1">
      <alignment horizontal="center" vertical="center"/>
    </xf>
    <xf numFmtId="0" fontId="43" fillId="0" borderId="3" xfId="0" applyFont="1" applyFill="1" applyBorder="1" applyAlignment="1">
      <alignment horizontal="center" vertical="center" shrinkToFit="1"/>
    </xf>
    <xf numFmtId="0" fontId="0" fillId="0" borderId="0" xfId="0" applyBorder="1" applyAlignment="1">
      <alignment horizontal="center" vertical="center"/>
    </xf>
    <xf numFmtId="0" fontId="37" fillId="0" borderId="3" xfId="89" applyBorder="1" applyAlignment="1" applyProtection="1">
      <alignment horizontal="center" vertical="center" wrapText="1"/>
    </xf>
    <xf numFmtId="0" fontId="37" fillId="0" borderId="5" xfId="89" applyBorder="1" applyAlignment="1" applyProtection="1">
      <alignment horizontal="center" vertical="center" wrapText="1"/>
    </xf>
    <xf numFmtId="0" fontId="0" fillId="0" borderId="2" xfId="0" applyFill="1" applyBorder="1" applyAlignment="1">
      <alignment horizontal="center" vertical="center"/>
    </xf>
    <xf numFmtId="0" fontId="0" fillId="0" borderId="0" xfId="0" applyFont="1" applyFill="1" applyBorder="1">
      <alignment vertical="center"/>
    </xf>
    <xf numFmtId="0" fontId="47" fillId="0" borderId="2" xfId="0" applyFont="1" applyFill="1" applyBorder="1" applyAlignment="1">
      <alignment horizontal="center" vertical="center" shrinkToFit="1"/>
    </xf>
    <xf numFmtId="0" fontId="48" fillId="0" borderId="2" xfId="0" applyFont="1" applyFill="1" applyBorder="1" applyAlignment="1">
      <alignment horizontal="center" vertical="center"/>
    </xf>
    <xf numFmtId="0" fontId="43" fillId="0" borderId="2" xfId="0" applyFont="1" applyFill="1" applyBorder="1" applyAlignment="1">
      <alignment horizontal="center" vertical="center"/>
    </xf>
    <xf numFmtId="0" fontId="46" fillId="0" borderId="2" xfId="0" applyFont="1" applyFill="1" applyBorder="1" applyAlignment="1">
      <alignment horizontal="left" vertical="top" shrinkToFit="1"/>
    </xf>
    <xf numFmtId="0" fontId="46" fillId="0" borderId="2" xfId="0" applyFont="1" applyBorder="1" applyAlignment="1">
      <alignment vertical="center" textRotation="90" wrapText="1"/>
    </xf>
    <xf numFmtId="0" fontId="46" fillId="0" borderId="0" xfId="0" applyFont="1">
      <alignment vertical="center"/>
    </xf>
    <xf numFmtId="0" fontId="46" fillId="0" borderId="3" xfId="0" applyFont="1" applyFill="1" applyBorder="1" applyAlignment="1">
      <alignment horizontal="center" vertical="center" wrapText="1"/>
    </xf>
    <xf numFmtId="0" fontId="47" fillId="0" borderId="3" xfId="0" applyFont="1" applyFill="1" applyBorder="1" applyAlignment="1">
      <alignment horizontal="center" vertical="center" shrinkToFit="1"/>
    </xf>
    <xf numFmtId="49" fontId="46" fillId="0" borderId="27" xfId="0" applyNumberFormat="1" applyFont="1" applyFill="1" applyBorder="1" applyAlignment="1">
      <alignment horizontal="left" vertical="center"/>
    </xf>
    <xf numFmtId="49" fontId="46" fillId="0" borderId="51" xfId="0" applyNumberFormat="1" applyFont="1" applyFill="1" applyBorder="1" applyAlignment="1">
      <alignment horizontal="left" vertical="center"/>
    </xf>
    <xf numFmtId="49" fontId="46" fillId="0" borderId="12" xfId="0" applyNumberFormat="1" applyFont="1" applyFill="1" applyBorder="1" applyAlignment="1">
      <alignment horizontal="left" vertical="center"/>
    </xf>
    <xf numFmtId="0" fontId="48" fillId="0" borderId="3" xfId="0" applyFont="1" applyFill="1" applyBorder="1" applyAlignment="1">
      <alignment horizontal="center" vertical="center"/>
    </xf>
    <xf numFmtId="0" fontId="43" fillId="0" borderId="3" xfId="0" applyFont="1" applyFill="1" applyBorder="1" applyAlignment="1">
      <alignment horizontal="center" vertical="center"/>
    </xf>
    <xf numFmtId="0" fontId="46" fillId="0" borderId="3" xfId="0" applyFont="1" applyFill="1" applyBorder="1" applyAlignment="1">
      <alignment horizontal="left" vertical="center" shrinkToFit="1"/>
    </xf>
    <xf numFmtId="0" fontId="46" fillId="0" borderId="4" xfId="0" applyFont="1" applyFill="1" applyBorder="1" applyAlignment="1">
      <alignment horizontal="center" vertical="center" wrapText="1"/>
    </xf>
    <xf numFmtId="0" fontId="50" fillId="0" borderId="4" xfId="0" applyFont="1" applyFill="1" applyBorder="1" applyAlignment="1">
      <alignment horizontal="center" vertical="center" shrinkToFit="1"/>
    </xf>
    <xf numFmtId="49" fontId="46" fillId="0" borderId="28" xfId="0" applyNumberFormat="1" applyFont="1" applyFill="1" applyBorder="1" applyAlignment="1">
      <alignment horizontal="left" vertical="center"/>
    </xf>
    <xf numFmtId="49" fontId="46" fillId="0" borderId="52" xfId="0" applyNumberFormat="1" applyFont="1" applyFill="1" applyBorder="1" applyAlignment="1">
      <alignment horizontal="left" vertical="center"/>
    </xf>
    <xf numFmtId="49" fontId="46" fillId="0" borderId="10" xfId="0" applyNumberFormat="1" applyFont="1" applyFill="1" applyBorder="1" applyAlignment="1">
      <alignment horizontal="left" vertical="center"/>
    </xf>
    <xf numFmtId="0" fontId="48" fillId="0" borderId="4" xfId="0" applyFont="1" applyFill="1" applyBorder="1" applyAlignment="1">
      <alignment horizontal="center" vertical="center"/>
    </xf>
    <xf numFmtId="0" fontId="43" fillId="0" borderId="4" xfId="0" applyFont="1" applyFill="1" applyBorder="1" applyAlignment="1">
      <alignment horizontal="center" vertical="center"/>
    </xf>
    <xf numFmtId="0" fontId="46" fillId="0" borderId="4" xfId="0" applyFont="1" applyFill="1" applyBorder="1" applyAlignment="1">
      <alignment horizontal="left" vertical="center" shrinkToFit="1"/>
    </xf>
    <xf numFmtId="0" fontId="46" fillId="0" borderId="4" xfId="0" applyFont="1" applyBorder="1" applyAlignment="1">
      <alignment horizontal="left" vertical="center"/>
    </xf>
    <xf numFmtId="0" fontId="46" fillId="0" borderId="5" xfId="0" applyFont="1" applyFill="1" applyBorder="1" applyAlignment="1">
      <alignment horizontal="center" vertical="center" wrapText="1"/>
    </xf>
    <xf numFmtId="0" fontId="50" fillId="0" borderId="5" xfId="0" applyFont="1" applyFill="1" applyBorder="1" applyAlignment="1">
      <alignment horizontal="center" vertical="center" shrinkToFit="1"/>
    </xf>
    <xf numFmtId="49" fontId="46" fillId="0" borderId="31" xfId="0" applyNumberFormat="1" applyFont="1" applyFill="1" applyBorder="1" applyAlignment="1">
      <alignment horizontal="left" vertical="center"/>
    </xf>
    <xf numFmtId="49" fontId="46" fillId="0" borderId="53" xfId="0" applyNumberFormat="1" applyFont="1" applyFill="1" applyBorder="1" applyAlignment="1">
      <alignment horizontal="left" vertical="center"/>
    </xf>
    <xf numFmtId="49" fontId="46" fillId="0" borderId="32" xfId="0" applyNumberFormat="1" applyFont="1" applyFill="1" applyBorder="1" applyAlignment="1">
      <alignment horizontal="left" vertical="center"/>
    </xf>
    <xf numFmtId="0" fontId="46" fillId="0" borderId="5" xfId="0" applyFont="1" applyFill="1" applyBorder="1" applyAlignment="1">
      <alignment horizontal="center" vertical="center"/>
    </xf>
    <xf numFmtId="0" fontId="43" fillId="0" borderId="5" xfId="0" applyFont="1" applyFill="1" applyBorder="1" applyAlignment="1">
      <alignment horizontal="center" vertical="center"/>
    </xf>
    <xf numFmtId="0" fontId="50" fillId="0" borderId="3" xfId="0" applyFont="1" applyFill="1" applyBorder="1" applyAlignment="1">
      <alignment horizontal="center" vertical="center" shrinkToFit="1"/>
    </xf>
    <xf numFmtId="49" fontId="46" fillId="0" borderId="27" xfId="0" applyNumberFormat="1" applyFont="1" applyFill="1" applyBorder="1" applyAlignment="1">
      <alignment horizontal="left" vertical="center" wrapText="1"/>
    </xf>
    <xf numFmtId="49" fontId="46" fillId="0" borderId="51" xfId="0" applyNumberFormat="1" applyFont="1" applyFill="1" applyBorder="1" applyAlignment="1">
      <alignment horizontal="left" vertical="center" wrapText="1"/>
    </xf>
    <xf numFmtId="49" fontId="46" fillId="0" borderId="12" xfId="0" applyNumberFormat="1" applyFont="1" applyFill="1" applyBorder="1" applyAlignment="1">
      <alignment horizontal="left" vertical="center" wrapText="1"/>
    </xf>
    <xf numFmtId="0" fontId="48" fillId="0" borderId="3" xfId="0" applyFont="1" applyFill="1" applyBorder="1" applyAlignment="1">
      <alignment horizontal="center" vertical="center" wrapText="1"/>
    </xf>
    <xf numFmtId="0" fontId="43" fillId="0" borderId="3" xfId="0" applyFont="1" applyFill="1" applyBorder="1" applyAlignment="1">
      <alignment horizontal="center" vertical="center" wrapText="1"/>
    </xf>
    <xf numFmtId="0" fontId="50" fillId="0" borderId="4" xfId="0" applyFont="1" applyFill="1" applyBorder="1" applyAlignment="1">
      <alignment horizontal="center" vertical="center" wrapText="1" shrinkToFit="1"/>
    </xf>
    <xf numFmtId="49" fontId="46" fillId="0" borderId="28" xfId="0" applyNumberFormat="1" applyFont="1" applyFill="1" applyBorder="1" applyAlignment="1">
      <alignment horizontal="left" vertical="center" wrapText="1"/>
    </xf>
    <xf numFmtId="49" fontId="46" fillId="0" borderId="52" xfId="0" applyNumberFormat="1" applyFont="1" applyFill="1" applyBorder="1" applyAlignment="1">
      <alignment horizontal="left" vertical="center" wrapText="1"/>
    </xf>
    <xf numFmtId="49" fontId="46" fillId="0" borderId="10" xfId="0" applyNumberFormat="1" applyFont="1" applyFill="1" applyBorder="1" applyAlignment="1">
      <alignment horizontal="left" vertical="center" wrapText="1"/>
    </xf>
    <xf numFmtId="0" fontId="48" fillId="0" borderId="4" xfId="0" applyFont="1" applyFill="1" applyBorder="1" applyAlignment="1">
      <alignment horizontal="center" vertical="center" wrapText="1"/>
    </xf>
    <xf numFmtId="0" fontId="43" fillId="0" borderId="4" xfId="0" applyFont="1" applyFill="1" applyBorder="1" applyAlignment="1">
      <alignment horizontal="center" vertical="center" wrapText="1"/>
    </xf>
    <xf numFmtId="0" fontId="50" fillId="0" borderId="5" xfId="0" applyFont="1" applyFill="1" applyBorder="1" applyAlignment="1">
      <alignment horizontal="center" vertical="center" wrapText="1" shrinkToFit="1"/>
    </xf>
    <xf numFmtId="49" fontId="46" fillId="0" borderId="31" xfId="0" applyNumberFormat="1" applyFont="1" applyFill="1" applyBorder="1" applyAlignment="1">
      <alignment horizontal="left" vertical="center" wrapText="1"/>
    </xf>
    <xf numFmtId="49" fontId="46" fillId="0" borderId="53" xfId="0" applyNumberFormat="1" applyFont="1" applyFill="1" applyBorder="1" applyAlignment="1">
      <alignment horizontal="left" vertical="center" wrapText="1"/>
    </xf>
    <xf numFmtId="49" fontId="46" fillId="0" borderId="32" xfId="0" applyNumberFormat="1" applyFont="1" applyFill="1" applyBorder="1" applyAlignment="1">
      <alignment horizontal="left" vertical="center" wrapText="1"/>
    </xf>
    <xf numFmtId="0" fontId="48" fillId="0" borderId="5" xfId="0" applyFont="1" applyFill="1" applyBorder="1" applyAlignment="1">
      <alignment horizontal="center" vertical="center" wrapText="1"/>
    </xf>
    <xf numFmtId="0" fontId="43" fillId="0" borderId="5" xfId="0" applyFont="1" applyFill="1" applyBorder="1" applyAlignment="1">
      <alignment horizontal="center" vertical="center" wrapText="1"/>
    </xf>
    <xf numFmtId="0" fontId="46" fillId="0" borderId="5" xfId="0" applyFont="1" applyBorder="1" applyAlignment="1">
      <alignment vertical="center" textRotation="90" wrapText="1"/>
    </xf>
    <xf numFmtId="0" fontId="50" fillId="0" borderId="3" xfId="0" applyFont="1" applyFill="1" applyBorder="1" applyAlignment="1">
      <alignment horizontal="center" vertical="center" wrapText="1" shrinkToFit="1"/>
    </xf>
    <xf numFmtId="0" fontId="46" fillId="0" borderId="0" xfId="0" applyFont="1" applyAlignment="1">
      <alignment vertical="center"/>
    </xf>
    <xf numFmtId="0" fontId="46" fillId="0" borderId="8" xfId="0" applyFont="1" applyFill="1" applyBorder="1" applyAlignment="1">
      <alignment horizontal="center" vertical="center" wrapText="1"/>
    </xf>
    <xf numFmtId="0" fontId="43" fillId="0" borderId="17" xfId="0" applyFont="1" applyFill="1" applyBorder="1" applyAlignment="1">
      <alignment horizontal="center" vertical="center"/>
    </xf>
    <xf numFmtId="0" fontId="46" fillId="0" borderId="8" xfId="0" applyFont="1" applyBorder="1" applyAlignment="1">
      <alignment vertical="center" wrapText="1"/>
    </xf>
    <xf numFmtId="0" fontId="43" fillId="0" borderId="16" xfId="0" applyFont="1" applyFill="1" applyBorder="1" applyAlignment="1">
      <alignment horizontal="center" vertical="center"/>
    </xf>
    <xf numFmtId="0" fontId="47" fillId="0" borderId="5" xfId="0" applyFont="1" applyFill="1" applyBorder="1" applyAlignment="1">
      <alignment horizontal="center" vertical="center" shrinkToFit="1"/>
    </xf>
    <xf numFmtId="0" fontId="48" fillId="0" borderId="5" xfId="0" applyFont="1" applyFill="1" applyBorder="1" applyAlignment="1">
      <alignment horizontal="center" vertical="center"/>
    </xf>
    <xf numFmtId="0" fontId="43" fillId="0" borderId="18" xfId="0" applyFont="1" applyFill="1" applyBorder="1" applyAlignment="1">
      <alignment horizontal="center" vertical="center"/>
    </xf>
    <xf numFmtId="0" fontId="46" fillId="0" borderId="5" xfId="0" applyFont="1" applyFill="1" applyBorder="1" applyAlignment="1">
      <alignment horizontal="left" vertical="center" shrinkToFit="1"/>
    </xf>
    <xf numFmtId="0" fontId="46" fillId="0" borderId="3" xfId="0" applyFont="1" applyBorder="1" applyAlignment="1">
      <alignment vertical="center" textRotation="90" wrapText="1"/>
    </xf>
    <xf numFmtId="0" fontId="47" fillId="0" borderId="4" xfId="0" applyFont="1" applyFill="1" applyBorder="1" applyAlignment="1">
      <alignment horizontal="center" vertical="center" shrinkToFit="1"/>
    </xf>
    <xf numFmtId="0" fontId="46" fillId="0" borderId="4" xfId="0" applyFont="1" applyBorder="1" applyAlignment="1">
      <alignment vertical="center" textRotation="90" wrapText="1"/>
    </xf>
    <xf numFmtId="0" fontId="46" fillId="0" borderId="23" xfId="0" applyFont="1" applyBorder="1" applyAlignment="1">
      <alignment horizontal="center" vertical="center"/>
    </xf>
    <xf numFmtId="49" fontId="46" fillId="0" borderId="28" xfId="0" applyNumberFormat="1" applyFont="1" applyFill="1" applyBorder="1" applyAlignment="1">
      <alignment horizontal="left" vertical="center" shrinkToFit="1"/>
    </xf>
    <xf numFmtId="49" fontId="46" fillId="0" borderId="52" xfId="0" applyNumberFormat="1" applyFont="1" applyFill="1" applyBorder="1" applyAlignment="1">
      <alignment horizontal="left" vertical="center" shrinkToFit="1"/>
    </xf>
    <xf numFmtId="49" fontId="46" fillId="0" borderId="10" xfId="0" applyNumberFormat="1" applyFont="1" applyFill="1" applyBorder="1" applyAlignment="1">
      <alignment horizontal="left" vertical="center" shrinkToFit="1"/>
    </xf>
    <xf numFmtId="0" fontId="46" fillId="0" borderId="4" xfId="0" applyFont="1" applyFill="1" applyBorder="1" applyAlignment="1">
      <alignment vertical="center" shrinkToFit="1"/>
    </xf>
    <xf numFmtId="0" fontId="43" fillId="0" borderId="2" xfId="0" applyFont="1" applyFill="1" applyBorder="1" applyAlignment="1">
      <alignment horizontal="center" vertical="center" shrinkToFit="1"/>
    </xf>
    <xf numFmtId="0" fontId="46" fillId="0" borderId="2" xfId="0" applyFont="1" applyBorder="1" applyAlignment="1">
      <alignment vertical="center" shrinkToFit="1"/>
    </xf>
    <xf numFmtId="0" fontId="46" fillId="0" borderId="2" xfId="0" applyFont="1" applyBorder="1" applyAlignment="1">
      <alignment vertical="center" wrapText="1"/>
    </xf>
    <xf numFmtId="0" fontId="46" fillId="0" borderId="3" xfId="0" applyFont="1" applyBorder="1">
      <alignment vertical="center"/>
    </xf>
    <xf numFmtId="0" fontId="46" fillId="0" borderId="3" xfId="0" applyFont="1" applyFill="1" applyBorder="1" applyAlignment="1">
      <alignment horizontal="center" vertical="center"/>
    </xf>
    <xf numFmtId="0" fontId="46" fillId="0" borderId="3" xfId="0" applyFont="1" applyBorder="1" applyAlignment="1">
      <alignment vertical="center" shrinkToFit="1"/>
    </xf>
    <xf numFmtId="0" fontId="46" fillId="0" borderId="4" xfId="0" applyFont="1" applyBorder="1">
      <alignment vertical="center"/>
    </xf>
    <xf numFmtId="0" fontId="46" fillId="0" borderId="4" xfId="0" applyFont="1" applyBorder="1" applyAlignment="1">
      <alignment vertical="center" shrinkToFit="1"/>
    </xf>
    <xf numFmtId="0" fontId="46" fillId="0" borderId="5" xfId="0" applyFont="1" applyBorder="1">
      <alignment vertical="center"/>
    </xf>
    <xf numFmtId="0" fontId="46" fillId="0" borderId="5" xfId="0" applyFont="1" applyBorder="1" applyAlignment="1">
      <alignment vertical="center" shrinkToFit="1"/>
    </xf>
    <xf numFmtId="49" fontId="7" fillId="0" borderId="0" xfId="0" applyNumberFormat="1" applyFont="1" applyFill="1" applyBorder="1" applyAlignment="1">
      <alignment horizontal="center" vertical="center" shrinkToFit="1"/>
    </xf>
    <xf numFmtId="0" fontId="51" fillId="0" borderId="2" xfId="0" applyFont="1" applyFill="1" applyBorder="1" applyAlignment="1">
      <alignment horizontal="center" vertical="center"/>
    </xf>
    <xf numFmtId="0" fontId="0" fillId="0" borderId="2" xfId="0" applyFont="1" applyFill="1" applyBorder="1">
      <alignment vertical="center"/>
    </xf>
    <xf numFmtId="0" fontId="51" fillId="0" borderId="2" xfId="0" applyFont="1" applyFill="1" applyBorder="1" applyAlignment="1">
      <alignment horizontal="center" vertical="center" wrapText="1"/>
    </xf>
    <xf numFmtId="0" fontId="37" fillId="0" borderId="2" xfId="89" applyFill="1" applyBorder="1" applyAlignment="1" applyProtection="1">
      <alignment vertical="center"/>
    </xf>
    <xf numFmtId="0" fontId="0" fillId="0" borderId="0" xfId="0" applyFont="1" applyAlignment="1">
      <alignment horizontal="center" vertical="center"/>
    </xf>
    <xf numFmtId="0" fontId="0" fillId="0" borderId="0" xfId="0" applyFont="1" applyFill="1" applyBorder="1" applyAlignment="1">
      <alignment horizontal="center" vertical="center"/>
    </xf>
    <xf numFmtId="0" fontId="46" fillId="0" borderId="27" xfId="0" applyNumberFormat="1" applyFont="1" applyFill="1" applyBorder="1" applyAlignment="1">
      <alignment horizontal="left" vertical="center"/>
    </xf>
    <xf numFmtId="0" fontId="46" fillId="0" borderId="51" xfId="0" applyNumberFormat="1" applyFont="1" applyFill="1" applyBorder="1" applyAlignment="1">
      <alignment horizontal="left" vertical="center"/>
    </xf>
    <xf numFmtId="0" fontId="48" fillId="0" borderId="8" xfId="0" applyFont="1" applyFill="1" applyBorder="1" applyAlignment="1">
      <alignment horizontal="center" vertical="center"/>
    </xf>
    <xf numFmtId="0" fontId="43" fillId="0" borderId="8" xfId="0" applyFont="1" applyFill="1" applyBorder="1" applyAlignment="1">
      <alignment horizontal="center" vertical="center"/>
    </xf>
    <xf numFmtId="0" fontId="46" fillId="0" borderId="31" xfId="0" applyNumberFormat="1" applyFont="1" applyFill="1" applyBorder="1" applyAlignment="1">
      <alignment horizontal="left" vertical="center"/>
    </xf>
    <xf numFmtId="0" fontId="46" fillId="0" borderId="53" xfId="0" applyNumberFormat="1" applyFont="1" applyFill="1" applyBorder="1" applyAlignment="1">
      <alignment horizontal="left" vertical="center"/>
    </xf>
    <xf numFmtId="0" fontId="50" fillId="0" borderId="5" xfId="0" applyFont="1" applyFill="1" applyBorder="1" applyAlignment="1">
      <alignment horizontal="left" vertical="top" shrinkToFit="1"/>
    </xf>
    <xf numFmtId="0" fontId="46" fillId="0" borderId="3" xfId="0" applyFont="1" applyFill="1" applyBorder="1" applyAlignment="1">
      <alignment horizontal="left" vertical="top" shrinkToFit="1"/>
    </xf>
    <xf numFmtId="0" fontId="46" fillId="0" borderId="5" xfId="0" applyFont="1" applyFill="1" applyBorder="1" applyAlignment="1">
      <alignment horizontal="left" vertical="top" shrinkToFit="1"/>
    </xf>
    <xf numFmtId="0" fontId="46" fillId="0" borderId="28" xfId="0" applyNumberFormat="1" applyFont="1" applyFill="1" applyBorder="1" applyAlignment="1">
      <alignment horizontal="left" vertical="center"/>
    </xf>
    <xf numFmtId="0" fontId="46" fillId="0" borderId="52" xfId="0" applyNumberFormat="1" applyFont="1" applyFill="1" applyBorder="1" applyAlignment="1">
      <alignment horizontal="left" vertical="center"/>
    </xf>
    <xf numFmtId="0" fontId="46" fillId="0" borderId="4" xfId="0" applyFont="1" applyFill="1" applyBorder="1" applyAlignment="1">
      <alignment horizontal="left" vertical="top" shrinkToFit="1"/>
    </xf>
    <xf numFmtId="0" fontId="46" fillId="0" borderId="4" xfId="0" applyFont="1" applyFill="1" applyBorder="1" applyAlignment="1">
      <alignment vertical="top" shrinkToFit="1"/>
    </xf>
    <xf numFmtId="0" fontId="46" fillId="0" borderId="6" xfId="0" applyFont="1" applyFill="1" applyBorder="1" applyAlignment="1">
      <alignment horizontal="center" vertical="center" wrapText="1"/>
    </xf>
    <xf numFmtId="0" fontId="50" fillId="0" borderId="6" xfId="0" applyFont="1" applyFill="1" applyBorder="1" applyAlignment="1">
      <alignment horizontal="center" vertical="center" shrinkToFit="1"/>
    </xf>
    <xf numFmtId="0" fontId="47" fillId="0" borderId="6" xfId="0" applyFont="1" applyFill="1" applyBorder="1" applyAlignment="1">
      <alignment horizontal="center" vertical="center" shrinkToFit="1"/>
    </xf>
    <xf numFmtId="0" fontId="48" fillId="0" borderId="6" xfId="0" applyFont="1" applyFill="1" applyBorder="1" applyAlignment="1">
      <alignment horizontal="center" vertical="center"/>
    </xf>
    <xf numFmtId="0" fontId="43" fillId="0" borderId="33" xfId="0" applyFont="1" applyFill="1" applyBorder="1" applyAlignment="1">
      <alignment horizontal="center" vertical="center"/>
    </xf>
    <xf numFmtId="0" fontId="43" fillId="0" borderId="6" xfId="0" applyFont="1" applyFill="1" applyBorder="1" applyAlignment="1">
      <alignment horizontal="center" vertical="center"/>
    </xf>
    <xf numFmtId="0" fontId="46" fillId="0" borderId="6" xfId="0" applyFont="1" applyFill="1" applyBorder="1" applyAlignment="1">
      <alignment horizontal="left" vertical="top" shrinkToFit="1"/>
    </xf>
    <xf numFmtId="0" fontId="46" fillId="0" borderId="8" xfId="0" applyFont="1" applyFill="1" applyBorder="1" applyAlignment="1">
      <alignment vertical="top" shrinkToFit="1"/>
    </xf>
    <xf numFmtId="0" fontId="46" fillId="0" borderId="7" xfId="0" applyFont="1" applyFill="1" applyBorder="1" applyAlignment="1">
      <alignment horizontal="center" vertical="center" wrapText="1"/>
    </xf>
    <xf numFmtId="0" fontId="43" fillId="0" borderId="9" xfId="0" applyFont="1" applyFill="1" applyBorder="1" applyAlignment="1">
      <alignment horizontal="center" vertical="center" shrinkToFit="1"/>
    </xf>
    <xf numFmtId="0" fontId="46" fillId="0" borderId="9" xfId="0" applyFont="1" applyBorder="1">
      <alignment vertical="center"/>
    </xf>
    <xf numFmtId="0" fontId="46" fillId="0" borderId="9" xfId="0" applyFont="1" applyBorder="1" applyAlignment="1">
      <alignment vertical="center" shrinkToFit="1"/>
    </xf>
    <xf numFmtId="0" fontId="46" fillId="0" borderId="9" xfId="0" applyFont="1" applyBorder="1" applyAlignment="1">
      <alignment vertical="center" textRotation="90" wrapText="1"/>
    </xf>
    <xf numFmtId="0" fontId="46" fillId="0" borderId="16" xfId="0" applyFont="1" applyBorder="1">
      <alignment vertical="center"/>
    </xf>
    <xf numFmtId="0" fontId="46" fillId="0" borderId="18" xfId="0" applyFont="1" applyBorder="1">
      <alignment vertical="center"/>
    </xf>
    <xf numFmtId="0" fontId="50" fillId="0" borderId="3" xfId="0" applyFont="1" applyFill="1" applyBorder="1" applyAlignment="1">
      <alignment horizontal="center" vertical="center" wrapText="1"/>
    </xf>
    <xf numFmtId="0" fontId="48" fillId="0" borderId="8" xfId="0" applyFont="1" applyFill="1" applyBorder="1" applyAlignment="1">
      <alignment horizontal="center" vertical="center" wrapText="1"/>
    </xf>
    <xf numFmtId="0" fontId="43" fillId="0" borderId="8" xfId="0" applyFont="1" applyFill="1" applyBorder="1" applyAlignment="1">
      <alignment horizontal="center" vertical="center" wrapText="1"/>
    </xf>
    <xf numFmtId="0" fontId="43" fillId="0" borderId="36" xfId="0" applyFont="1" applyFill="1" applyBorder="1" applyAlignment="1">
      <alignment horizontal="center" vertical="center"/>
    </xf>
    <xf numFmtId="0" fontId="43" fillId="0" borderId="7" xfId="0" applyFont="1" applyFill="1" applyBorder="1" applyAlignment="1">
      <alignment horizontal="center" vertical="center" shrinkToFit="1"/>
    </xf>
    <xf numFmtId="0" fontId="46" fillId="0" borderId="3" xfId="0" applyFont="1" applyFill="1" applyBorder="1" applyAlignment="1">
      <alignment horizontal="center" vertical="top" shrinkToFit="1"/>
    </xf>
    <xf numFmtId="0" fontId="47" fillId="0" borderId="3" xfId="0" applyFont="1" applyFill="1" applyBorder="1" applyAlignment="1">
      <alignment horizontal="center" vertical="top" wrapText="1" shrinkToFit="1"/>
    </xf>
    <xf numFmtId="0" fontId="46" fillId="0" borderId="4" xfId="0" applyFont="1" applyFill="1" applyBorder="1" applyAlignment="1">
      <alignment horizontal="center" vertical="top" wrapText="1" shrinkToFit="1"/>
    </xf>
    <xf numFmtId="0" fontId="46" fillId="0" borderId="5" xfId="0" applyFont="1" applyFill="1" applyBorder="1" applyAlignment="1">
      <alignment horizontal="center" vertical="top" wrapText="1" shrinkToFit="1"/>
    </xf>
    <xf numFmtId="0" fontId="47" fillId="0" borderId="8" xfId="0" applyFont="1" applyFill="1" applyBorder="1" applyAlignment="1">
      <alignment horizontal="center" vertical="top" wrapText="1" shrinkToFit="1"/>
    </xf>
    <xf numFmtId="0" fontId="46" fillId="0" borderId="8" xfId="0" applyFont="1" applyFill="1" applyBorder="1" applyAlignment="1">
      <alignment horizontal="center" vertical="top" shrinkToFit="1"/>
    </xf>
    <xf numFmtId="0" fontId="46" fillId="0" borderId="5" xfId="0" applyFont="1" applyFill="1" applyBorder="1" applyAlignment="1">
      <alignment horizontal="center" vertical="top" shrinkToFit="1"/>
    </xf>
    <xf numFmtId="0" fontId="46" fillId="0" borderId="4" xfId="0" applyFont="1" applyFill="1" applyBorder="1" applyAlignment="1">
      <alignment horizontal="center" vertical="top" shrinkToFit="1"/>
    </xf>
    <xf numFmtId="0" fontId="46" fillId="0" borderId="6" xfId="0" applyFont="1" applyFill="1" applyBorder="1" applyAlignment="1">
      <alignment horizontal="center" vertical="top" shrinkToFit="1"/>
    </xf>
    <xf numFmtId="0" fontId="46" fillId="0" borderId="3" xfId="0" applyFont="1" applyBorder="1" applyAlignment="1">
      <alignment horizontal="center" vertical="center"/>
    </xf>
    <xf numFmtId="0" fontId="46" fillId="0" borderId="3" xfId="0" applyFont="1" applyBorder="1" applyAlignment="1">
      <alignment horizontal="center" vertical="center" shrinkToFit="1"/>
    </xf>
    <xf numFmtId="0" fontId="46" fillId="0" borderId="7" xfId="0" applyFont="1" applyBorder="1" applyAlignment="1">
      <alignment horizontal="center" vertical="center"/>
    </xf>
    <xf numFmtId="0" fontId="46" fillId="0" borderId="7" xfId="0" applyFont="1" applyBorder="1" applyAlignment="1">
      <alignment horizontal="center" vertical="center" shrinkToFit="1"/>
    </xf>
    <xf numFmtId="49" fontId="51" fillId="0" borderId="2" xfId="0" applyNumberFormat="1" applyFont="1" applyFill="1" applyBorder="1" applyAlignment="1">
      <alignment horizontal="center" vertical="center"/>
    </xf>
    <xf numFmtId="49" fontId="51" fillId="0" borderId="2" xfId="0" applyNumberFormat="1" applyFont="1" applyFill="1" applyBorder="1" applyAlignment="1">
      <alignment horizontal="center" vertical="center" wrapText="1"/>
    </xf>
    <xf numFmtId="0" fontId="37" fillId="0" borderId="4" xfId="89" applyBorder="1" applyAlignment="1" applyProtection="1">
      <alignment horizontal="center" vertical="center" wrapText="1"/>
    </xf>
    <xf numFmtId="0" fontId="47" fillId="0" borderId="2" xfId="0" applyFont="1" applyBorder="1">
      <alignment vertical="center"/>
    </xf>
    <xf numFmtId="0" fontId="47" fillId="0" borderId="19" xfId="0" applyFont="1" applyBorder="1">
      <alignment vertical="center"/>
    </xf>
    <xf numFmtId="0" fontId="49" fillId="0" borderId="0" xfId="89" applyFont="1" applyAlignment="1" applyProtection="1">
      <alignment vertical="center"/>
    </xf>
    <xf numFmtId="0" fontId="47" fillId="0" borderId="0" xfId="0" applyFont="1">
      <alignment vertical="center"/>
    </xf>
    <xf numFmtId="0" fontId="37" fillId="0" borderId="4" xfId="89" applyBorder="1" applyAlignment="1" applyProtection="1">
      <alignment horizontal="center" vertical="center"/>
    </xf>
    <xf numFmtId="0" fontId="37" fillId="0" borderId="5" xfId="89" applyBorder="1" applyAlignment="1" applyProtection="1">
      <alignment horizontal="center" vertical="center"/>
    </xf>
    <xf numFmtId="0" fontId="37" fillId="0" borderId="3" xfId="89" applyBorder="1" applyAlignment="1" applyProtection="1">
      <alignment horizontal="center" vertical="center"/>
    </xf>
    <xf numFmtId="0" fontId="37" fillId="0" borderId="5" xfId="89" applyBorder="1" applyAlignment="1" applyProtection="1">
      <alignment horizontal="center"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46" fillId="0" borderId="9" xfId="0" applyFont="1" applyFill="1" applyBorder="1" applyAlignment="1">
      <alignment horizontal="center" vertical="center"/>
    </xf>
    <xf numFmtId="0" fontId="47" fillId="0" borderId="3" xfId="0" applyNumberFormat="1" applyFont="1" applyFill="1" applyBorder="1" applyAlignment="1">
      <alignment horizontal="center" vertical="center" shrinkToFit="1"/>
    </xf>
    <xf numFmtId="0" fontId="47" fillId="0" borderId="27" xfId="0" applyNumberFormat="1" applyFont="1" applyFill="1" applyBorder="1" applyAlignment="1">
      <alignment horizontal="left" vertical="center" shrinkToFit="1"/>
    </xf>
    <xf numFmtId="0" fontId="47" fillId="0" borderId="3" xfId="0" applyNumberFormat="1" applyFont="1" applyBorder="1" applyAlignment="1">
      <alignment horizontal="center" vertical="center" shrinkToFit="1"/>
    </xf>
    <xf numFmtId="0" fontId="50" fillId="0" borderId="3" xfId="0" applyFont="1" applyFill="1" applyBorder="1" applyAlignment="1">
      <alignment horizontal="center" vertical="center"/>
    </xf>
    <xf numFmtId="0" fontId="47" fillId="0" borderId="4" xfId="0" applyNumberFormat="1" applyFont="1" applyFill="1" applyBorder="1" applyAlignment="1">
      <alignment horizontal="center" vertical="center" shrinkToFit="1"/>
    </xf>
    <xf numFmtId="0" fontId="47" fillId="0" borderId="28" xfId="0" applyNumberFormat="1" applyFont="1" applyFill="1" applyBorder="1" applyAlignment="1">
      <alignment horizontal="left" vertical="center" shrinkToFit="1"/>
    </xf>
    <xf numFmtId="0" fontId="47" fillId="0" borderId="5" xfId="0" applyNumberFormat="1" applyFont="1" applyFill="1" applyBorder="1" applyAlignment="1">
      <alignment horizontal="center" vertical="center" shrinkToFit="1"/>
    </xf>
    <xf numFmtId="0" fontId="47" fillId="0" borderId="31" xfId="0" applyNumberFormat="1" applyFont="1" applyFill="1" applyBorder="1" applyAlignment="1">
      <alignment horizontal="left" vertical="center" shrinkToFit="1"/>
    </xf>
    <xf numFmtId="0" fontId="47" fillId="0" borderId="5" xfId="0" applyNumberFormat="1" applyFont="1" applyBorder="1" applyAlignment="1">
      <alignment horizontal="center" vertical="center" shrinkToFit="1"/>
    </xf>
    <xf numFmtId="0" fontId="50" fillId="0" borderId="5" xfId="0" applyNumberFormat="1" applyFont="1" applyBorder="1" applyAlignment="1">
      <alignment vertical="center" shrinkToFit="1"/>
    </xf>
    <xf numFmtId="0" fontId="47" fillId="0" borderId="9" xfId="0" applyNumberFormat="1" applyFont="1" applyFill="1" applyBorder="1" applyAlignment="1">
      <alignment horizontal="center" vertical="center" shrinkToFit="1"/>
    </xf>
    <xf numFmtId="0" fontId="47" fillId="0" borderId="1" xfId="0" applyNumberFormat="1" applyFont="1" applyFill="1" applyBorder="1" applyAlignment="1">
      <alignment horizontal="left" vertical="center" shrinkToFit="1"/>
    </xf>
    <xf numFmtId="0" fontId="47" fillId="0" borderId="9" xfId="0" applyNumberFormat="1" applyFont="1" applyBorder="1" applyAlignment="1">
      <alignment horizontal="center" vertical="center" shrinkToFit="1"/>
    </xf>
    <xf numFmtId="0" fontId="50" fillId="0" borderId="9" xfId="0" applyNumberFormat="1" applyFont="1" applyBorder="1" applyAlignment="1">
      <alignment vertical="center" shrinkToFit="1"/>
    </xf>
    <xf numFmtId="0" fontId="47" fillId="0" borderId="3" xfId="0" applyNumberFormat="1" applyFont="1" applyFill="1" applyBorder="1" applyAlignment="1">
      <alignment horizontal="left" vertical="center" shrinkToFit="1"/>
    </xf>
    <xf numFmtId="0" fontId="50" fillId="0" borderId="3" xfId="0" applyNumberFormat="1" applyFont="1" applyBorder="1" applyAlignment="1">
      <alignment vertical="center" shrinkToFit="1"/>
    </xf>
    <xf numFmtId="0" fontId="47" fillId="0" borderId="5" xfId="0" applyNumberFormat="1" applyFont="1" applyFill="1" applyBorder="1" applyAlignment="1">
      <alignment horizontal="left" vertical="center" shrinkToFit="1"/>
    </xf>
    <xf numFmtId="0" fontId="47" fillId="0" borderId="3" xfId="0" applyFont="1" applyBorder="1">
      <alignment vertical="center"/>
    </xf>
    <xf numFmtId="0" fontId="47" fillId="0" borderId="17" xfId="0" applyNumberFormat="1" applyFont="1" applyFill="1" applyBorder="1" applyAlignment="1">
      <alignment horizontal="center" vertical="center" shrinkToFit="1"/>
    </xf>
    <xf numFmtId="0" fontId="47" fillId="0" borderId="3" xfId="0" applyNumberFormat="1" applyFont="1" applyFill="1" applyBorder="1" applyAlignment="1">
      <alignment horizontal="left" vertical="top" shrinkToFit="1"/>
    </xf>
    <xf numFmtId="0" fontId="47" fillId="0" borderId="4" xfId="0" applyFont="1" applyBorder="1">
      <alignment vertical="center"/>
    </xf>
    <xf numFmtId="0" fontId="47" fillId="0" borderId="16" xfId="0" applyFont="1" applyBorder="1">
      <alignment vertical="center"/>
    </xf>
    <xf numFmtId="0" fontId="47" fillId="0" borderId="4" xfId="0" applyFont="1" applyBorder="1" applyAlignment="1">
      <alignment vertical="center" shrinkToFit="1"/>
    </xf>
    <xf numFmtId="187" fontId="47" fillId="0" borderId="16" xfId="0" applyNumberFormat="1" applyFont="1" applyBorder="1">
      <alignment vertical="center"/>
    </xf>
    <xf numFmtId="0" fontId="47" fillId="0" borderId="6" xfId="0" applyFont="1" applyBorder="1">
      <alignment vertical="center"/>
    </xf>
    <xf numFmtId="0" fontId="47" fillId="0" borderId="3" xfId="0" applyFont="1" applyBorder="1" applyAlignment="1">
      <alignment vertical="center" wrapText="1" shrinkToFit="1"/>
    </xf>
    <xf numFmtId="0" fontId="47" fillId="0" borderId="8" xfId="0" applyFont="1" applyBorder="1">
      <alignment vertical="center"/>
    </xf>
    <xf numFmtId="0" fontId="47" fillId="27" borderId="18" xfId="0" applyFont="1" applyFill="1" applyBorder="1">
      <alignment vertical="center"/>
    </xf>
    <xf numFmtId="0" fontId="47" fillId="27" borderId="5" xfId="0" applyFont="1" applyFill="1" applyBorder="1" applyAlignment="1">
      <alignment horizontal="center" vertical="center" shrinkToFit="1"/>
    </xf>
    <xf numFmtId="0" fontId="47" fillId="0" borderId="0" xfId="0" applyFont="1" applyBorder="1">
      <alignment vertical="center"/>
    </xf>
    <xf numFmtId="0" fontId="47" fillId="0" borderId="0" xfId="0" applyFont="1" applyFill="1" applyBorder="1" applyAlignment="1">
      <alignment horizontal="center" vertical="center" shrinkToFit="1"/>
    </xf>
    <xf numFmtId="0" fontId="47" fillId="0" borderId="0" xfId="0" applyNumberFormat="1" applyFont="1" applyFill="1" applyBorder="1" applyAlignment="1">
      <alignment vertical="center" shrinkToFit="1"/>
    </xf>
    <xf numFmtId="0" fontId="47" fillId="0" borderId="0" xfId="0" applyFont="1" applyBorder="1" applyAlignment="1">
      <alignment vertical="center" shrinkToFit="1"/>
    </xf>
    <xf numFmtId="0" fontId="47" fillId="0" borderId="0" xfId="0" applyFont="1" applyBorder="1" applyAlignment="1">
      <alignment vertical="center" wrapText="1" shrinkToFit="1"/>
    </xf>
    <xf numFmtId="0" fontId="8" fillId="0" borderId="8" xfId="0" applyFont="1" applyBorder="1" applyAlignment="1">
      <alignment vertical="center" shrinkToFit="1"/>
    </xf>
    <xf numFmtId="0" fontId="55" fillId="27" borderId="5" xfId="89" applyFont="1" applyFill="1" applyBorder="1" applyAlignment="1" applyProtection="1">
      <alignment vertical="center" wrapText="1" shrinkToFit="1"/>
    </xf>
    <xf numFmtId="0" fontId="37" fillId="0" borderId="3" xfId="89" applyFill="1" applyBorder="1" applyAlignment="1" applyProtection="1">
      <alignment horizontal="center" vertical="center" shrinkToFit="1"/>
    </xf>
    <xf numFmtId="0" fontId="37" fillId="0" borderId="5" xfId="89" applyFill="1" applyBorder="1" applyAlignment="1" applyProtection="1">
      <alignment horizontal="center" vertical="center" shrinkToFit="1"/>
    </xf>
    <xf numFmtId="0" fontId="55" fillId="0" borderId="0" xfId="89" applyFont="1" applyFill="1" applyBorder="1" applyAlignment="1" applyProtection="1">
      <alignment horizontal="left" vertical="center"/>
    </xf>
    <xf numFmtId="0" fontId="55" fillId="0" borderId="0" xfId="89" applyFont="1" applyAlignment="1" applyProtection="1">
      <alignment vertical="center"/>
    </xf>
    <xf numFmtId="0" fontId="37" fillId="0" borderId="2" xfId="89" applyBorder="1" applyAlignment="1" applyProtection="1">
      <alignment horizontal="center" vertical="center" wrapText="1" shrinkToFit="1"/>
    </xf>
    <xf numFmtId="49" fontId="46" fillId="0" borderId="3" xfId="0" applyNumberFormat="1" applyFont="1" applyFill="1" applyBorder="1" applyAlignment="1">
      <alignment horizontal="center" vertical="center" shrinkToFit="1"/>
    </xf>
    <xf numFmtId="49" fontId="46" fillId="0" borderId="4" xfId="0" applyNumberFormat="1" applyFont="1" applyFill="1" applyBorder="1" applyAlignment="1">
      <alignment horizontal="center" vertical="center" shrinkToFit="1"/>
    </xf>
    <xf numFmtId="0" fontId="0" fillId="0" borderId="3" xfId="0" applyFont="1" applyBorder="1">
      <alignment vertical="center"/>
    </xf>
    <xf numFmtId="0" fontId="0" fillId="0" borderId="4" xfId="0" applyFont="1" applyBorder="1">
      <alignment vertical="center"/>
    </xf>
    <xf numFmtId="0" fontId="55" fillId="0" borderId="4" xfId="89" applyFont="1" applyBorder="1" applyAlignment="1" applyProtection="1">
      <alignment vertical="center"/>
    </xf>
    <xf numFmtId="0" fontId="55" fillId="0" borderId="5" xfId="89" applyFont="1" applyBorder="1" applyAlignment="1" applyProtection="1">
      <alignment vertical="center"/>
    </xf>
    <xf numFmtId="0" fontId="47" fillId="0" borderId="25" xfId="0" applyNumberFormat="1" applyFont="1" applyFill="1" applyBorder="1" applyAlignment="1">
      <alignment vertical="center" wrapText="1" shrinkToFit="1"/>
    </xf>
    <xf numFmtId="0" fontId="47" fillId="0" borderId="26" xfId="0" applyNumberFormat="1" applyFont="1" applyFill="1" applyBorder="1" applyAlignment="1">
      <alignment vertical="center" wrapText="1" shrinkToFit="1"/>
    </xf>
    <xf numFmtId="0" fontId="47" fillId="0" borderId="21" xfId="0" applyNumberFormat="1" applyFont="1" applyFill="1" applyBorder="1" applyAlignment="1">
      <alignment vertical="center" wrapText="1" shrinkToFit="1"/>
    </xf>
    <xf numFmtId="0" fontId="50" fillId="0" borderId="27" xfId="0" applyNumberFormat="1" applyFont="1" applyFill="1" applyBorder="1" applyAlignment="1">
      <alignment horizontal="left" vertical="center" shrinkToFit="1"/>
    </xf>
    <xf numFmtId="0" fontId="50" fillId="0" borderId="51" xfId="0" applyNumberFormat="1" applyFont="1" applyFill="1" applyBorder="1" applyAlignment="1">
      <alignment horizontal="left" vertical="center" shrinkToFit="1"/>
    </xf>
    <xf numFmtId="0" fontId="50" fillId="0" borderId="31" xfId="0" applyNumberFormat="1" applyFont="1" applyFill="1" applyBorder="1" applyAlignment="1">
      <alignment horizontal="left" vertical="center" shrinkToFit="1"/>
    </xf>
    <xf numFmtId="0" fontId="50" fillId="0" borderId="53" xfId="0" applyNumberFormat="1" applyFont="1" applyFill="1" applyBorder="1" applyAlignment="1">
      <alignment horizontal="left" vertical="center" shrinkToFit="1"/>
    </xf>
    <xf numFmtId="0" fontId="47" fillId="0" borderId="51" xfId="0" applyNumberFormat="1" applyFont="1" applyFill="1" applyBorder="1" applyAlignment="1">
      <alignment horizontal="left" vertical="center" shrinkToFit="1"/>
    </xf>
    <xf numFmtId="0" fontId="47" fillId="0" borderId="53" xfId="0" applyNumberFormat="1" applyFont="1" applyFill="1" applyBorder="1" applyAlignment="1">
      <alignment horizontal="left" vertical="center" shrinkToFit="1"/>
    </xf>
    <xf numFmtId="0" fontId="47" fillId="0" borderId="20" xfId="0" applyNumberFormat="1" applyFont="1" applyFill="1" applyBorder="1" applyAlignment="1">
      <alignment horizontal="left" vertical="center" shrinkToFit="1"/>
    </xf>
    <xf numFmtId="0" fontId="47" fillId="0" borderId="27" xfId="0" applyNumberFormat="1" applyFont="1" applyFill="1" applyBorder="1" applyAlignment="1">
      <alignment vertical="center" shrinkToFit="1"/>
    </xf>
    <xf numFmtId="0" fontId="47" fillId="0" borderId="51" xfId="0" applyNumberFormat="1" applyFont="1" applyFill="1" applyBorder="1" applyAlignment="1">
      <alignment vertical="center" shrinkToFit="1"/>
    </xf>
    <xf numFmtId="0" fontId="47" fillId="0" borderId="12" xfId="0" applyNumberFormat="1" applyFont="1" applyFill="1" applyBorder="1" applyAlignment="1">
      <alignment vertical="center" shrinkToFit="1"/>
    </xf>
    <xf numFmtId="0" fontId="47" fillId="0" borderId="28" xfId="0" applyNumberFormat="1" applyFont="1" applyFill="1" applyBorder="1" applyAlignment="1">
      <alignment vertical="center" shrinkToFit="1"/>
    </xf>
    <xf numFmtId="0" fontId="47" fillId="0" borderId="52" xfId="0" applyNumberFormat="1" applyFont="1" applyFill="1" applyBorder="1" applyAlignment="1">
      <alignment vertical="center" shrinkToFit="1"/>
    </xf>
    <xf numFmtId="0" fontId="47" fillId="0" borderId="10" xfId="0" applyNumberFormat="1" applyFont="1" applyFill="1" applyBorder="1" applyAlignment="1">
      <alignment vertical="center" shrinkToFit="1"/>
    </xf>
    <xf numFmtId="0" fontId="47" fillId="0" borderId="10" xfId="0" applyNumberFormat="1" applyFont="1" applyFill="1" applyBorder="1" applyAlignment="1">
      <alignment horizontal="right" vertical="center" shrinkToFit="1"/>
    </xf>
    <xf numFmtId="0" fontId="47" fillId="0" borderId="30" xfId="0" applyNumberFormat="1" applyFont="1" applyFill="1" applyBorder="1" applyAlignment="1">
      <alignment vertical="center" shrinkToFit="1"/>
    </xf>
    <xf numFmtId="0" fontId="47" fillId="0" borderId="56" xfId="0" applyNumberFormat="1" applyFont="1" applyFill="1" applyBorder="1" applyAlignment="1">
      <alignment vertical="center" shrinkToFit="1"/>
    </xf>
    <xf numFmtId="0" fontId="47" fillId="0" borderId="29" xfId="0" applyNumberFormat="1" applyFont="1" applyFill="1" applyBorder="1" applyAlignment="1">
      <alignment vertical="center" shrinkToFit="1"/>
    </xf>
    <xf numFmtId="0" fontId="47" fillId="0" borderId="27" xfId="0" applyNumberFormat="1" applyFont="1" applyFill="1" applyBorder="1" applyAlignment="1">
      <alignment vertical="center" wrapText="1" shrinkToFit="1"/>
    </xf>
    <xf numFmtId="0" fontId="47" fillId="0" borderId="51" xfId="0" applyNumberFormat="1" applyFont="1" applyFill="1" applyBorder="1" applyAlignment="1">
      <alignment vertical="center" wrapText="1" shrinkToFit="1"/>
    </xf>
    <xf numFmtId="0" fontId="47" fillId="0" borderId="12" xfId="0" applyNumberFormat="1" applyFont="1" applyFill="1" applyBorder="1" applyAlignment="1">
      <alignment vertical="center" wrapText="1" shrinkToFit="1"/>
    </xf>
    <xf numFmtId="0" fontId="47" fillId="0" borderId="47" xfId="0" applyNumberFormat="1" applyFont="1" applyFill="1" applyBorder="1" applyAlignment="1">
      <alignment vertical="center" shrinkToFit="1"/>
    </xf>
    <xf numFmtId="0" fontId="47" fillId="0" borderId="57" xfId="0" applyNumberFormat="1" applyFont="1" applyFill="1" applyBorder="1" applyAlignment="1">
      <alignment vertical="center" shrinkToFit="1"/>
    </xf>
    <xf numFmtId="0" fontId="47" fillId="0" borderId="11" xfId="0" applyNumberFormat="1" applyFont="1" applyFill="1" applyBorder="1" applyAlignment="1">
      <alignment vertical="center" shrinkToFit="1"/>
    </xf>
    <xf numFmtId="0" fontId="47" fillId="27" borderId="31" xfId="0" applyNumberFormat="1" applyFont="1" applyFill="1" applyBorder="1" applyAlignment="1">
      <alignment vertical="center" shrinkToFit="1"/>
    </xf>
    <xf numFmtId="0" fontId="47" fillId="27" borderId="53" xfId="0" applyNumberFormat="1" applyFont="1" applyFill="1" applyBorder="1" applyAlignment="1">
      <alignment vertical="center" shrinkToFit="1"/>
    </xf>
    <xf numFmtId="0" fontId="47" fillId="27" borderId="32" xfId="0" applyNumberFormat="1" applyFont="1" applyFill="1" applyBorder="1" applyAlignment="1">
      <alignment vertical="center" shrinkToFit="1"/>
    </xf>
    <xf numFmtId="0" fontId="47" fillId="0" borderId="25" xfId="0" applyNumberFormat="1" applyFont="1" applyFill="1" applyBorder="1" applyAlignment="1">
      <alignment vertical="center" shrinkToFit="1"/>
    </xf>
    <xf numFmtId="0" fontId="47" fillId="0" borderId="26" xfId="0" applyNumberFormat="1" applyFont="1" applyFill="1" applyBorder="1" applyAlignment="1">
      <alignment vertical="center" shrinkToFit="1"/>
    </xf>
    <xf numFmtId="0" fontId="47" fillId="0" borderId="21" xfId="0" applyNumberFormat="1" applyFont="1" applyFill="1" applyBorder="1" applyAlignment="1">
      <alignment horizontal="right" vertical="center" shrinkToFit="1"/>
    </xf>
    <xf numFmtId="0" fontId="47" fillId="0" borderId="25" xfId="0" applyNumberFormat="1" applyFont="1" applyFill="1" applyBorder="1" applyAlignment="1">
      <alignment horizontal="left" vertical="center" shrinkToFit="1"/>
    </xf>
    <xf numFmtId="49" fontId="46" fillId="0" borderId="27" xfId="0" applyNumberFormat="1" applyFont="1" applyFill="1" applyBorder="1" applyAlignment="1">
      <alignment vertical="center"/>
    </xf>
    <xf numFmtId="49" fontId="46" fillId="0" borderId="51" xfId="0" applyNumberFormat="1" applyFont="1" applyFill="1" applyBorder="1" applyAlignment="1">
      <alignment vertical="center"/>
    </xf>
    <xf numFmtId="49" fontId="46" fillId="0" borderId="12" xfId="0" applyNumberFormat="1" applyFont="1" applyFill="1" applyBorder="1" applyAlignment="1">
      <alignment vertical="center"/>
    </xf>
    <xf numFmtId="49" fontId="46" fillId="0" borderId="28" xfId="0" applyNumberFormat="1" applyFont="1" applyFill="1" applyBorder="1" applyAlignment="1">
      <alignment vertical="center"/>
    </xf>
    <xf numFmtId="49" fontId="46" fillId="0" borderId="52" xfId="0" applyNumberFormat="1" applyFont="1" applyFill="1" applyBorder="1" applyAlignment="1">
      <alignment vertical="center"/>
    </xf>
    <xf numFmtId="49" fontId="46" fillId="0" borderId="10" xfId="0" applyNumberFormat="1" applyFont="1" applyFill="1" applyBorder="1" applyAlignment="1">
      <alignment vertical="center"/>
    </xf>
    <xf numFmtId="0" fontId="46" fillId="0" borderId="31" xfId="0" applyFont="1" applyBorder="1" applyAlignment="1">
      <alignment vertical="center"/>
    </xf>
    <xf numFmtId="0" fontId="46" fillId="0" borderId="32" xfId="0" applyFont="1" applyBorder="1" applyAlignment="1">
      <alignment vertical="center"/>
    </xf>
    <xf numFmtId="49" fontId="0" fillId="0" borderId="0" xfId="0" applyNumberFormat="1" applyAlignment="1">
      <alignment horizontal="right" vertical="center"/>
    </xf>
    <xf numFmtId="49" fontId="47" fillId="0" borderId="51" xfId="0" applyNumberFormat="1" applyFont="1" applyFill="1" applyBorder="1" applyAlignment="1">
      <alignment vertical="center" shrinkToFit="1"/>
    </xf>
    <xf numFmtId="49" fontId="47" fillId="0" borderId="12" xfId="0" applyNumberFormat="1" applyFont="1" applyFill="1" applyBorder="1" applyAlignment="1">
      <alignment horizontal="right" vertical="center" shrinkToFit="1"/>
    </xf>
    <xf numFmtId="0" fontId="47" fillId="0" borderId="3" xfId="0" applyNumberFormat="1" applyFont="1" applyBorder="1" applyAlignment="1">
      <alignment horizontal="left" vertical="top" wrapText="1" shrinkToFit="1"/>
    </xf>
    <xf numFmtId="49" fontId="47" fillId="0" borderId="52" xfId="0" applyNumberFormat="1" applyFont="1" applyFill="1" applyBorder="1" applyAlignment="1">
      <alignment vertical="center" shrinkToFit="1"/>
    </xf>
    <xf numFmtId="49" fontId="47" fillId="0" borderId="10" xfId="0" applyNumberFormat="1" applyFont="1" applyFill="1" applyBorder="1" applyAlignment="1">
      <alignment horizontal="right" vertical="center" shrinkToFit="1"/>
    </xf>
    <xf numFmtId="0" fontId="47" fillId="0" borderId="31" xfId="0" applyNumberFormat="1" applyFont="1" applyFill="1" applyBorder="1" applyAlignment="1">
      <alignment vertical="center" shrinkToFit="1"/>
    </xf>
    <xf numFmtId="49" fontId="47" fillId="0" borderId="53" xfId="0" applyNumberFormat="1" applyFont="1" applyFill="1" applyBorder="1" applyAlignment="1">
      <alignment vertical="center" shrinkToFit="1"/>
    </xf>
    <xf numFmtId="49" fontId="47" fillId="0" borderId="32" xfId="0" applyNumberFormat="1" applyFont="1" applyFill="1" applyBorder="1" applyAlignment="1">
      <alignment horizontal="right" vertical="center" shrinkToFit="1"/>
    </xf>
    <xf numFmtId="0" fontId="47" fillId="0" borderId="5" xfId="0" applyNumberFormat="1" applyFont="1" applyBorder="1" applyAlignment="1">
      <alignment horizontal="left" vertical="top" shrinkToFit="1"/>
    </xf>
    <xf numFmtId="0" fontId="47" fillId="0" borderId="2" xfId="0" applyNumberFormat="1" applyFont="1" applyFill="1" applyBorder="1" applyAlignment="1">
      <alignment horizontal="center" vertical="center" shrinkToFit="1"/>
    </xf>
    <xf numFmtId="49" fontId="47" fillId="0" borderId="26" xfId="0" applyNumberFormat="1" applyFont="1" applyFill="1" applyBorder="1" applyAlignment="1">
      <alignment vertical="center" shrinkToFit="1"/>
    </xf>
    <xf numFmtId="49" fontId="47" fillId="0" borderId="21" xfId="0" applyNumberFormat="1" applyFont="1" applyFill="1" applyBorder="1" applyAlignment="1">
      <alignment horizontal="right" vertical="center" shrinkToFit="1"/>
    </xf>
    <xf numFmtId="0" fontId="47" fillId="0" borderId="2" xfId="0" applyNumberFormat="1" applyFont="1" applyBorder="1" applyAlignment="1">
      <alignment horizontal="center" vertical="center" shrinkToFit="1"/>
    </xf>
    <xf numFmtId="0" fontId="50" fillId="0" borderId="2" xfId="0" applyNumberFormat="1" applyFont="1" applyBorder="1" applyAlignment="1">
      <alignment vertical="center" shrinkToFit="1"/>
    </xf>
    <xf numFmtId="0" fontId="47" fillId="0" borderId="2" xfId="0" applyNumberFormat="1" applyFont="1" applyBorder="1" applyAlignment="1">
      <alignment horizontal="left" vertical="top" shrinkToFit="1"/>
    </xf>
    <xf numFmtId="0" fontId="46" fillId="0" borderId="3" xfId="0" applyNumberFormat="1" applyFont="1" applyFill="1" applyBorder="1" applyAlignment="1">
      <alignment horizontal="center" vertical="center" wrapText="1" shrinkToFit="1"/>
    </xf>
    <xf numFmtId="0" fontId="46" fillId="0" borderId="3" xfId="0" applyNumberFormat="1" applyFont="1" applyFill="1" applyBorder="1" applyAlignment="1">
      <alignment horizontal="center" vertical="center" shrinkToFit="1"/>
    </xf>
    <xf numFmtId="0" fontId="46" fillId="0" borderId="27" xfId="0" applyNumberFormat="1" applyFont="1" applyFill="1" applyBorder="1" applyAlignment="1">
      <alignment vertical="center" shrinkToFit="1"/>
    </xf>
    <xf numFmtId="49" fontId="46" fillId="0" borderId="51" xfId="0" applyNumberFormat="1" applyFont="1" applyFill="1" applyBorder="1" applyAlignment="1">
      <alignment vertical="center" shrinkToFit="1"/>
    </xf>
    <xf numFmtId="49" fontId="46" fillId="0" borderId="12" xfId="0" applyNumberFormat="1" applyFont="1" applyFill="1" applyBorder="1" applyAlignment="1">
      <alignment horizontal="right" vertical="center" shrinkToFit="1"/>
    </xf>
    <xf numFmtId="0" fontId="43" fillId="0" borderId="3" xfId="0" applyNumberFormat="1" applyFont="1" applyBorder="1" applyAlignment="1">
      <alignment horizontal="center" vertical="center" shrinkToFit="1"/>
    </xf>
    <xf numFmtId="0" fontId="43" fillId="0" borderId="3" xfId="0" applyNumberFormat="1" applyFont="1" applyBorder="1" applyAlignment="1">
      <alignment vertical="center" shrinkToFit="1"/>
    </xf>
    <xf numFmtId="0" fontId="46" fillId="0" borderId="4" xfId="0" applyNumberFormat="1" applyFont="1" applyFill="1" applyBorder="1" applyAlignment="1">
      <alignment horizontal="center" vertical="center" wrapText="1" shrinkToFit="1"/>
    </xf>
    <xf numFmtId="0" fontId="46" fillId="0" borderId="4" xfId="0" applyNumberFormat="1" applyFont="1" applyFill="1" applyBorder="1" applyAlignment="1">
      <alignment horizontal="center" vertical="center" shrinkToFit="1"/>
    </xf>
    <xf numFmtId="0" fontId="46" fillId="0" borderId="28" xfId="0" applyNumberFormat="1" applyFont="1" applyFill="1" applyBorder="1" applyAlignment="1">
      <alignment vertical="center" shrinkToFit="1"/>
    </xf>
    <xf numFmtId="49" fontId="46" fillId="0" borderId="52" xfId="0" applyNumberFormat="1" applyFont="1" applyFill="1" applyBorder="1" applyAlignment="1">
      <alignment vertical="center" shrinkToFit="1"/>
    </xf>
    <xf numFmtId="49" fontId="46" fillId="0" borderId="10" xfId="0" applyNumberFormat="1" applyFont="1" applyFill="1" applyBorder="1" applyAlignment="1">
      <alignment horizontal="right" vertical="center" shrinkToFit="1"/>
    </xf>
    <xf numFmtId="0" fontId="43" fillId="0" borderId="4" xfId="0" applyNumberFormat="1" applyFont="1" applyBorder="1" applyAlignment="1">
      <alignment horizontal="center" vertical="center" shrinkToFit="1"/>
    </xf>
    <xf numFmtId="0" fontId="43" fillId="0" borderId="4" xfId="0" applyNumberFormat="1" applyFont="1" applyBorder="1" applyAlignment="1">
      <alignment vertical="center" shrinkToFit="1"/>
    </xf>
    <xf numFmtId="0" fontId="46" fillId="0" borderId="5" xfId="0" applyNumberFormat="1" applyFont="1" applyFill="1" applyBorder="1" applyAlignment="1">
      <alignment horizontal="center" vertical="center" wrapText="1" shrinkToFit="1"/>
    </xf>
    <xf numFmtId="0" fontId="46" fillId="0" borderId="5" xfId="0" applyNumberFormat="1" applyFont="1" applyFill="1" applyBorder="1" applyAlignment="1">
      <alignment horizontal="center" vertical="center" shrinkToFit="1"/>
    </xf>
    <xf numFmtId="0" fontId="46" fillId="0" borderId="31" xfId="0" applyNumberFormat="1" applyFont="1" applyFill="1" applyBorder="1" applyAlignment="1">
      <alignment vertical="center" shrinkToFit="1"/>
    </xf>
    <xf numFmtId="49" fontId="46" fillId="0" borderId="53" xfId="0" applyNumberFormat="1" applyFont="1" applyFill="1" applyBorder="1" applyAlignment="1">
      <alignment vertical="center" shrinkToFit="1"/>
    </xf>
    <xf numFmtId="49" fontId="46" fillId="0" borderId="32" xfId="0" applyNumberFormat="1" applyFont="1" applyFill="1" applyBorder="1" applyAlignment="1">
      <alignment horizontal="right" vertical="center" shrinkToFit="1"/>
    </xf>
    <xf numFmtId="0" fontId="43" fillId="0" borderId="5" xfId="0" applyNumberFormat="1" applyFont="1" applyBorder="1" applyAlignment="1">
      <alignment horizontal="center" vertical="center" shrinkToFit="1"/>
    </xf>
    <xf numFmtId="0" fontId="43" fillId="0" borderId="5" xfId="0" applyNumberFormat="1" applyFont="1" applyBorder="1" applyAlignment="1">
      <alignment vertical="center" shrinkToFit="1"/>
    </xf>
    <xf numFmtId="0" fontId="46" fillId="0" borderId="3" xfId="0" applyNumberFormat="1" applyFont="1" applyFill="1" applyBorder="1" applyAlignment="1">
      <alignment horizontal="center" vertical="center" wrapText="1"/>
    </xf>
    <xf numFmtId="0" fontId="50" fillId="0" borderId="3" xfId="0" applyNumberFormat="1" applyFont="1" applyFill="1" applyBorder="1" applyAlignment="1">
      <alignment horizontal="center" vertical="center" shrinkToFit="1"/>
    </xf>
    <xf numFmtId="49" fontId="46" fillId="0" borderId="57" xfId="0" applyNumberFormat="1" applyFont="1" applyFill="1" applyBorder="1" applyAlignment="1">
      <alignment vertical="center" shrinkToFit="1"/>
    </xf>
    <xf numFmtId="49" fontId="46" fillId="0" borderId="11" xfId="0" applyNumberFormat="1" applyFont="1" applyFill="1" applyBorder="1" applyAlignment="1">
      <alignment horizontal="right" vertical="center" shrinkToFit="1"/>
    </xf>
    <xf numFmtId="0" fontId="43" fillId="0" borderId="11" xfId="0" applyNumberFormat="1" applyFont="1" applyBorder="1" applyAlignment="1">
      <alignment vertical="center" shrinkToFit="1"/>
    </xf>
    <xf numFmtId="0" fontId="43" fillId="0" borderId="8" xfId="0" applyNumberFormat="1" applyFont="1" applyBorder="1" applyAlignment="1">
      <alignment vertical="center" shrinkToFit="1"/>
    </xf>
    <xf numFmtId="0" fontId="46" fillId="0" borderId="4" xfId="0" applyNumberFormat="1" applyFont="1" applyFill="1" applyBorder="1" applyAlignment="1">
      <alignment horizontal="center" vertical="center" wrapText="1"/>
    </xf>
    <xf numFmtId="0" fontId="50" fillId="0" borderId="4" xfId="0" applyNumberFormat="1" applyFont="1" applyFill="1" applyBorder="1" applyAlignment="1">
      <alignment horizontal="center" vertical="center" shrinkToFit="1"/>
    </xf>
    <xf numFmtId="0" fontId="43" fillId="0" borderId="10" xfId="0" applyNumberFormat="1" applyFont="1" applyBorder="1" applyAlignment="1">
      <alignment vertical="center" shrinkToFit="1"/>
    </xf>
    <xf numFmtId="0" fontId="46" fillId="26" borderId="16" xfId="0" applyNumberFormat="1" applyFont="1" applyFill="1" applyBorder="1" applyAlignment="1">
      <alignment horizontal="center" vertical="center" wrapText="1"/>
    </xf>
    <xf numFmtId="0" fontId="50" fillId="26" borderId="4" xfId="0" applyNumberFormat="1" applyFont="1" applyFill="1" applyBorder="1" applyAlignment="1">
      <alignment horizontal="center" vertical="center" shrinkToFit="1"/>
    </xf>
    <xf numFmtId="0" fontId="46" fillId="26" borderId="28" xfId="0" applyNumberFormat="1" applyFont="1" applyFill="1" applyBorder="1" applyAlignment="1">
      <alignment vertical="center" shrinkToFit="1"/>
    </xf>
    <xf numFmtId="49" fontId="46" fillId="26" borderId="52" xfId="0" applyNumberFormat="1" applyFont="1" applyFill="1" applyBorder="1" applyAlignment="1">
      <alignment vertical="center" shrinkToFit="1"/>
    </xf>
    <xf numFmtId="49" fontId="46" fillId="26" borderId="10" xfId="0" applyNumberFormat="1" applyFont="1" applyFill="1" applyBorder="1" applyAlignment="1">
      <alignment horizontal="right" vertical="center" shrinkToFit="1"/>
    </xf>
    <xf numFmtId="0" fontId="43" fillId="26" borderId="16" xfId="0" applyNumberFormat="1" applyFont="1" applyFill="1" applyBorder="1" applyAlignment="1">
      <alignment horizontal="center" vertical="center" shrinkToFit="1"/>
    </xf>
    <xf numFmtId="0" fontId="43" fillId="26" borderId="46" xfId="0" applyNumberFormat="1" applyFont="1" applyFill="1" applyBorder="1" applyAlignment="1">
      <alignment vertical="center" shrinkToFit="1"/>
    </xf>
    <xf numFmtId="0" fontId="46" fillId="27" borderId="4" xfId="0" applyNumberFormat="1" applyFont="1" applyFill="1" applyBorder="1" applyAlignment="1">
      <alignment horizontal="center" vertical="center" wrapText="1"/>
    </xf>
    <xf numFmtId="0" fontId="50" fillId="27" borderId="4" xfId="0" applyNumberFormat="1" applyFont="1" applyFill="1" applyBorder="1" applyAlignment="1">
      <alignment horizontal="center" vertical="center" shrinkToFit="1"/>
    </xf>
    <xf numFmtId="0" fontId="46" fillId="27" borderId="28" xfId="0" applyNumberFormat="1" applyFont="1" applyFill="1" applyBorder="1" applyAlignment="1">
      <alignment vertical="center" shrinkToFit="1"/>
    </xf>
    <xf numFmtId="49" fontId="46" fillId="27" borderId="52" xfId="0" applyNumberFormat="1" applyFont="1" applyFill="1" applyBorder="1" applyAlignment="1">
      <alignment vertical="center" shrinkToFit="1"/>
    </xf>
    <xf numFmtId="49" fontId="46" fillId="27" borderId="10" xfId="0" quotePrefix="1" applyNumberFormat="1" applyFont="1" applyFill="1" applyBorder="1" applyAlignment="1">
      <alignment horizontal="right" vertical="center" shrinkToFit="1"/>
    </xf>
    <xf numFmtId="0" fontId="43" fillId="27" borderId="4" xfId="0" applyNumberFormat="1" applyFont="1" applyFill="1" applyBorder="1" applyAlignment="1">
      <alignment horizontal="center" vertical="center" shrinkToFit="1"/>
    </xf>
    <xf numFmtId="0" fontId="43" fillId="27" borderId="10" xfId="0" applyNumberFormat="1" applyFont="1" applyFill="1" applyBorder="1" applyAlignment="1">
      <alignment vertical="center" shrinkToFit="1"/>
    </xf>
    <xf numFmtId="0" fontId="43" fillId="27" borderId="16" xfId="0" applyNumberFormat="1" applyFont="1" applyFill="1" applyBorder="1" applyAlignment="1">
      <alignment vertical="center" shrinkToFit="1"/>
    </xf>
    <xf numFmtId="49" fontId="46" fillId="27" borderId="10" xfId="0" applyNumberFormat="1" applyFont="1" applyFill="1" applyBorder="1" applyAlignment="1">
      <alignment horizontal="right" vertical="center" shrinkToFit="1"/>
    </xf>
    <xf numFmtId="0" fontId="50" fillId="0" borderId="4" xfId="0" applyNumberFormat="1" applyFont="1" applyFill="1" applyBorder="1" applyAlignment="1">
      <alignment horizontal="center" vertical="center" shrinkToFit="1"/>
    </xf>
    <xf numFmtId="49" fontId="47" fillId="0" borderId="29" xfId="0" applyNumberFormat="1" applyFont="1" applyBorder="1" applyAlignment="1">
      <alignment horizontal="left" vertical="center"/>
    </xf>
    <xf numFmtId="0" fontId="46" fillId="0" borderId="23" xfId="0" applyNumberFormat="1" applyFont="1" applyFill="1" applyBorder="1" applyAlignment="1">
      <alignment horizontal="center" vertical="center" wrapText="1"/>
    </xf>
    <xf numFmtId="49" fontId="46" fillId="0" borderId="13" xfId="0" applyNumberFormat="1" applyFont="1" applyFill="1" applyBorder="1" applyAlignment="1">
      <alignment horizontal="left" vertical="center" shrinkToFit="1"/>
    </xf>
    <xf numFmtId="49" fontId="46" fillId="0" borderId="14" xfId="0" applyNumberFormat="1" applyFont="1" applyFill="1" applyBorder="1" applyAlignment="1">
      <alignment horizontal="left" vertical="center" shrinkToFit="1"/>
    </xf>
    <xf numFmtId="0" fontId="46" fillId="0" borderId="8" xfId="0" applyNumberFormat="1" applyFont="1" applyFill="1" applyBorder="1" applyAlignment="1">
      <alignment horizontal="center" vertical="center" wrapText="1"/>
    </xf>
    <xf numFmtId="49" fontId="47" fillId="0" borderId="47" xfId="0" applyNumberFormat="1" applyFont="1" applyBorder="1" applyAlignment="1">
      <alignment horizontal="left" vertical="center"/>
    </xf>
    <xf numFmtId="49" fontId="47" fillId="0" borderId="57" xfId="0" applyNumberFormat="1" applyFont="1" applyBorder="1" applyAlignment="1">
      <alignment horizontal="left" vertical="center"/>
    </xf>
    <xf numFmtId="49" fontId="47" fillId="0" borderId="11" xfId="0" applyNumberFormat="1" applyFont="1" applyBorder="1" applyAlignment="1">
      <alignment horizontal="left" vertical="center"/>
    </xf>
    <xf numFmtId="0" fontId="43" fillId="0" borderId="8" xfId="0" applyNumberFormat="1" applyFont="1" applyBorder="1" applyAlignment="1">
      <alignment horizontal="center" vertical="center" shrinkToFit="1"/>
    </xf>
    <xf numFmtId="49" fontId="47" fillId="0" borderId="30" xfId="0" applyNumberFormat="1" applyFont="1" applyBorder="1" applyAlignment="1">
      <alignment horizontal="left" vertical="center"/>
    </xf>
    <xf numFmtId="0" fontId="46" fillId="0" borderId="27" xfId="0" applyNumberFormat="1" applyFont="1" applyFill="1" applyBorder="1" applyAlignment="1">
      <alignment horizontal="left" vertical="center" shrinkToFit="1"/>
    </xf>
    <xf numFmtId="49" fontId="46" fillId="0" borderId="51" xfId="0" applyNumberFormat="1" applyFont="1" applyFill="1" applyBorder="1" applyAlignment="1">
      <alignment horizontal="left" vertical="center" shrinkToFit="1"/>
    </xf>
    <xf numFmtId="0" fontId="46" fillId="0" borderId="31" xfId="0" applyNumberFormat="1" applyFont="1" applyFill="1" applyBorder="1" applyAlignment="1">
      <alignment horizontal="left" vertical="center" shrinkToFit="1"/>
    </xf>
    <xf numFmtId="49" fontId="46" fillId="0" borderId="53" xfId="0" applyNumberFormat="1" applyFont="1" applyFill="1" applyBorder="1" applyAlignment="1">
      <alignment horizontal="left" vertical="center" shrinkToFit="1"/>
    </xf>
    <xf numFmtId="49" fontId="46" fillId="0" borderId="12" xfId="0" applyNumberFormat="1" applyFont="1" applyFill="1" applyBorder="1" applyAlignment="1">
      <alignment horizontal="left" vertical="center" shrinkToFit="1"/>
    </xf>
    <xf numFmtId="0" fontId="46" fillId="0" borderId="8" xfId="0" applyFont="1" applyBorder="1">
      <alignment vertical="center"/>
    </xf>
    <xf numFmtId="0" fontId="46" fillId="0" borderId="8" xfId="0" applyNumberFormat="1" applyFont="1" applyFill="1" applyBorder="1" applyAlignment="1">
      <alignment horizontal="center" vertical="center" shrinkToFit="1"/>
    </xf>
    <xf numFmtId="49" fontId="46" fillId="0" borderId="0" xfId="0" applyNumberFormat="1" applyFont="1">
      <alignment vertical="center"/>
    </xf>
    <xf numFmtId="49" fontId="46" fillId="0" borderId="0" xfId="0" applyNumberFormat="1" applyFont="1" applyAlignment="1">
      <alignment horizontal="right" vertical="center"/>
    </xf>
    <xf numFmtId="0" fontId="46" fillId="0" borderId="0" xfId="0" applyFont="1" applyBorder="1">
      <alignment vertical="center"/>
    </xf>
    <xf numFmtId="0" fontId="0" fillId="0" borderId="3" xfId="0" applyNumberFormat="1" applyFont="1" applyBorder="1" applyAlignment="1">
      <alignment horizontal="left" vertical="top" shrinkToFit="1"/>
    </xf>
    <xf numFmtId="0" fontId="0" fillId="0" borderId="4" xfId="0" applyNumberFormat="1" applyFont="1" applyBorder="1" applyAlignment="1">
      <alignment vertical="top" shrinkToFit="1"/>
    </xf>
    <xf numFmtId="0" fontId="0" fillId="0" borderId="12" xfId="0" applyNumberFormat="1" applyFont="1" applyBorder="1" applyAlignment="1">
      <alignment horizontal="left" vertical="top" shrinkToFit="1"/>
    </xf>
    <xf numFmtId="0" fontId="0" fillId="0" borderId="10" xfId="0" applyNumberFormat="1" applyFont="1" applyBorder="1" applyAlignment="1">
      <alignment horizontal="left" vertical="top" shrinkToFit="1"/>
    </xf>
    <xf numFmtId="0" fontId="0" fillId="26" borderId="10" xfId="0" applyNumberFormat="1" applyFont="1" applyFill="1" applyBorder="1" applyAlignment="1">
      <alignment horizontal="left" vertical="top" shrinkToFit="1"/>
    </xf>
    <xf numFmtId="0" fontId="0" fillId="27" borderId="10" xfId="0" applyNumberFormat="1" applyFont="1" applyFill="1" applyBorder="1" applyAlignment="1">
      <alignment horizontal="left" vertical="top" shrinkToFit="1"/>
    </xf>
    <xf numFmtId="0" fontId="0" fillId="0" borderId="4" xfId="0" applyNumberFormat="1" applyFont="1" applyBorder="1" applyAlignment="1">
      <alignment horizontal="left" vertical="top" shrinkToFit="1"/>
    </xf>
    <xf numFmtId="0" fontId="0" fillId="0" borderId="5" xfId="0" applyFont="1" applyBorder="1">
      <alignment vertical="center"/>
    </xf>
    <xf numFmtId="0" fontId="55" fillId="0" borderId="3" xfId="89" applyFont="1" applyBorder="1" applyAlignment="1" applyProtection="1">
      <alignment vertical="center"/>
    </xf>
    <xf numFmtId="0" fontId="0" fillId="0" borderId="8" xfId="0" applyFont="1" applyBorder="1" applyAlignment="1">
      <alignment horizontal="left" vertical="top"/>
    </xf>
    <xf numFmtId="0" fontId="0" fillId="0" borderId="4" xfId="0" applyFont="1" applyBorder="1" applyAlignment="1">
      <alignment horizontal="left" vertical="top"/>
    </xf>
    <xf numFmtId="0" fontId="0" fillId="0" borderId="4" xfId="0" applyFont="1" applyBorder="1" applyAlignment="1">
      <alignment vertical="center" wrapText="1"/>
    </xf>
    <xf numFmtId="0" fontId="0" fillId="0" borderId="4" xfId="0" applyFont="1" applyBorder="1" applyAlignment="1">
      <alignment vertical="center"/>
    </xf>
    <xf numFmtId="0" fontId="46" fillId="0" borderId="0" xfId="0" applyFont="1" applyAlignment="1">
      <alignment horizontal="center" vertical="center"/>
    </xf>
    <xf numFmtId="0" fontId="0" fillId="0" borderId="0" xfId="0" applyAlignment="1">
      <alignment horizontal="center" vertical="center"/>
    </xf>
    <xf numFmtId="0" fontId="47" fillId="0" borderId="2" xfId="0" applyFont="1" applyBorder="1" applyAlignment="1">
      <alignment horizontal="center" vertical="center" wrapText="1"/>
    </xf>
    <xf numFmtId="0" fontId="46" fillId="0" borderId="28" xfId="0" applyNumberFormat="1" applyFont="1" applyFill="1" applyBorder="1" applyAlignment="1">
      <alignment horizontal="left" vertical="center" shrinkToFit="1"/>
    </xf>
    <xf numFmtId="0" fontId="46" fillId="0" borderId="28" xfId="0" applyNumberFormat="1" applyFont="1" applyFill="1" applyBorder="1" applyAlignment="1">
      <alignment vertical="center" wrapText="1" shrinkToFit="1"/>
    </xf>
    <xf numFmtId="49" fontId="46" fillId="0" borderId="53" xfId="0" applyNumberFormat="1" applyFont="1" applyBorder="1" applyAlignment="1">
      <alignment vertical="center"/>
    </xf>
    <xf numFmtId="0" fontId="46" fillId="0" borderId="6" xfId="0" applyFont="1" applyBorder="1">
      <alignment vertical="center"/>
    </xf>
    <xf numFmtId="0" fontId="46" fillId="0" borderId="25" xfId="0" applyNumberFormat="1" applyFont="1" applyFill="1" applyBorder="1" applyAlignment="1">
      <alignment vertical="center" shrinkToFit="1"/>
    </xf>
    <xf numFmtId="49" fontId="46" fillId="0" borderId="12" xfId="0" applyNumberFormat="1" applyFont="1" applyFill="1" applyBorder="1" applyAlignment="1">
      <alignment vertical="center" shrinkToFit="1"/>
    </xf>
    <xf numFmtId="49" fontId="46" fillId="0" borderId="10" xfId="0" applyNumberFormat="1" applyFont="1" applyFill="1" applyBorder="1" applyAlignment="1">
      <alignment vertical="center" shrinkToFit="1"/>
    </xf>
    <xf numFmtId="49" fontId="46" fillId="0" borderId="32" xfId="0" applyNumberFormat="1" applyFont="1" applyFill="1" applyBorder="1" applyAlignment="1">
      <alignment vertical="center" shrinkToFit="1"/>
    </xf>
    <xf numFmtId="49" fontId="46" fillId="0" borderId="32" xfId="0" applyNumberFormat="1" applyFont="1" applyFill="1" applyBorder="1" applyAlignment="1">
      <alignment horizontal="left" vertical="center" shrinkToFit="1"/>
    </xf>
    <xf numFmtId="49" fontId="46" fillId="0" borderId="11" xfId="0" applyNumberFormat="1" applyFont="1" applyFill="1" applyBorder="1" applyAlignment="1">
      <alignment vertical="center" shrinkToFit="1"/>
    </xf>
    <xf numFmtId="0" fontId="46" fillId="0" borderId="4" xfId="0" applyNumberFormat="1" applyFont="1" applyFill="1" applyBorder="1" applyAlignment="1">
      <alignment horizontal="center" vertical="center" shrinkToFit="1"/>
    </xf>
    <xf numFmtId="0" fontId="8" fillId="0" borderId="3" xfId="0" applyNumberFormat="1" applyFont="1" applyBorder="1" applyAlignment="1">
      <alignment horizontal="left" vertical="top" wrapText="1" shrinkToFit="1"/>
    </xf>
    <xf numFmtId="0" fontId="8" fillId="0" borderId="5" xfId="0" applyNumberFormat="1" applyFont="1" applyBorder="1" applyAlignment="1">
      <alignment horizontal="left" vertical="top" shrinkToFit="1"/>
    </xf>
    <xf numFmtId="0" fontId="8" fillId="0" borderId="2" xfId="0" applyNumberFormat="1" applyFont="1" applyBorder="1" applyAlignment="1">
      <alignment horizontal="left" vertical="top" shrinkToFit="1"/>
    </xf>
    <xf numFmtId="0" fontId="43" fillId="0" borderId="12" xfId="0" applyNumberFormat="1" applyFont="1" applyBorder="1" applyAlignment="1">
      <alignment vertical="center" shrinkToFit="1"/>
    </xf>
    <xf numFmtId="0" fontId="50" fillId="0" borderId="23" xfId="0" applyNumberFormat="1" applyFont="1" applyFill="1" applyBorder="1" applyAlignment="1">
      <alignment horizontal="center" vertical="center" shrinkToFit="1"/>
    </xf>
    <xf numFmtId="49" fontId="47" fillId="0" borderId="14" xfId="0" applyNumberFormat="1" applyFont="1" applyBorder="1" applyAlignment="1">
      <alignment horizontal="left" vertical="center"/>
    </xf>
    <xf numFmtId="0" fontId="46" fillId="0" borderId="35" xfId="0" applyFont="1" applyBorder="1" applyAlignment="1">
      <alignment horizontal="center" vertical="center"/>
    </xf>
    <xf numFmtId="0" fontId="46" fillId="0" borderId="17" xfId="0" applyFont="1" applyBorder="1">
      <alignment vertical="center"/>
    </xf>
    <xf numFmtId="0" fontId="46" fillId="0" borderId="7" xfId="0" applyFont="1" applyBorder="1">
      <alignment vertical="center"/>
    </xf>
    <xf numFmtId="0" fontId="46" fillId="0" borderId="7" xfId="0" applyNumberFormat="1" applyFont="1" applyFill="1" applyBorder="1" applyAlignment="1">
      <alignment horizontal="center" vertical="center" shrinkToFit="1"/>
    </xf>
    <xf numFmtId="49" fontId="47" fillId="0" borderId="12" xfId="0" applyNumberFormat="1" applyFont="1" applyFill="1" applyBorder="1" applyAlignment="1">
      <alignment vertical="center" shrinkToFit="1"/>
    </xf>
    <xf numFmtId="49" fontId="47" fillId="0" borderId="32" xfId="0" applyNumberFormat="1" applyFont="1" applyFill="1" applyBorder="1" applyAlignment="1">
      <alignment vertical="center" shrinkToFit="1"/>
    </xf>
    <xf numFmtId="49" fontId="47" fillId="0" borderId="21" xfId="0" applyNumberFormat="1" applyFont="1" applyFill="1" applyBorder="1" applyAlignment="1">
      <alignment vertical="center" shrinkToFit="1"/>
    </xf>
    <xf numFmtId="49" fontId="46" fillId="27" borderId="10" xfId="0" applyNumberFormat="1" applyFont="1" applyFill="1" applyBorder="1" applyAlignment="1">
      <alignment vertical="center" shrinkToFit="1"/>
    </xf>
    <xf numFmtId="49" fontId="47" fillId="0" borderId="13" xfId="0" applyNumberFormat="1" applyFont="1" applyBorder="1" applyAlignment="1">
      <alignment horizontal="left" vertical="center"/>
    </xf>
    <xf numFmtId="49" fontId="47" fillId="0" borderId="0" xfId="0" applyNumberFormat="1" applyFont="1" applyBorder="1" applyAlignment="1">
      <alignment horizontal="left" vertical="center"/>
    </xf>
    <xf numFmtId="0" fontId="46" fillId="0" borderId="24" xfId="0" applyNumberFormat="1" applyFont="1" applyFill="1" applyBorder="1" applyAlignment="1">
      <alignment horizontal="left" vertical="center" shrinkToFit="1"/>
    </xf>
    <xf numFmtId="49" fontId="46" fillId="0" borderId="50" xfId="0" applyNumberFormat="1" applyFont="1" applyFill="1" applyBorder="1" applyAlignment="1">
      <alignment horizontal="left" vertical="center" shrinkToFit="1"/>
    </xf>
    <xf numFmtId="49" fontId="46" fillId="0" borderId="22" xfId="0" applyNumberFormat="1" applyFont="1" applyFill="1" applyBorder="1" applyAlignment="1">
      <alignment horizontal="left" vertical="center" shrinkToFit="1"/>
    </xf>
    <xf numFmtId="0" fontId="7" fillId="0" borderId="23" xfId="0" applyNumberFormat="1" applyFont="1" applyBorder="1" applyAlignment="1">
      <alignment horizontal="left" vertical="top" wrapText="1" shrinkToFit="1"/>
    </xf>
    <xf numFmtId="0" fontId="0" fillId="0" borderId="23" xfId="0" applyFont="1" applyBorder="1" applyAlignment="1">
      <alignment horizontal="center" vertical="center" wrapText="1"/>
    </xf>
    <xf numFmtId="0" fontId="0" fillId="0" borderId="7" xfId="0" applyFont="1" applyBorder="1">
      <alignment vertical="center"/>
    </xf>
    <xf numFmtId="0" fontId="0" fillId="0" borderId="3" xfId="0" applyFont="1" applyBorder="1" applyAlignment="1">
      <alignment horizontal="center" vertical="center"/>
    </xf>
    <xf numFmtId="0" fontId="0" fillId="0" borderId="5" xfId="0" applyFont="1" applyBorder="1" applyAlignment="1">
      <alignment horizontal="center" vertical="center"/>
    </xf>
    <xf numFmtId="0" fontId="0" fillId="0" borderId="7" xfId="0" applyFont="1" applyBorder="1" applyAlignment="1">
      <alignment horizontal="center" vertical="center"/>
    </xf>
    <xf numFmtId="0" fontId="46" fillId="0" borderId="4" xfId="0" applyFont="1" applyBorder="1">
      <alignment vertical="center"/>
    </xf>
    <xf numFmtId="0" fontId="46" fillId="0" borderId="5" xfId="0" applyFont="1" applyBorder="1">
      <alignment vertical="center"/>
    </xf>
    <xf numFmtId="0" fontId="46" fillId="0" borderId="13" xfId="0" applyNumberFormat="1" applyFont="1" applyFill="1" applyBorder="1" applyAlignment="1">
      <alignment vertical="center" shrinkToFit="1"/>
    </xf>
    <xf numFmtId="0" fontId="46" fillId="0" borderId="30" xfId="0" applyNumberFormat="1" applyFont="1" applyFill="1" applyBorder="1" applyAlignment="1">
      <alignment vertical="center" shrinkToFit="1"/>
    </xf>
    <xf numFmtId="0" fontId="46" fillId="0" borderId="49" xfId="0" applyFont="1" applyBorder="1">
      <alignment vertical="center"/>
    </xf>
    <xf numFmtId="0" fontId="46" fillId="0" borderId="48" xfId="0" applyFont="1" applyBorder="1">
      <alignment vertical="center"/>
    </xf>
    <xf numFmtId="49" fontId="46" fillId="0" borderId="31" xfId="0" applyNumberFormat="1" applyFont="1" applyFill="1" applyBorder="1" applyAlignment="1">
      <alignment vertical="center"/>
    </xf>
    <xf numFmtId="49" fontId="46" fillId="0" borderId="53" xfId="0" applyNumberFormat="1" applyFont="1" applyFill="1" applyBorder="1" applyAlignment="1">
      <alignment vertical="center"/>
    </xf>
    <xf numFmtId="49" fontId="46" fillId="0" borderId="32" xfId="0" applyNumberFormat="1" applyFont="1" applyFill="1" applyBorder="1" applyAlignment="1">
      <alignment vertical="center"/>
    </xf>
    <xf numFmtId="49" fontId="46" fillId="0" borderId="0" xfId="0" applyNumberFormat="1" applyFont="1" applyFill="1" applyBorder="1" applyAlignment="1">
      <alignment vertical="center" shrinkToFit="1"/>
    </xf>
    <xf numFmtId="49" fontId="46" fillId="0" borderId="56" xfId="0" applyNumberFormat="1" applyFont="1" applyFill="1" applyBorder="1" applyAlignment="1">
      <alignment vertical="center" shrinkToFit="1"/>
    </xf>
    <xf numFmtId="49" fontId="46" fillId="0" borderId="8" xfId="0" applyNumberFormat="1" applyFont="1" applyFill="1" applyBorder="1" applyAlignment="1">
      <alignment horizontal="center" vertical="center" shrinkToFit="1"/>
    </xf>
    <xf numFmtId="49" fontId="46" fillId="0" borderId="47" xfId="0" applyNumberFormat="1" applyFont="1" applyFill="1" applyBorder="1" applyAlignment="1">
      <alignment vertical="center"/>
    </xf>
    <xf numFmtId="0" fontId="50" fillId="0" borderId="8" xfId="0" applyNumberFormat="1" applyFont="1" applyFill="1" applyBorder="1" applyAlignment="1">
      <alignment horizontal="center" vertical="center" shrinkToFit="1"/>
    </xf>
    <xf numFmtId="49" fontId="46" fillId="0" borderId="14" xfId="0" applyNumberFormat="1" applyFont="1" applyFill="1" applyBorder="1" applyAlignment="1">
      <alignment horizontal="right" vertical="center" shrinkToFit="1"/>
    </xf>
    <xf numFmtId="49" fontId="46" fillId="0" borderId="29" xfId="0" applyNumberFormat="1" applyFont="1" applyFill="1" applyBorder="1" applyAlignment="1">
      <alignment horizontal="right" vertical="center" shrinkToFit="1"/>
    </xf>
    <xf numFmtId="49" fontId="46" fillId="0" borderId="12" xfId="0" applyNumberFormat="1" applyFont="1" applyFill="1" applyBorder="1" applyAlignment="1">
      <alignment horizontal="right" vertical="center"/>
    </xf>
    <xf numFmtId="49" fontId="46" fillId="0" borderId="10" xfId="0" applyNumberFormat="1" applyFont="1" applyFill="1" applyBorder="1" applyAlignment="1">
      <alignment horizontal="right" vertical="center"/>
    </xf>
    <xf numFmtId="49" fontId="46" fillId="0" borderId="29" xfId="0" applyNumberFormat="1" applyFont="1" applyFill="1" applyBorder="1" applyAlignment="1">
      <alignment horizontal="right" vertical="center"/>
    </xf>
    <xf numFmtId="49" fontId="46" fillId="0" borderId="32" xfId="0" applyNumberFormat="1" applyFont="1" applyFill="1" applyBorder="1" applyAlignment="1">
      <alignment horizontal="right" vertical="center"/>
    </xf>
    <xf numFmtId="0" fontId="47" fillId="0" borderId="5" xfId="0" applyFont="1" applyBorder="1">
      <alignment vertical="center"/>
    </xf>
    <xf numFmtId="0" fontId="47" fillId="0" borderId="3" xfId="0" applyFont="1" applyBorder="1" applyAlignment="1">
      <alignment horizontal="center" vertical="center"/>
    </xf>
    <xf numFmtId="0" fontId="47" fillId="0" borderId="3" xfId="0" applyNumberFormat="1" applyFont="1" applyFill="1" applyBorder="1" applyAlignment="1">
      <alignment horizontal="center" vertical="top" shrinkToFit="1"/>
    </xf>
    <xf numFmtId="0" fontId="47" fillId="0" borderId="3" xfId="0" applyFont="1" applyBorder="1" applyAlignment="1">
      <alignment horizontal="center" vertical="center" wrapText="1"/>
    </xf>
    <xf numFmtId="0" fontId="47" fillId="0" borderId="4" xfId="0" applyFont="1" applyBorder="1" applyAlignment="1">
      <alignment horizontal="center" vertical="center"/>
    </xf>
    <xf numFmtId="0" fontId="47" fillId="0" borderId="4" xfId="0" applyNumberFormat="1" applyFont="1" applyFill="1" applyBorder="1" applyAlignment="1">
      <alignment horizontal="center" vertical="top" shrinkToFit="1"/>
    </xf>
    <xf numFmtId="0" fontId="47" fillId="0" borderId="4" xfId="0" applyFont="1" applyBorder="1" applyAlignment="1">
      <alignment horizontal="center" vertical="center" wrapText="1"/>
    </xf>
    <xf numFmtId="0" fontId="47" fillId="0" borderId="5" xfId="0" applyFont="1" applyBorder="1" applyAlignment="1">
      <alignment horizontal="center" vertical="center"/>
    </xf>
    <xf numFmtId="0" fontId="47" fillId="0" borderId="5" xfId="0" applyNumberFormat="1" applyFont="1" applyFill="1" applyBorder="1" applyAlignment="1">
      <alignment horizontal="center" vertical="top" shrinkToFit="1"/>
    </xf>
    <xf numFmtId="0" fontId="47" fillId="0" borderId="5" xfId="0" applyFont="1" applyBorder="1" applyAlignment="1">
      <alignment horizontal="center" vertical="center" wrapText="1"/>
    </xf>
    <xf numFmtId="0" fontId="47" fillId="0" borderId="4" xfId="0" applyFont="1" applyFill="1" applyBorder="1" applyAlignment="1">
      <alignment horizontal="center" vertical="center" shrinkToFit="1"/>
    </xf>
    <xf numFmtId="0" fontId="47" fillId="0" borderId="2" xfId="0" applyFont="1" applyBorder="1" applyAlignment="1">
      <alignment horizontal="center" vertical="center"/>
    </xf>
    <xf numFmtId="0" fontId="47" fillId="0" borderId="2" xfId="0" applyNumberFormat="1" applyFont="1" applyFill="1" applyBorder="1" applyAlignment="1">
      <alignment horizontal="left" vertical="center" shrinkToFit="1"/>
    </xf>
    <xf numFmtId="0" fontId="47" fillId="0" borderId="27" xfId="0" applyFont="1" applyFill="1" applyBorder="1" applyAlignment="1">
      <alignment horizontal="left" vertical="center" shrinkToFit="1"/>
    </xf>
    <xf numFmtId="0" fontId="47" fillId="0" borderId="28" xfId="0" applyFont="1" applyFill="1" applyBorder="1" applyAlignment="1">
      <alignment horizontal="left" vertical="center" shrinkToFit="1"/>
    </xf>
    <xf numFmtId="0" fontId="47" fillId="0" borderId="31" xfId="0" applyFont="1" applyFill="1" applyBorder="1" applyAlignment="1">
      <alignment horizontal="left" vertical="center" shrinkToFit="1"/>
    </xf>
    <xf numFmtId="0" fontId="47" fillId="0" borderId="25" xfId="0" applyFont="1" applyFill="1" applyBorder="1" applyAlignment="1">
      <alignment horizontal="left" vertical="center" shrinkToFit="1"/>
    </xf>
    <xf numFmtId="0" fontId="47" fillId="0" borderId="12" xfId="0" applyFont="1" applyFill="1" applyBorder="1" applyAlignment="1">
      <alignment horizontal="left" vertical="center" shrinkToFit="1"/>
    </xf>
    <xf numFmtId="0" fontId="47" fillId="0" borderId="10" xfId="0" applyFont="1" applyFill="1" applyBorder="1" applyAlignment="1">
      <alignment horizontal="left" vertical="center" shrinkToFit="1"/>
    </xf>
    <xf numFmtId="0" fontId="47" fillId="0" borderId="32" xfId="0" applyFont="1" applyFill="1" applyBorder="1" applyAlignment="1">
      <alignment horizontal="left" vertical="center" shrinkToFit="1"/>
    </xf>
    <xf numFmtId="0" fontId="47" fillId="0" borderId="21" xfId="0" applyFont="1" applyFill="1" applyBorder="1" applyAlignment="1">
      <alignment horizontal="left" vertical="center" shrinkToFit="1"/>
    </xf>
    <xf numFmtId="0" fontId="47" fillId="0" borderId="27" xfId="0" applyFont="1" applyFill="1" applyBorder="1" applyAlignment="1">
      <alignment vertical="center" shrinkToFit="1"/>
    </xf>
    <xf numFmtId="0" fontId="47" fillId="0" borderId="12" xfId="0" applyFont="1" applyFill="1" applyBorder="1" applyAlignment="1">
      <alignment vertical="center" shrinkToFit="1"/>
    </xf>
    <xf numFmtId="0" fontId="47" fillId="0" borderId="28" xfId="0" applyFont="1" applyFill="1" applyBorder="1" applyAlignment="1">
      <alignment vertical="center" shrinkToFit="1"/>
    </xf>
    <xf numFmtId="0" fontId="47" fillId="0" borderId="10" xfId="0" applyFont="1" applyFill="1" applyBorder="1" applyAlignment="1">
      <alignment vertical="center" shrinkToFit="1"/>
    </xf>
    <xf numFmtId="0" fontId="47" fillId="0" borderId="31" xfId="0" applyFont="1" applyFill="1" applyBorder="1" applyAlignment="1">
      <alignment vertical="center" shrinkToFit="1"/>
    </xf>
    <xf numFmtId="0" fontId="47" fillId="0" borderId="32" xfId="0" applyFont="1" applyFill="1" applyBorder="1" applyAlignment="1">
      <alignment vertical="center" shrinkToFit="1"/>
    </xf>
    <xf numFmtId="0" fontId="37" fillId="0" borderId="8" xfId="89" applyBorder="1" applyAlignment="1" applyProtection="1">
      <alignment horizontal="center" vertical="center"/>
    </xf>
    <xf numFmtId="0" fontId="50" fillId="0" borderId="19" xfId="0" applyFont="1" applyFill="1" applyBorder="1" applyAlignment="1">
      <alignment horizontal="center" vertical="center" shrinkToFit="1"/>
    </xf>
    <xf numFmtId="0" fontId="58" fillId="0" borderId="3" xfId="0" applyFont="1" applyBorder="1">
      <alignment vertical="center"/>
    </xf>
    <xf numFmtId="0" fontId="58" fillId="0" borderId="3" xfId="0" applyFont="1" applyFill="1" applyBorder="1" applyAlignment="1">
      <alignment horizontal="center" vertical="center" shrinkToFit="1"/>
    </xf>
    <xf numFmtId="0" fontId="58" fillId="0" borderId="3" xfId="0" applyNumberFormat="1" applyFont="1" applyFill="1" applyBorder="1" applyAlignment="1">
      <alignment horizontal="center" vertical="center" shrinkToFit="1"/>
    </xf>
    <xf numFmtId="0" fontId="58" fillId="0" borderId="17" xfId="0" applyNumberFormat="1" applyFont="1" applyFill="1" applyBorder="1" applyAlignment="1">
      <alignment horizontal="center" vertical="center" shrinkToFit="1"/>
    </xf>
    <xf numFmtId="0" fontId="58" fillId="0" borderId="4" xfId="0" applyFont="1" applyBorder="1">
      <alignment vertical="center"/>
    </xf>
    <xf numFmtId="0" fontId="58" fillId="0" borderId="4" xfId="0" applyFont="1" applyFill="1" applyBorder="1" applyAlignment="1">
      <alignment horizontal="center" vertical="center" shrinkToFit="1"/>
    </xf>
    <xf numFmtId="0" fontId="58" fillId="0" borderId="4" xfId="0" applyNumberFormat="1" applyFont="1" applyFill="1" applyBorder="1" applyAlignment="1">
      <alignment horizontal="center" vertical="center" shrinkToFit="1"/>
    </xf>
    <xf numFmtId="0" fontId="58" fillId="0" borderId="16" xfId="0" applyNumberFormat="1" applyFont="1" applyFill="1" applyBorder="1" applyAlignment="1">
      <alignment horizontal="center" vertical="center" shrinkToFit="1"/>
    </xf>
    <xf numFmtId="0" fontId="58" fillId="0" borderId="5" xfId="0" applyFont="1" applyBorder="1">
      <alignment vertical="center"/>
    </xf>
    <xf numFmtId="0" fontId="58" fillId="0" borderId="5" xfId="0" applyFont="1" applyFill="1" applyBorder="1" applyAlignment="1">
      <alignment horizontal="center" vertical="center" shrinkToFit="1"/>
    </xf>
    <xf numFmtId="0" fontId="58" fillId="0" borderId="5" xfId="0" applyNumberFormat="1" applyFont="1" applyFill="1" applyBorder="1" applyAlignment="1">
      <alignment horizontal="center" vertical="center" shrinkToFit="1"/>
    </xf>
    <xf numFmtId="0" fontId="58" fillId="0" borderId="18" xfId="0" applyNumberFormat="1" applyFont="1" applyFill="1" applyBorder="1" applyAlignment="1">
      <alignment horizontal="center" vertical="center" shrinkToFit="1"/>
    </xf>
    <xf numFmtId="0" fontId="58" fillId="0" borderId="2" xfId="0" applyFont="1" applyBorder="1">
      <alignment vertical="center"/>
    </xf>
    <xf numFmtId="0" fontId="58" fillId="0" borderId="2" xfId="0" applyNumberFormat="1" applyFont="1" applyFill="1" applyBorder="1" applyAlignment="1">
      <alignment horizontal="center" vertical="center" shrinkToFit="1"/>
    </xf>
    <xf numFmtId="0" fontId="58" fillId="0" borderId="16" xfId="0" applyFont="1" applyBorder="1">
      <alignment vertical="center"/>
    </xf>
    <xf numFmtId="0" fontId="59" fillId="0" borderId="5" xfId="0" applyNumberFormat="1" applyFont="1" applyFill="1" applyBorder="1" applyAlignment="1">
      <alignment horizontal="center" vertical="center" shrinkToFit="1"/>
    </xf>
    <xf numFmtId="0" fontId="58" fillId="0" borderId="6" xfId="0" applyFont="1" applyBorder="1">
      <alignment vertical="center"/>
    </xf>
    <xf numFmtId="0" fontId="58" fillId="0" borderId="6" xfId="0" applyNumberFormat="1" applyFont="1" applyFill="1" applyBorder="1" applyAlignment="1">
      <alignment horizontal="center" vertical="center" shrinkToFit="1"/>
    </xf>
    <xf numFmtId="49" fontId="9" fillId="0" borderId="0" xfId="0" applyNumberFormat="1" applyFont="1">
      <alignment vertical="center"/>
    </xf>
    <xf numFmtId="49" fontId="50" fillId="0" borderId="26" xfId="0" applyNumberFormat="1" applyFont="1" applyFill="1" applyBorder="1" applyAlignment="1">
      <alignment vertical="center" shrinkToFit="1"/>
    </xf>
    <xf numFmtId="49" fontId="50" fillId="0" borderId="20" xfId="0" applyNumberFormat="1" applyFont="1" applyFill="1" applyBorder="1" applyAlignment="1">
      <alignment vertical="center" shrinkToFit="1"/>
    </xf>
    <xf numFmtId="0" fontId="58" fillId="0" borderId="27" xfId="0" applyNumberFormat="1" applyFont="1" applyFill="1" applyBorder="1" applyAlignment="1">
      <alignment horizontal="left" vertical="center" shrinkToFit="1"/>
    </xf>
    <xf numFmtId="49" fontId="58" fillId="0" borderId="51" xfId="0" applyNumberFormat="1" applyFont="1" applyFill="1" applyBorder="1" applyAlignment="1">
      <alignment horizontal="left" vertical="center" shrinkToFit="1"/>
    </xf>
    <xf numFmtId="0" fontId="58" fillId="0" borderId="28" xfId="0" applyNumberFormat="1" applyFont="1" applyFill="1" applyBorder="1" applyAlignment="1">
      <alignment horizontal="left" vertical="center" shrinkToFit="1"/>
    </xf>
    <xf numFmtId="49" fontId="58" fillId="0" borderId="52" xfId="0" applyNumberFormat="1" applyFont="1" applyFill="1" applyBorder="1" applyAlignment="1">
      <alignment horizontal="left" vertical="center" shrinkToFit="1"/>
    </xf>
    <xf numFmtId="0" fontId="58" fillId="0" borderId="31" xfId="0" applyNumberFormat="1" applyFont="1" applyFill="1" applyBorder="1" applyAlignment="1">
      <alignment horizontal="left" vertical="center" shrinkToFit="1"/>
    </xf>
    <xf numFmtId="49" fontId="58" fillId="0" borderId="53" xfId="0" applyNumberFormat="1" applyFont="1" applyFill="1" applyBorder="1" applyAlignment="1">
      <alignment horizontal="left" vertical="center" shrinkToFit="1"/>
    </xf>
    <xf numFmtId="49" fontId="58" fillId="0" borderId="26" xfId="0" applyNumberFormat="1" applyFont="1" applyBorder="1">
      <alignment vertical="center"/>
    </xf>
    <xf numFmtId="0" fontId="58" fillId="0" borderId="28" xfId="0" applyNumberFormat="1" applyFont="1" applyFill="1" applyBorder="1" applyAlignment="1">
      <alignment horizontal="left" vertical="center"/>
    </xf>
    <xf numFmtId="49" fontId="58" fillId="0" borderId="52" xfId="0" applyNumberFormat="1" applyFont="1" applyFill="1" applyBorder="1" applyAlignment="1">
      <alignment horizontal="left" vertical="center"/>
    </xf>
    <xf numFmtId="0" fontId="58" fillId="0" borderId="30" xfId="0" applyNumberFormat="1" applyFont="1" applyFill="1" applyBorder="1" applyAlignment="1">
      <alignment horizontal="left" vertical="center" shrinkToFit="1"/>
    </xf>
    <xf numFmtId="49" fontId="58" fillId="0" borderId="56" xfId="0" applyNumberFormat="1" applyFont="1" applyFill="1" applyBorder="1" applyAlignment="1">
      <alignment horizontal="left" vertical="center" shrinkToFit="1"/>
    </xf>
    <xf numFmtId="0" fontId="47" fillId="0" borderId="30" xfId="0" applyNumberFormat="1" applyFont="1" applyFill="1" applyBorder="1" applyAlignment="1">
      <alignment horizontal="left" vertical="center" shrinkToFit="1"/>
    </xf>
    <xf numFmtId="49" fontId="47" fillId="0" borderId="56" xfId="0" applyNumberFormat="1" applyFont="1" applyFill="1" applyBorder="1" applyAlignment="1">
      <alignment horizontal="left" vertical="center" shrinkToFit="1"/>
    </xf>
    <xf numFmtId="0" fontId="47" fillId="0" borderId="27" xfId="0" applyFont="1" applyFill="1" applyBorder="1" applyAlignment="1">
      <alignment horizontal="left" vertical="center"/>
    </xf>
    <xf numFmtId="49" fontId="47" fillId="0" borderId="51" xfId="0" applyNumberFormat="1" applyFont="1" applyFill="1" applyBorder="1" applyAlignment="1">
      <alignment horizontal="left" vertical="center"/>
    </xf>
    <xf numFmtId="0" fontId="47" fillId="0" borderId="28" xfId="0" applyFont="1" applyFill="1" applyBorder="1" applyAlignment="1">
      <alignment horizontal="left" vertical="center"/>
    </xf>
    <xf numFmtId="49" fontId="47" fillId="0" borderId="52" xfId="0" applyNumberFormat="1" applyFont="1" applyFill="1" applyBorder="1" applyAlignment="1">
      <alignment horizontal="left" vertical="center"/>
    </xf>
    <xf numFmtId="0" fontId="47" fillId="0" borderId="31" xfId="0" applyFont="1" applyFill="1" applyBorder="1" applyAlignment="1">
      <alignment horizontal="left" vertical="center"/>
    </xf>
    <xf numFmtId="49" fontId="47" fillId="0" borderId="53" xfId="0" applyNumberFormat="1" applyFont="1" applyFill="1" applyBorder="1" applyAlignment="1">
      <alignment horizontal="left" vertical="center"/>
    </xf>
    <xf numFmtId="49" fontId="47" fillId="0" borderId="56" xfId="0" applyNumberFormat="1" applyFont="1" applyFill="1" applyBorder="1" applyAlignment="1">
      <alignment horizontal="left" vertical="center" wrapText="1" shrinkToFit="1"/>
    </xf>
    <xf numFmtId="0" fontId="58" fillId="0" borderId="23" xfId="0" applyFont="1" applyBorder="1">
      <alignment vertical="center"/>
    </xf>
    <xf numFmtId="49" fontId="47" fillId="0" borderId="0" xfId="0" applyNumberFormat="1" applyFont="1" applyFill="1" applyBorder="1" applyAlignment="1">
      <alignment horizontal="left" vertical="center" wrapText="1" shrinkToFit="1"/>
    </xf>
    <xf numFmtId="0" fontId="58" fillId="0" borderId="7" xfId="0" applyFont="1" applyBorder="1">
      <alignment vertical="center"/>
    </xf>
    <xf numFmtId="49" fontId="47" fillId="0" borderId="50" xfId="0" applyNumberFormat="1" applyFont="1" applyFill="1" applyBorder="1" applyAlignment="1">
      <alignment horizontal="left" vertical="center" wrapText="1" shrinkToFit="1"/>
    </xf>
    <xf numFmtId="0" fontId="58" fillId="0" borderId="8" xfId="0" applyFont="1" applyBorder="1">
      <alignment vertical="center"/>
    </xf>
    <xf numFmtId="49" fontId="47" fillId="0" borderId="57" xfId="0" applyNumberFormat="1" applyFont="1" applyFill="1" applyBorder="1" applyAlignment="1">
      <alignment horizontal="left" vertical="center" wrapText="1" shrinkToFit="1"/>
    </xf>
    <xf numFmtId="0" fontId="58" fillId="0" borderId="9" xfId="0" applyFont="1" applyBorder="1">
      <alignment vertical="center"/>
    </xf>
    <xf numFmtId="49" fontId="58" fillId="0" borderId="20" xfId="0" applyNumberFormat="1" applyFont="1" applyFill="1" applyBorder="1" applyAlignment="1">
      <alignment horizontal="left" vertical="center" wrapText="1" shrinkToFit="1"/>
    </xf>
    <xf numFmtId="0" fontId="58" fillId="0" borderId="9" xfId="0" applyNumberFormat="1" applyFont="1" applyFill="1" applyBorder="1" applyAlignment="1">
      <alignment horizontal="center" vertical="center" shrinkToFit="1"/>
    </xf>
    <xf numFmtId="49" fontId="58" fillId="0" borderId="57" xfId="0" applyNumberFormat="1" applyFont="1" applyFill="1" applyBorder="1" applyAlignment="1">
      <alignment horizontal="left" vertical="center" wrapText="1" shrinkToFit="1"/>
    </xf>
    <xf numFmtId="0" fontId="58" fillId="0" borderId="8" xfId="0" applyNumberFormat="1" applyFont="1" applyFill="1" applyBorder="1" applyAlignment="1">
      <alignment horizontal="center" vertical="center" shrinkToFit="1"/>
    </xf>
    <xf numFmtId="49" fontId="50" fillId="0" borderId="21" xfId="0" applyNumberFormat="1" applyFont="1" applyFill="1" applyBorder="1" applyAlignment="1">
      <alignment horizontal="right" vertical="center" shrinkToFit="1"/>
    </xf>
    <xf numFmtId="49" fontId="50" fillId="0" borderId="15" xfId="0" applyNumberFormat="1" applyFont="1" applyFill="1" applyBorder="1" applyAlignment="1">
      <alignment horizontal="right" vertical="center" shrinkToFit="1"/>
    </xf>
    <xf numFmtId="49" fontId="58" fillId="0" borderId="12" xfId="0" applyNumberFormat="1" applyFont="1" applyFill="1" applyBorder="1" applyAlignment="1">
      <alignment horizontal="right" vertical="center" shrinkToFit="1"/>
    </xf>
    <xf numFmtId="49" fontId="58" fillId="0" borderId="10" xfId="0" applyNumberFormat="1" applyFont="1" applyFill="1" applyBorder="1" applyAlignment="1">
      <alignment horizontal="right" vertical="center" shrinkToFit="1"/>
    </xf>
    <xf numFmtId="49" fontId="58" fillId="0" borderId="32" xfId="0" applyNumberFormat="1" applyFont="1" applyFill="1" applyBorder="1" applyAlignment="1">
      <alignment horizontal="right" vertical="center" shrinkToFit="1"/>
    </xf>
    <xf numFmtId="49" fontId="58" fillId="0" borderId="21" xfId="0" applyNumberFormat="1" applyFont="1" applyBorder="1" applyAlignment="1">
      <alignment horizontal="right" vertical="center"/>
    </xf>
    <xf numFmtId="49" fontId="47" fillId="0" borderId="29" xfId="0" applyNumberFormat="1" applyFont="1" applyFill="1" applyBorder="1" applyAlignment="1">
      <alignment horizontal="right" vertical="center" wrapText="1" shrinkToFit="1"/>
    </xf>
    <xf numFmtId="49" fontId="47" fillId="0" borderId="14" xfId="0" applyNumberFormat="1" applyFont="1" applyFill="1" applyBorder="1" applyAlignment="1">
      <alignment horizontal="right" vertical="center" wrapText="1" shrinkToFit="1"/>
    </xf>
    <xf numFmtId="49" fontId="47" fillId="0" borderId="11" xfId="0" applyNumberFormat="1" applyFont="1" applyFill="1" applyBorder="1" applyAlignment="1">
      <alignment horizontal="right" vertical="center" wrapText="1" shrinkToFit="1"/>
    </xf>
    <xf numFmtId="49" fontId="47" fillId="0" borderId="22" xfId="0" applyNumberFormat="1" applyFont="1" applyFill="1" applyBorder="1" applyAlignment="1">
      <alignment horizontal="right" vertical="center" wrapText="1" shrinkToFit="1"/>
    </xf>
    <xf numFmtId="49" fontId="58" fillId="0" borderId="10" xfId="0" applyNumberFormat="1" applyFont="1" applyFill="1" applyBorder="1" applyAlignment="1">
      <alignment horizontal="right" vertical="center"/>
    </xf>
    <xf numFmtId="49" fontId="58" fillId="0" borderId="15" xfId="0" applyNumberFormat="1" applyFont="1" applyFill="1" applyBorder="1" applyAlignment="1">
      <alignment horizontal="right" vertical="center" wrapText="1" shrinkToFit="1"/>
    </xf>
    <xf numFmtId="49" fontId="58" fillId="0" borderId="11" xfId="0" applyNumberFormat="1" applyFont="1" applyFill="1" applyBorder="1" applyAlignment="1">
      <alignment horizontal="right" vertical="center" wrapText="1" shrinkToFit="1"/>
    </xf>
    <xf numFmtId="49" fontId="58" fillId="0" borderId="29" xfId="0" applyNumberFormat="1" applyFont="1" applyFill="1" applyBorder="1" applyAlignment="1">
      <alignment horizontal="right" vertical="center" shrinkToFit="1"/>
    </xf>
    <xf numFmtId="49" fontId="47" fillId="0" borderId="29" xfId="0" applyNumberFormat="1" applyFont="1" applyFill="1" applyBorder="1" applyAlignment="1">
      <alignment horizontal="right" vertical="center" shrinkToFit="1"/>
    </xf>
    <xf numFmtId="49" fontId="47" fillId="0" borderId="12" xfId="0" applyNumberFormat="1" applyFont="1" applyFill="1" applyBorder="1" applyAlignment="1">
      <alignment horizontal="right" vertical="center"/>
    </xf>
    <xf numFmtId="49" fontId="47" fillId="0" borderId="10" xfId="0" applyNumberFormat="1" applyFont="1" applyFill="1" applyBorder="1" applyAlignment="1">
      <alignment horizontal="right" vertical="center"/>
    </xf>
    <xf numFmtId="49" fontId="47" fillId="0" borderId="32" xfId="0" applyNumberFormat="1" applyFont="1" applyFill="1" applyBorder="1" applyAlignment="1">
      <alignment horizontal="right" vertical="center"/>
    </xf>
    <xf numFmtId="49" fontId="9" fillId="0" borderId="0" xfId="0" applyNumberFormat="1" applyFont="1" applyAlignment="1">
      <alignment horizontal="right" vertical="center"/>
    </xf>
    <xf numFmtId="0" fontId="50" fillId="0" borderId="25" xfId="0" applyNumberFormat="1" applyFont="1" applyFill="1" applyBorder="1" applyAlignment="1">
      <alignment horizontal="left" vertical="center" shrinkToFit="1"/>
    </xf>
    <xf numFmtId="0" fontId="50" fillId="0" borderId="1" xfId="0" applyNumberFormat="1" applyFont="1" applyFill="1" applyBorder="1" applyAlignment="1">
      <alignment horizontal="left" vertical="center" shrinkToFit="1"/>
    </xf>
    <xf numFmtId="0" fontId="58" fillId="0" borderId="25" xfId="0" applyFont="1" applyBorder="1" applyAlignment="1">
      <alignment horizontal="left" vertical="center"/>
    </xf>
    <xf numFmtId="0" fontId="9" fillId="0" borderId="0" xfId="0" applyFont="1" applyAlignment="1">
      <alignment horizontal="left" vertical="center"/>
    </xf>
    <xf numFmtId="0" fontId="58" fillId="0" borderId="2" xfId="0" applyFont="1" applyFill="1" applyBorder="1" applyAlignment="1">
      <alignment horizontal="center" vertical="center" wrapText="1" shrinkToFit="1"/>
    </xf>
    <xf numFmtId="0" fontId="0" fillId="28" borderId="2" xfId="0" applyFont="1" applyFill="1" applyBorder="1">
      <alignment vertical="center"/>
    </xf>
    <xf numFmtId="0" fontId="47" fillId="0" borderId="16" xfId="0" applyNumberFormat="1" applyFont="1" applyFill="1" applyBorder="1" applyAlignment="1">
      <alignment horizontal="center" vertical="center" shrinkToFit="1"/>
    </xf>
    <xf numFmtId="0" fontId="47" fillId="0" borderId="18" xfId="0" applyNumberFormat="1" applyFont="1" applyFill="1" applyBorder="1" applyAlignment="1">
      <alignment horizontal="center" vertical="center" shrinkToFit="1"/>
    </xf>
    <xf numFmtId="0" fontId="47" fillId="0" borderId="23" xfId="0" applyFont="1" applyBorder="1">
      <alignment vertical="center"/>
    </xf>
    <xf numFmtId="0" fontId="47" fillId="0" borderId="6" xfId="0" applyFont="1" applyBorder="1" applyAlignment="1">
      <alignment vertical="center"/>
    </xf>
    <xf numFmtId="0" fontId="47" fillId="0" borderId="23" xfId="0" applyFont="1" applyBorder="1" applyAlignment="1">
      <alignment vertical="center"/>
    </xf>
    <xf numFmtId="49" fontId="50" fillId="0" borderId="20" xfId="0" applyNumberFormat="1" applyFont="1" applyFill="1" applyBorder="1" applyAlignment="1">
      <alignment horizontal="left" vertical="center" shrinkToFit="1"/>
    </xf>
    <xf numFmtId="49" fontId="47" fillId="0" borderId="51" xfId="0" applyNumberFormat="1" applyFont="1" applyFill="1" applyBorder="1" applyAlignment="1">
      <alignment horizontal="left" vertical="center" shrinkToFit="1"/>
    </xf>
    <xf numFmtId="49" fontId="47" fillId="0" borderId="52" xfId="0" applyNumberFormat="1" applyFont="1" applyFill="1" applyBorder="1" applyAlignment="1">
      <alignment horizontal="left" vertical="center" shrinkToFit="1"/>
    </xf>
    <xf numFmtId="49" fontId="47" fillId="0" borderId="53" xfId="0" applyNumberFormat="1" applyFont="1" applyFill="1" applyBorder="1" applyAlignment="1">
      <alignment horizontal="left" vertical="center" shrinkToFit="1"/>
    </xf>
    <xf numFmtId="49" fontId="47" fillId="0" borderId="26" xfId="0" applyNumberFormat="1" applyFont="1" applyBorder="1">
      <alignment vertical="center"/>
    </xf>
    <xf numFmtId="49" fontId="47" fillId="0" borderId="0" xfId="0" applyNumberFormat="1" applyFont="1" applyFill="1" applyBorder="1" applyAlignment="1">
      <alignment horizontal="center" vertical="center" wrapText="1" shrinkToFit="1"/>
    </xf>
    <xf numFmtId="0" fontId="47" fillId="0" borderId="47" xfId="0" applyNumberFormat="1" applyFont="1" applyFill="1" applyBorder="1" applyAlignment="1">
      <alignment horizontal="left" vertical="center" shrinkToFit="1"/>
    </xf>
    <xf numFmtId="49" fontId="47" fillId="0" borderId="57" xfId="0" applyNumberFormat="1" applyFont="1" applyFill="1" applyBorder="1" applyAlignment="1">
      <alignment horizontal="left" vertical="center" shrinkToFit="1"/>
    </xf>
    <xf numFmtId="0" fontId="47" fillId="0" borderId="7" xfId="0" applyFont="1" applyBorder="1">
      <alignment vertical="center"/>
    </xf>
    <xf numFmtId="0" fontId="47" fillId="0" borderId="9" xfId="0" applyFont="1" applyBorder="1">
      <alignment vertical="center"/>
    </xf>
    <xf numFmtId="0" fontId="47" fillId="0" borderId="25" xfId="0" applyFont="1" applyBorder="1" applyAlignment="1">
      <alignment horizontal="left" vertical="center"/>
    </xf>
    <xf numFmtId="49" fontId="47" fillId="0" borderId="21" xfId="0" applyNumberFormat="1" applyFont="1" applyBorder="1" applyAlignment="1">
      <alignment horizontal="right" vertical="center"/>
    </xf>
    <xf numFmtId="49" fontId="47" fillId="0" borderId="11" xfId="0" applyNumberFormat="1" applyFont="1" applyFill="1" applyBorder="1" applyAlignment="1">
      <alignment horizontal="right" vertical="center" shrinkToFit="1"/>
    </xf>
    <xf numFmtId="0" fontId="8" fillId="0" borderId="2" xfId="0" applyNumberFormat="1" applyFont="1" applyFill="1" applyBorder="1" applyAlignment="1">
      <alignment horizontal="left" vertical="top" shrinkToFit="1"/>
    </xf>
    <xf numFmtId="0" fontId="41" fillId="2" borderId="2" xfId="0" applyFont="1" applyFill="1" applyBorder="1" applyAlignment="1">
      <alignment horizontal="center" vertical="center" shrinkToFit="1"/>
    </xf>
    <xf numFmtId="0" fontId="46" fillId="0" borderId="27" xfId="0" applyFont="1" applyBorder="1">
      <alignment vertical="center"/>
    </xf>
    <xf numFmtId="0" fontId="46" fillId="0" borderId="12" xfId="0" applyFont="1" applyBorder="1">
      <alignment vertical="center"/>
    </xf>
    <xf numFmtId="0" fontId="46" fillId="0" borderId="28" xfId="0" applyFont="1" applyBorder="1">
      <alignment vertical="center"/>
    </xf>
    <xf numFmtId="0" fontId="46" fillId="0" borderId="31" xfId="0" applyFont="1" applyBorder="1">
      <alignment vertical="center"/>
    </xf>
    <xf numFmtId="0" fontId="46" fillId="0" borderId="32" xfId="0" applyFont="1" applyBorder="1">
      <alignment vertical="center"/>
    </xf>
    <xf numFmtId="0" fontId="46" fillId="0" borderId="33" xfId="0" applyFont="1" applyBorder="1">
      <alignment vertical="center"/>
    </xf>
    <xf numFmtId="0" fontId="46" fillId="0" borderId="13" xfId="0" applyFont="1" applyBorder="1">
      <alignment vertical="center"/>
    </xf>
    <xf numFmtId="0" fontId="46" fillId="0" borderId="25" xfId="0" applyFont="1" applyBorder="1">
      <alignment vertical="center"/>
    </xf>
    <xf numFmtId="0" fontId="46" fillId="0" borderId="47" xfId="0" applyFont="1" applyBorder="1">
      <alignment vertical="center"/>
    </xf>
    <xf numFmtId="49" fontId="46" fillId="0" borderId="51" xfId="0" applyNumberFormat="1" applyFont="1" applyBorder="1">
      <alignment vertical="center"/>
    </xf>
    <xf numFmtId="49" fontId="46" fillId="0" borderId="12" xfId="0" applyNumberFormat="1" applyFont="1" applyBorder="1">
      <alignment vertical="center"/>
    </xf>
    <xf numFmtId="49" fontId="46" fillId="0" borderId="52" xfId="0" applyNumberFormat="1" applyFont="1" applyBorder="1">
      <alignment vertical="center"/>
    </xf>
    <xf numFmtId="49" fontId="46" fillId="0" borderId="10" xfId="0" applyNumberFormat="1" applyFont="1" applyBorder="1">
      <alignment vertical="center"/>
    </xf>
    <xf numFmtId="49" fontId="46" fillId="0" borderId="0" xfId="0" applyNumberFormat="1" applyFont="1" applyBorder="1">
      <alignment vertical="center"/>
    </xf>
    <xf numFmtId="49" fontId="46" fillId="0" borderId="14" xfId="0" applyNumberFormat="1" applyFont="1" applyBorder="1">
      <alignment vertical="center"/>
    </xf>
    <xf numFmtId="49" fontId="46" fillId="0" borderId="26" xfId="0" applyNumberFormat="1" applyFont="1" applyBorder="1">
      <alignment vertical="center"/>
    </xf>
    <xf numFmtId="49" fontId="46" fillId="0" borderId="21" xfId="0" applyNumberFormat="1" applyFont="1" applyBorder="1">
      <alignment vertical="center"/>
    </xf>
    <xf numFmtId="49" fontId="46" fillId="0" borderId="53" xfId="0" applyNumberFormat="1" applyFont="1" applyBorder="1">
      <alignment vertical="center"/>
    </xf>
    <xf numFmtId="49" fontId="46" fillId="0" borderId="32" xfId="0" applyNumberFormat="1" applyFont="1" applyBorder="1">
      <alignment vertical="center"/>
    </xf>
    <xf numFmtId="0" fontId="0" fillId="0" borderId="27" xfId="0" applyFont="1" applyBorder="1">
      <alignment vertical="center"/>
    </xf>
    <xf numFmtId="0" fontId="0" fillId="0" borderId="6" xfId="0" applyFont="1" applyBorder="1">
      <alignment vertical="center"/>
    </xf>
    <xf numFmtId="0" fontId="0" fillId="0" borderId="2" xfId="0" applyFont="1" applyBorder="1">
      <alignment vertical="center"/>
    </xf>
    <xf numFmtId="0" fontId="0" fillId="0" borderId="31" xfId="0" applyFont="1" applyBorder="1">
      <alignment vertical="center"/>
    </xf>
    <xf numFmtId="0" fontId="0" fillId="0" borderId="28" xfId="0" applyFont="1" applyBorder="1">
      <alignment vertical="center"/>
    </xf>
    <xf numFmtId="17" fontId="51" fillId="0" borderId="2" xfId="0" applyNumberFormat="1" applyFont="1" applyFill="1" applyBorder="1" applyAlignment="1">
      <alignment horizontal="center" vertical="center"/>
    </xf>
    <xf numFmtId="0" fontId="43" fillId="0" borderId="4" xfId="0" applyNumberFormat="1" applyFont="1" applyFill="1" applyBorder="1" applyAlignment="1">
      <alignment horizontal="center" vertical="center" shrinkToFit="1"/>
    </xf>
    <xf numFmtId="0" fontId="43" fillId="0" borderId="4" xfId="0" applyNumberFormat="1" applyFont="1" applyFill="1" applyBorder="1" applyAlignment="1">
      <alignment vertical="center" shrinkToFit="1"/>
    </xf>
    <xf numFmtId="0" fontId="43" fillId="25" borderId="4" xfId="0" applyNumberFormat="1" applyFont="1" applyFill="1" applyBorder="1" applyAlignment="1">
      <alignment vertical="center" shrinkToFit="1"/>
    </xf>
    <xf numFmtId="0" fontId="50" fillId="0" borderId="27" xfId="0" applyNumberFormat="1" applyFont="1" applyFill="1" applyBorder="1" applyAlignment="1">
      <alignment vertical="center" shrinkToFit="1"/>
    </xf>
    <xf numFmtId="0" fontId="50" fillId="0" borderId="28" xfId="0" applyNumberFormat="1" applyFont="1" applyFill="1" applyBorder="1" applyAlignment="1">
      <alignment vertical="center" wrapText="1" shrinkToFit="1"/>
    </xf>
    <xf numFmtId="0" fontId="50" fillId="0" borderId="28" xfId="0" applyNumberFormat="1" applyFont="1" applyFill="1" applyBorder="1" applyAlignment="1">
      <alignment vertical="center" shrinkToFit="1"/>
    </xf>
    <xf numFmtId="0" fontId="0" fillId="0" borderId="8" xfId="0" applyNumberFormat="1" applyFont="1" applyBorder="1" applyAlignment="1">
      <alignment horizontal="left" vertical="top" shrinkToFit="1"/>
    </xf>
    <xf numFmtId="49" fontId="46" fillId="0" borderId="47" xfId="0" applyNumberFormat="1" applyFont="1" applyFill="1" applyBorder="1" applyAlignment="1">
      <alignment vertical="center" shrinkToFit="1"/>
    </xf>
    <xf numFmtId="49" fontId="46" fillId="0" borderId="56" xfId="0" applyNumberFormat="1" applyFont="1" applyFill="1" applyBorder="1" applyAlignment="1">
      <alignment horizontal="left" vertical="center" shrinkToFit="1"/>
    </xf>
    <xf numFmtId="49" fontId="46" fillId="0" borderId="31" xfId="0" applyNumberFormat="1" applyFont="1" applyFill="1" applyBorder="1" applyAlignment="1">
      <alignment vertical="center" shrinkToFit="1"/>
    </xf>
    <xf numFmtId="49" fontId="46" fillId="0" borderId="28" xfId="0" applyNumberFormat="1" applyFont="1" applyFill="1" applyBorder="1" applyAlignment="1">
      <alignment vertical="center" shrinkToFit="1"/>
    </xf>
    <xf numFmtId="0" fontId="46" fillId="0" borderId="4" xfId="0" applyFont="1" applyBorder="1" applyAlignment="1">
      <alignment horizontal="center" vertical="center" shrinkToFit="1"/>
    </xf>
    <xf numFmtId="0" fontId="46" fillId="0" borderId="5" xfId="0" applyFont="1" applyFill="1" applyBorder="1" applyAlignment="1">
      <alignment horizontal="center" vertical="center" shrinkToFit="1"/>
    </xf>
    <xf numFmtId="0" fontId="46" fillId="0" borderId="3" xfId="0" applyFont="1" applyFill="1" applyBorder="1" applyAlignment="1">
      <alignment horizontal="center" vertical="center" shrinkToFit="1"/>
    </xf>
    <xf numFmtId="0" fontId="8" fillId="0" borderId="3" xfId="0" applyFont="1" applyBorder="1" applyAlignment="1">
      <alignment vertical="center" wrapText="1"/>
    </xf>
    <xf numFmtId="0" fontId="46" fillId="0" borderId="5" xfId="0" applyFont="1" applyBorder="1" applyAlignment="1">
      <alignment horizontal="center" vertical="center" shrinkToFit="1"/>
    </xf>
    <xf numFmtId="0" fontId="8" fillId="0" borderId="5" xfId="0" applyFont="1" applyBorder="1" applyAlignment="1">
      <alignment horizontal="left" vertical="center" wrapText="1"/>
    </xf>
    <xf numFmtId="49" fontId="46" fillId="0" borderId="51" xfId="0" applyNumberFormat="1" applyFont="1" applyBorder="1" applyAlignment="1">
      <alignment horizontal="center" vertical="center"/>
    </xf>
    <xf numFmtId="49" fontId="46" fillId="0" borderId="12" xfId="0" applyNumberFormat="1" applyFont="1" applyBorder="1" applyAlignment="1">
      <alignment horizontal="center" vertical="center"/>
    </xf>
    <xf numFmtId="49" fontId="46" fillId="0" borderId="52" xfId="0" applyNumberFormat="1" applyFont="1" applyBorder="1" applyAlignment="1">
      <alignment horizontal="center" vertical="center"/>
    </xf>
    <xf numFmtId="49" fontId="46" fillId="0" borderId="10" xfId="0" applyNumberFormat="1" applyFont="1" applyBorder="1" applyAlignment="1">
      <alignment horizontal="center" vertical="center"/>
    </xf>
    <xf numFmtId="49" fontId="46" fillId="0" borderId="53" xfId="0" applyNumberFormat="1" applyFont="1" applyBorder="1" applyAlignment="1">
      <alignment horizontal="center" vertical="center"/>
    </xf>
    <xf numFmtId="49" fontId="46" fillId="0" borderId="32" xfId="0" applyNumberFormat="1" applyFont="1" applyBorder="1" applyAlignment="1">
      <alignment horizontal="center" vertical="center"/>
    </xf>
    <xf numFmtId="49" fontId="46" fillId="0" borderId="51" xfId="0" applyNumberFormat="1" applyFont="1" applyFill="1" applyBorder="1" applyAlignment="1">
      <alignment horizontal="center" vertical="center"/>
    </xf>
    <xf numFmtId="49" fontId="46" fillId="0" borderId="12" xfId="0" applyNumberFormat="1" applyFont="1" applyFill="1" applyBorder="1" applyAlignment="1">
      <alignment horizontal="center" vertical="center"/>
    </xf>
    <xf numFmtId="0" fontId="46" fillId="0" borderId="27" xfId="0" applyFont="1" applyBorder="1" applyAlignment="1">
      <alignment horizontal="left" vertical="center"/>
    </xf>
    <xf numFmtId="0" fontId="46" fillId="0" borderId="28" xfId="0" applyFont="1" applyBorder="1" applyAlignment="1">
      <alignment horizontal="left" vertical="center"/>
    </xf>
    <xf numFmtId="0" fontId="46" fillId="0" borderId="31" xfId="0" applyFont="1" applyBorder="1" applyAlignment="1">
      <alignment horizontal="left" vertical="center"/>
    </xf>
    <xf numFmtId="0" fontId="46" fillId="0" borderId="27" xfId="0" applyFont="1" applyFill="1" applyBorder="1" applyAlignment="1">
      <alignment horizontal="left" vertical="center"/>
    </xf>
    <xf numFmtId="0" fontId="0" fillId="0" borderId="50" xfId="0" applyBorder="1" applyAlignment="1">
      <alignment horizontal="left" vertical="center"/>
    </xf>
    <xf numFmtId="0" fontId="0" fillId="0" borderId="0" xfId="0" applyAlignment="1">
      <alignment horizontal="center" vertical="center"/>
    </xf>
    <xf numFmtId="0" fontId="43" fillId="2" borderId="58" xfId="0" applyFont="1" applyFill="1" applyBorder="1" applyAlignment="1">
      <alignment horizontal="center" vertical="center" shrinkToFit="1"/>
    </xf>
    <xf numFmtId="0" fontId="43" fillId="2" borderId="60" xfId="0" applyFont="1" applyFill="1" applyBorder="1" applyAlignment="1">
      <alignment horizontal="center" vertical="center" shrinkToFit="1"/>
    </xf>
    <xf numFmtId="0" fontId="43" fillId="2" borderId="63" xfId="0" applyFont="1" applyFill="1" applyBorder="1" applyAlignment="1">
      <alignment horizontal="center" vertical="center" textRotation="90" shrinkToFit="1"/>
    </xf>
    <xf numFmtId="0" fontId="43" fillId="2" borderId="63" xfId="0" applyFont="1" applyFill="1" applyBorder="1" applyAlignment="1">
      <alignment horizontal="center" vertical="center" shrinkToFit="1"/>
    </xf>
    <xf numFmtId="0" fontId="42" fillId="27" borderId="64" xfId="0" applyFont="1" applyFill="1" applyBorder="1" applyAlignment="1">
      <alignment horizontal="center" vertical="center" wrapText="1"/>
    </xf>
    <xf numFmtId="0" fontId="37" fillId="0" borderId="66" xfId="89" applyBorder="1" applyAlignment="1" applyProtection="1">
      <alignment horizontal="center" vertical="center"/>
    </xf>
    <xf numFmtId="0" fontId="46" fillId="0" borderId="70" xfId="0" applyFont="1" applyBorder="1">
      <alignment vertical="center"/>
    </xf>
    <xf numFmtId="0" fontId="46" fillId="0" borderId="71" xfId="0" applyNumberFormat="1" applyFont="1" applyFill="1" applyBorder="1" applyAlignment="1">
      <alignment vertical="center" shrinkToFit="1"/>
    </xf>
    <xf numFmtId="49" fontId="46" fillId="0" borderId="71" xfId="0" applyNumberFormat="1" applyFont="1" applyFill="1" applyBorder="1" applyAlignment="1">
      <alignment vertical="center" shrinkToFit="1"/>
    </xf>
    <xf numFmtId="49" fontId="46" fillId="0" borderId="72" xfId="0" applyNumberFormat="1" applyFont="1" applyFill="1" applyBorder="1" applyAlignment="1">
      <alignment vertical="center" shrinkToFit="1"/>
    </xf>
    <xf numFmtId="49" fontId="46" fillId="0" borderId="73" xfId="0" applyNumberFormat="1" applyFont="1" applyFill="1" applyBorder="1" applyAlignment="1">
      <alignment vertical="center" shrinkToFit="1"/>
    </xf>
    <xf numFmtId="0" fontId="46" fillId="29" borderId="16" xfId="0" applyFont="1" applyFill="1" applyBorder="1">
      <alignment vertical="center"/>
    </xf>
    <xf numFmtId="0" fontId="43" fillId="27" borderId="60" xfId="0" applyFont="1" applyFill="1" applyBorder="1" applyAlignment="1">
      <alignment horizontal="center" vertical="center" textRotation="90" shrinkToFit="1"/>
    </xf>
    <xf numFmtId="0" fontId="43" fillId="0" borderId="16" xfId="0" applyNumberFormat="1" applyFont="1" applyFill="1" applyBorder="1" applyAlignment="1">
      <alignment vertical="center" shrinkToFit="1"/>
    </xf>
    <xf numFmtId="0" fontId="43" fillId="0" borderId="18" xfId="0" applyNumberFormat="1" applyFont="1" applyFill="1" applyBorder="1" applyAlignment="1">
      <alignment horizontal="center" vertical="center" shrinkToFit="1"/>
    </xf>
    <xf numFmtId="0" fontId="43" fillId="0" borderId="18" xfId="0" applyNumberFormat="1" applyFont="1" applyFill="1" applyBorder="1" applyAlignment="1">
      <alignment vertical="center" shrinkToFit="1"/>
    </xf>
    <xf numFmtId="0" fontId="46" fillId="0" borderId="52" xfId="0" quotePrefix="1" applyNumberFormat="1" applyFont="1" applyFill="1" applyBorder="1" applyAlignment="1">
      <alignment horizontal="left" vertical="center"/>
    </xf>
    <xf numFmtId="0" fontId="50" fillId="0" borderId="4" xfId="0" applyNumberFormat="1" applyFont="1" applyFill="1" applyBorder="1" applyAlignment="1">
      <alignment horizontal="center" vertical="center" shrinkToFit="1"/>
    </xf>
    <xf numFmtId="49" fontId="46" fillId="0" borderId="4" xfId="0" applyNumberFormat="1" applyFont="1" applyFill="1" applyBorder="1" applyAlignment="1">
      <alignment horizontal="center" vertical="center" wrapText="1" shrinkToFit="1"/>
    </xf>
    <xf numFmtId="49" fontId="46" fillId="0" borderId="5" xfId="0" applyNumberFormat="1" applyFont="1" applyFill="1" applyBorder="1" applyAlignment="1">
      <alignment horizontal="center" vertical="center" wrapText="1" shrinkToFit="1"/>
    </xf>
    <xf numFmtId="0" fontId="43" fillId="0" borderId="3" xfId="0" applyFont="1" applyFill="1" applyBorder="1" applyAlignment="1">
      <alignment horizontal="center" vertical="center" textRotation="90" shrinkToFit="1"/>
    </xf>
    <xf numFmtId="0" fontId="47" fillId="0" borderId="51" xfId="0" applyNumberFormat="1" applyFont="1" applyFill="1" applyBorder="1" applyAlignment="1">
      <alignment horizontal="center" vertical="center" shrinkToFit="1"/>
    </xf>
    <xf numFmtId="0" fontId="47" fillId="0" borderId="53" xfId="0" applyNumberFormat="1" applyFont="1" applyFill="1" applyBorder="1" applyAlignment="1">
      <alignment horizontal="center" vertical="center" shrinkToFit="1"/>
    </xf>
    <xf numFmtId="0" fontId="41" fillId="0" borderId="3" xfId="0" applyFont="1" applyFill="1" applyBorder="1" applyAlignment="1">
      <alignment horizontal="center" vertical="center" textRotation="90" shrinkToFit="1"/>
    </xf>
    <xf numFmtId="0" fontId="41" fillId="0" borderId="5" xfId="0" applyFont="1" applyFill="1" applyBorder="1" applyAlignment="1">
      <alignment horizontal="center" vertical="center" textRotation="90" shrinkToFit="1"/>
    </xf>
    <xf numFmtId="0" fontId="41" fillId="0" borderId="3" xfId="0" applyFont="1" applyFill="1" applyBorder="1" applyAlignment="1">
      <alignment horizontal="center" vertical="center" shrinkToFit="1"/>
    </xf>
    <xf numFmtId="0" fontId="41" fillId="0" borderId="5" xfId="0" applyFont="1" applyFill="1" applyBorder="1" applyAlignment="1">
      <alignment horizontal="center" vertical="center" shrinkToFit="1"/>
    </xf>
    <xf numFmtId="0" fontId="0" fillId="28" borderId="2" xfId="0" applyFill="1" applyBorder="1">
      <alignment vertical="center"/>
    </xf>
    <xf numFmtId="0" fontId="46" fillId="0" borderId="13" xfId="0" applyNumberFormat="1" applyFont="1" applyFill="1" applyBorder="1" applyAlignment="1">
      <alignment horizontal="left" vertical="center"/>
    </xf>
    <xf numFmtId="0" fontId="46" fillId="0" borderId="0" xfId="0" applyNumberFormat="1" applyFont="1" applyFill="1" applyBorder="1" applyAlignment="1">
      <alignment horizontal="left" vertical="center"/>
    </xf>
    <xf numFmtId="49" fontId="46" fillId="0" borderId="14" xfId="0" applyNumberFormat="1" applyFont="1" applyFill="1" applyBorder="1" applyAlignment="1">
      <alignment horizontal="left" vertical="center"/>
    </xf>
    <xf numFmtId="0" fontId="43" fillId="0" borderId="23" xfId="0" applyFont="1" applyFill="1" applyBorder="1" applyAlignment="1">
      <alignment horizontal="center" vertical="center"/>
    </xf>
    <xf numFmtId="0" fontId="46" fillId="0" borderId="13" xfId="0" applyNumberFormat="1" applyFont="1" applyFill="1" applyBorder="1" applyAlignment="1">
      <alignment horizontal="center" vertical="center"/>
    </xf>
    <xf numFmtId="0" fontId="46" fillId="0" borderId="30" xfId="0" applyNumberFormat="1" applyFont="1" applyFill="1" applyBorder="1" applyAlignment="1">
      <alignment horizontal="left" vertical="center"/>
    </xf>
    <xf numFmtId="49" fontId="46" fillId="0" borderId="29" xfId="0" applyNumberFormat="1" applyFont="1" applyFill="1" applyBorder="1" applyAlignment="1">
      <alignment horizontal="left" vertical="center"/>
    </xf>
    <xf numFmtId="0" fontId="37" fillId="0" borderId="6" xfId="89" applyBorder="1" applyAlignment="1" applyProtection="1">
      <alignment horizontal="center" vertical="center"/>
    </xf>
    <xf numFmtId="49" fontId="46" fillId="0" borderId="30" xfId="0" applyNumberFormat="1" applyFont="1" applyFill="1" applyBorder="1" applyAlignment="1">
      <alignment horizontal="left" vertical="center"/>
    </xf>
    <xf numFmtId="49" fontId="46" fillId="0" borderId="56" xfId="0" applyNumberFormat="1" applyFont="1" applyFill="1" applyBorder="1" applyAlignment="1">
      <alignment horizontal="left" vertical="center"/>
    </xf>
    <xf numFmtId="0" fontId="46" fillId="0" borderId="6" xfId="0" applyFont="1" applyBorder="1" applyAlignment="1">
      <alignment vertical="center" textRotation="90" wrapText="1"/>
    </xf>
    <xf numFmtId="49" fontId="46" fillId="0" borderId="1" xfId="0" applyNumberFormat="1" applyFont="1" applyFill="1" applyBorder="1" applyAlignment="1">
      <alignment horizontal="left" vertical="center"/>
    </xf>
    <xf numFmtId="49" fontId="46" fillId="0" borderId="20" xfId="0" applyNumberFormat="1" applyFont="1" applyFill="1" applyBorder="1" applyAlignment="1">
      <alignment horizontal="left" vertical="center"/>
    </xf>
    <xf numFmtId="49" fontId="46" fillId="0" borderId="15" xfId="0" applyNumberFormat="1" applyFont="1" applyFill="1" applyBorder="1" applyAlignment="1">
      <alignment horizontal="left" vertical="center"/>
    </xf>
    <xf numFmtId="0" fontId="46" fillId="0" borderId="9" xfId="0" applyFont="1" applyFill="1" applyBorder="1" applyAlignment="1">
      <alignment horizontal="left" vertical="top" shrinkToFit="1"/>
    </xf>
    <xf numFmtId="49" fontId="46" fillId="0" borderId="57" xfId="0" applyNumberFormat="1" applyFont="1" applyBorder="1">
      <alignment vertical="center"/>
    </xf>
    <xf numFmtId="49" fontId="46" fillId="0" borderId="11" xfId="0" applyNumberFormat="1" applyFont="1" applyBorder="1">
      <alignment vertical="center"/>
    </xf>
    <xf numFmtId="0" fontId="46" fillId="0" borderId="36" xfId="0" applyFont="1" applyBorder="1">
      <alignment vertical="center"/>
    </xf>
    <xf numFmtId="0" fontId="0" fillId="0" borderId="47" xfId="0" applyFont="1" applyBorder="1">
      <alignment vertical="center"/>
    </xf>
    <xf numFmtId="0" fontId="46" fillId="0" borderId="30" xfId="0" applyFont="1" applyBorder="1">
      <alignment vertical="center"/>
    </xf>
    <xf numFmtId="49" fontId="46" fillId="0" borderId="56" xfId="0" applyNumberFormat="1" applyFont="1" applyBorder="1">
      <alignment vertical="center"/>
    </xf>
    <xf numFmtId="49" fontId="46" fillId="0" borderId="29" xfId="0" applyNumberFormat="1" applyFont="1" applyBorder="1">
      <alignment vertical="center"/>
    </xf>
    <xf numFmtId="0" fontId="46" fillId="0" borderId="31" xfId="0" applyFont="1" applyFill="1" applyBorder="1">
      <alignment vertical="center"/>
    </xf>
    <xf numFmtId="49" fontId="46" fillId="0" borderId="53" xfId="0" applyNumberFormat="1" applyFont="1" applyFill="1" applyBorder="1">
      <alignment vertical="center"/>
    </xf>
    <xf numFmtId="0" fontId="47" fillId="0" borderId="25" xfId="0" applyFont="1" applyFill="1" applyBorder="1" applyAlignment="1">
      <alignment horizontal="center" vertical="center" shrinkToFit="1"/>
    </xf>
    <xf numFmtId="49" fontId="47" fillId="0" borderId="26" xfId="0" applyNumberFormat="1" applyFont="1" applyFill="1" applyBorder="1" applyAlignment="1">
      <alignment horizontal="left" vertical="center" shrinkToFit="1"/>
    </xf>
    <xf numFmtId="0" fontId="0" fillId="0" borderId="3" xfId="0" applyFont="1" applyBorder="1" applyAlignment="1">
      <alignment vertical="center"/>
    </xf>
    <xf numFmtId="0" fontId="0" fillId="0" borderId="5" xfId="0" applyFont="1" applyBorder="1" applyAlignment="1">
      <alignment vertical="center"/>
    </xf>
    <xf numFmtId="0" fontId="0" fillId="0" borderId="0" xfId="0" applyFont="1">
      <alignment vertical="center"/>
    </xf>
    <xf numFmtId="0" fontId="37" fillId="0" borderId="0" xfId="89" applyAlignment="1" applyProtection="1">
      <alignment horizontal="center" vertical="center"/>
    </xf>
    <xf numFmtId="0" fontId="9" fillId="0" borderId="0" xfId="0" applyFont="1" applyAlignment="1">
      <alignment vertical="center" wrapText="1"/>
    </xf>
    <xf numFmtId="0" fontId="8" fillId="0" borderId="0" xfId="0" applyFont="1" applyAlignment="1">
      <alignment horizontal="left" vertical="top"/>
    </xf>
    <xf numFmtId="0" fontId="46" fillId="0" borderId="3" xfId="0" applyNumberFormat="1" applyFont="1" applyBorder="1" applyAlignment="1">
      <alignment vertical="center" wrapText="1"/>
    </xf>
    <xf numFmtId="0" fontId="0" fillId="0" borderId="0" xfId="0" applyAlignment="1">
      <alignment horizontal="center" vertical="center"/>
    </xf>
    <xf numFmtId="0" fontId="46" fillId="0" borderId="0" xfId="0" applyFont="1" applyBorder="1" applyAlignment="1">
      <alignment horizontal="center" vertical="center"/>
    </xf>
    <xf numFmtId="49" fontId="46" fillId="0" borderId="25" xfId="0" applyNumberFormat="1" applyFont="1" applyBorder="1" applyAlignment="1">
      <alignment horizontal="center" vertical="center" readingOrder="1"/>
    </xf>
    <xf numFmtId="0" fontId="46" fillId="0" borderId="20" xfId="0" applyFont="1" applyBorder="1" applyAlignment="1">
      <alignment horizontal="center" vertical="center"/>
    </xf>
    <xf numFmtId="0" fontId="0" fillId="0" borderId="3" xfId="0" applyBorder="1">
      <alignment vertical="center"/>
    </xf>
    <xf numFmtId="0" fontId="46" fillId="0" borderId="3" xfId="0" applyNumberFormat="1" applyFont="1" applyFill="1" applyBorder="1" applyAlignment="1">
      <alignment horizontal="center" vertical="center" shrinkToFit="1"/>
    </xf>
    <xf numFmtId="0" fontId="46" fillId="0" borderId="5" xfId="0" applyNumberFormat="1" applyFont="1" applyFill="1" applyBorder="1" applyAlignment="1">
      <alignment horizontal="center" vertical="center" shrinkToFit="1"/>
    </xf>
    <xf numFmtId="0" fontId="46" fillId="0" borderId="4" xfId="0" applyFont="1" applyBorder="1">
      <alignment vertical="center"/>
    </xf>
    <xf numFmtId="0" fontId="46" fillId="0" borderId="5" xfId="0" applyFont="1" applyBorder="1">
      <alignment vertical="center"/>
    </xf>
    <xf numFmtId="49" fontId="46" fillId="0" borderId="4" xfId="0" applyNumberFormat="1" applyFont="1" applyFill="1" applyBorder="1" applyAlignment="1">
      <alignment horizontal="center" vertical="center" shrinkToFit="1"/>
    </xf>
    <xf numFmtId="0" fontId="64" fillId="0" borderId="3" xfId="0" applyFont="1" applyBorder="1" applyAlignment="1">
      <alignment horizontal="left" vertical="center"/>
    </xf>
    <xf numFmtId="0" fontId="64" fillId="0" borderId="4" xfId="0" applyFont="1" applyBorder="1" applyAlignment="1">
      <alignment horizontal="left" vertical="center"/>
    </xf>
    <xf numFmtId="0" fontId="0" fillId="0" borderId="3" xfId="0" applyFont="1" applyBorder="1" applyAlignment="1">
      <alignment horizontal="center" vertical="center" wrapText="1"/>
    </xf>
    <xf numFmtId="0" fontId="37" fillId="0" borderId="13" xfId="89" applyBorder="1" applyAlignment="1" applyProtection="1">
      <alignment vertical="center"/>
    </xf>
    <xf numFmtId="0" fontId="37" fillId="0" borderId="23" xfId="89" applyBorder="1" applyAlignment="1" applyProtection="1">
      <alignment horizontal="center" vertical="center"/>
    </xf>
    <xf numFmtId="0" fontId="0" fillId="0" borderId="4" xfId="0" applyFont="1" applyBorder="1" applyAlignment="1">
      <alignment horizontal="center" vertical="center" wrapText="1"/>
    </xf>
    <xf numFmtId="0" fontId="0" fillId="0" borderId="5" xfId="0" applyFont="1" applyBorder="1" applyAlignment="1">
      <alignment horizontal="center" vertical="center" wrapText="1"/>
    </xf>
    <xf numFmtId="0" fontId="46" fillId="0" borderId="4" xfId="0" applyFont="1" applyBorder="1">
      <alignment vertical="center"/>
    </xf>
    <xf numFmtId="0" fontId="46" fillId="0" borderId="5" xfId="0" applyFont="1" applyBorder="1">
      <alignment vertical="center"/>
    </xf>
    <xf numFmtId="49" fontId="46" fillId="0" borderId="4" xfId="0" applyNumberFormat="1" applyFont="1" applyFill="1" applyBorder="1" applyAlignment="1">
      <alignment horizontal="center" vertical="center" shrinkToFit="1"/>
    </xf>
    <xf numFmtId="49" fontId="46" fillId="0" borderId="5" xfId="0" applyNumberFormat="1" applyFont="1" applyFill="1" applyBorder="1" applyAlignment="1">
      <alignment horizontal="center" vertical="center" shrinkToFit="1"/>
    </xf>
    <xf numFmtId="0" fontId="0" fillId="0" borderId="0" xfId="0" applyAlignment="1">
      <alignment horizontal="right" vertical="center"/>
    </xf>
    <xf numFmtId="0" fontId="37" fillId="0" borderId="5" xfId="89" applyBorder="1" applyAlignment="1" applyProtection="1">
      <alignment horizontal="center" vertical="center"/>
    </xf>
    <xf numFmtId="0" fontId="46" fillId="0" borderId="6" xfId="0" applyNumberFormat="1" applyFont="1" applyFill="1" applyBorder="1" applyAlignment="1">
      <alignment horizontal="center" vertical="center" wrapText="1"/>
    </xf>
    <xf numFmtId="0" fontId="0" fillId="0" borderId="4" xfId="0" applyNumberFormat="1" applyFont="1" applyBorder="1" applyAlignment="1">
      <alignment horizontal="left" vertical="top" shrinkToFit="1"/>
    </xf>
    <xf numFmtId="0" fontId="0" fillId="0" borderId="5" xfId="0" applyNumberFormat="1" applyFont="1" applyBorder="1" applyAlignment="1">
      <alignment horizontal="left" vertical="top" shrinkToFit="1"/>
    </xf>
    <xf numFmtId="0" fontId="46" fillId="0" borderId="4" xfId="0" applyNumberFormat="1" applyFont="1" applyFill="1" applyBorder="1" applyAlignment="1">
      <alignment horizontal="center" vertical="center" wrapText="1"/>
    </xf>
    <xf numFmtId="0" fontId="46" fillId="0" borderId="5" xfId="0" applyNumberFormat="1" applyFont="1" applyFill="1" applyBorder="1" applyAlignment="1">
      <alignment horizontal="center" vertical="center" wrapText="1"/>
    </xf>
    <xf numFmtId="0" fontId="43" fillId="0" borderId="33" xfId="0" applyNumberFormat="1" applyFont="1" applyFill="1" applyBorder="1" applyAlignment="1">
      <alignment horizontal="center" vertical="center" shrinkToFit="1"/>
    </xf>
    <xf numFmtId="0" fontId="0" fillId="0" borderId="6" xfId="0" applyNumberFormat="1" applyFont="1" applyBorder="1" applyAlignment="1">
      <alignment horizontal="left" vertical="top" shrinkToFit="1"/>
    </xf>
    <xf numFmtId="49" fontId="46" fillId="0" borderId="30" xfId="0" applyNumberFormat="1" applyFont="1" applyFill="1" applyBorder="1" applyAlignment="1">
      <alignment vertical="center" shrinkToFit="1"/>
    </xf>
    <xf numFmtId="49" fontId="46" fillId="0" borderId="29" xfId="0" applyNumberFormat="1" applyFont="1" applyFill="1" applyBorder="1" applyAlignment="1">
      <alignment vertical="center" shrinkToFit="1"/>
    </xf>
    <xf numFmtId="0" fontId="43" fillId="0" borderId="33" xfId="0" applyNumberFormat="1" applyFont="1" applyFill="1" applyBorder="1" applyAlignment="1">
      <alignment vertical="center" shrinkToFit="1"/>
    </xf>
    <xf numFmtId="0" fontId="0" fillId="0" borderId="0" xfId="0" applyAlignment="1">
      <alignment horizontal="center" vertical="center"/>
    </xf>
    <xf numFmtId="0" fontId="46" fillId="0" borderId="3" xfId="0" applyNumberFormat="1" applyFont="1" applyFill="1" applyBorder="1" applyAlignment="1">
      <alignment horizontal="center" vertical="center" wrapText="1" shrinkToFit="1"/>
    </xf>
    <xf numFmtId="0" fontId="46" fillId="0" borderId="4" xfId="0" applyNumberFormat="1" applyFont="1" applyFill="1" applyBorder="1" applyAlignment="1">
      <alignment horizontal="center" vertical="center" wrapText="1" shrinkToFit="1"/>
    </xf>
    <xf numFmtId="0" fontId="46" fillId="0" borderId="5" xfId="0" applyNumberFormat="1" applyFont="1" applyFill="1" applyBorder="1" applyAlignment="1">
      <alignment horizontal="center" vertical="center" wrapText="1" shrinkToFit="1"/>
    </xf>
    <xf numFmtId="0" fontId="43" fillId="0" borderId="4" xfId="0" applyFont="1" applyFill="1" applyBorder="1" applyAlignment="1">
      <alignment horizontal="center" vertical="center" textRotation="90" shrinkToFit="1"/>
    </xf>
    <xf numFmtId="0" fontId="43" fillId="0" borderId="5" xfId="0" applyFont="1" applyFill="1" applyBorder="1" applyAlignment="1">
      <alignment horizontal="center" vertical="center" textRotation="90" shrinkToFit="1"/>
    </xf>
    <xf numFmtId="0" fontId="46" fillId="0" borderId="82" xfId="0" applyNumberFormat="1" applyFont="1" applyFill="1" applyBorder="1" applyAlignment="1">
      <alignment vertical="center" wrapText="1" shrinkToFit="1"/>
    </xf>
    <xf numFmtId="0" fontId="46" fillId="0" borderId="19" xfId="0" applyNumberFormat="1" applyFont="1" applyFill="1" applyBorder="1" applyAlignment="1">
      <alignment vertical="center" wrapText="1" shrinkToFit="1"/>
    </xf>
    <xf numFmtId="49" fontId="46" fillId="0" borderId="57" xfId="0" applyNumberFormat="1" applyFont="1" applyFill="1" applyBorder="1" applyAlignment="1">
      <alignment vertical="center"/>
    </xf>
    <xf numFmtId="0" fontId="43" fillId="0" borderId="3" xfId="0" applyNumberFormat="1" applyFont="1" applyFill="1" applyBorder="1" applyAlignment="1">
      <alignment horizontal="center" vertical="center" shrinkToFit="1"/>
    </xf>
    <xf numFmtId="0" fontId="43" fillId="0" borderId="3" xfId="0" applyNumberFormat="1" applyFont="1" applyFill="1" applyBorder="1" applyAlignment="1">
      <alignment vertical="center" shrinkToFit="1"/>
    </xf>
    <xf numFmtId="0" fontId="0" fillId="0" borderId="3" xfId="0" applyNumberFormat="1" applyFont="1" applyFill="1" applyBorder="1" applyAlignment="1">
      <alignment horizontal="left" vertical="top" shrinkToFit="1"/>
    </xf>
    <xf numFmtId="0" fontId="0" fillId="0" borderId="4" xfId="0" applyNumberFormat="1" applyFont="1" applyFill="1" applyBorder="1" applyAlignment="1">
      <alignment horizontal="left" vertical="top" shrinkToFit="1"/>
    </xf>
    <xf numFmtId="0" fontId="43" fillId="0" borderId="5" xfId="0" applyNumberFormat="1" applyFont="1" applyFill="1" applyBorder="1" applyAlignment="1">
      <alignment horizontal="center" vertical="center" shrinkToFit="1"/>
    </xf>
    <xf numFmtId="0" fontId="43" fillId="0" borderId="5" xfId="0" applyNumberFormat="1" applyFont="1" applyFill="1" applyBorder="1" applyAlignment="1">
      <alignment vertical="center" shrinkToFit="1"/>
    </xf>
    <xf numFmtId="0" fontId="46" fillId="0" borderId="4" xfId="0" applyFont="1" applyFill="1" applyBorder="1">
      <alignment vertical="center"/>
    </xf>
    <xf numFmtId="0" fontId="46" fillId="0" borderId="8" xfId="0" applyFont="1" applyFill="1" applyBorder="1">
      <alignment vertical="center"/>
    </xf>
    <xf numFmtId="0" fontId="46" fillId="0" borderId="16" xfId="0" applyFont="1" applyFill="1" applyBorder="1">
      <alignment vertical="center"/>
    </xf>
    <xf numFmtId="0" fontId="46" fillId="0" borderId="5" xfId="0" applyFont="1" applyFill="1" applyBorder="1">
      <alignment vertical="center"/>
    </xf>
    <xf numFmtId="0" fontId="49" fillId="0" borderId="9" xfId="89" applyFont="1" applyFill="1" applyBorder="1" applyAlignment="1" applyProtection="1">
      <alignment horizontal="center" vertical="center"/>
    </xf>
    <xf numFmtId="0" fontId="46" fillId="0" borderId="3" xfId="0" applyFont="1" applyFill="1" applyBorder="1">
      <alignment vertical="center"/>
    </xf>
    <xf numFmtId="0" fontId="37" fillId="0" borderId="23" xfId="89" applyFill="1" applyBorder="1" applyAlignment="1" applyProtection="1">
      <alignment horizontal="center" vertical="center"/>
    </xf>
    <xf numFmtId="0" fontId="46" fillId="0" borderId="27" xfId="0" applyFont="1" applyFill="1" applyBorder="1">
      <alignment vertical="center"/>
    </xf>
    <xf numFmtId="49" fontId="46" fillId="0" borderId="51" xfId="0" applyNumberFormat="1" applyFont="1" applyFill="1" applyBorder="1">
      <alignment vertical="center"/>
    </xf>
    <xf numFmtId="0" fontId="46" fillId="0" borderId="17" xfId="0" applyFont="1" applyFill="1" applyBorder="1">
      <alignment vertical="center"/>
    </xf>
    <xf numFmtId="0" fontId="46" fillId="0" borderId="23" xfId="0" applyFont="1" applyFill="1" applyBorder="1">
      <alignment vertical="center"/>
    </xf>
    <xf numFmtId="0" fontId="64" fillId="0" borderId="23" xfId="0" applyFont="1" applyFill="1" applyBorder="1" applyAlignment="1">
      <alignment horizontal="left" vertical="center"/>
    </xf>
    <xf numFmtId="0" fontId="41" fillId="0" borderId="4" xfId="0" applyFont="1" applyFill="1" applyBorder="1" applyAlignment="1">
      <alignment horizontal="center" vertical="center" textRotation="90" shrinkToFit="1"/>
    </xf>
    <xf numFmtId="0" fontId="41" fillId="0" borderId="4" xfId="0" applyFont="1" applyFill="1" applyBorder="1" applyAlignment="1">
      <alignment horizontal="center" vertical="center" shrinkToFit="1"/>
    </xf>
    <xf numFmtId="0" fontId="42" fillId="0" borderId="4" xfId="0" applyFont="1" applyFill="1" applyBorder="1" applyAlignment="1">
      <alignment horizontal="center" vertical="center" wrapText="1"/>
    </xf>
    <xf numFmtId="0" fontId="42" fillId="0" borderId="5" xfId="0" applyFont="1" applyFill="1" applyBorder="1" applyAlignment="1">
      <alignment horizontal="center" vertical="center" wrapText="1"/>
    </xf>
    <xf numFmtId="0" fontId="46" fillId="0" borderId="3" xfId="0" applyNumberFormat="1" applyFont="1" applyFill="1" applyBorder="1" applyAlignment="1">
      <alignment horizontal="left" vertical="center" shrinkToFit="1"/>
    </xf>
    <xf numFmtId="0" fontId="46" fillId="0" borderId="4" xfId="0" applyNumberFormat="1" applyFont="1" applyFill="1" applyBorder="1" applyAlignment="1">
      <alignment horizontal="left" vertical="center" shrinkToFit="1"/>
    </xf>
    <xf numFmtId="49" fontId="46" fillId="0" borderId="4" xfId="0" applyNumberFormat="1" applyFont="1" applyFill="1" applyBorder="1" applyAlignment="1">
      <alignment horizontal="left" vertical="center" shrinkToFit="1"/>
    </xf>
    <xf numFmtId="0" fontId="46" fillId="0" borderId="5" xfId="0" applyNumberFormat="1" applyFont="1" applyFill="1" applyBorder="1" applyAlignment="1">
      <alignment horizontal="left" vertical="center" shrinkToFit="1"/>
    </xf>
    <xf numFmtId="0" fontId="46" fillId="0" borderId="8" xfId="0" applyNumberFormat="1" applyFont="1" applyFill="1" applyBorder="1" applyAlignment="1">
      <alignment horizontal="left" vertical="center" shrinkToFit="1"/>
    </xf>
    <xf numFmtId="0" fontId="47" fillId="0" borderId="4" xfId="0" applyNumberFormat="1" applyFont="1" applyFill="1" applyBorder="1" applyAlignment="1">
      <alignment horizontal="left" vertical="center" shrinkToFit="1"/>
    </xf>
    <xf numFmtId="0" fontId="47" fillId="0" borderId="4" xfId="0" applyFont="1" applyFill="1" applyBorder="1" applyAlignment="1">
      <alignment horizontal="left" vertical="center" shrinkToFit="1"/>
    </xf>
    <xf numFmtId="0" fontId="47" fillId="0" borderId="5" xfId="0" applyFont="1" applyFill="1" applyBorder="1" applyAlignment="1">
      <alignment horizontal="left" vertical="center" shrinkToFit="1"/>
    </xf>
    <xf numFmtId="0" fontId="46" fillId="0" borderId="2" xfId="0" applyFont="1" applyFill="1" applyBorder="1" applyAlignment="1">
      <alignment horizontal="left" vertical="center" shrinkToFit="1"/>
    </xf>
    <xf numFmtId="0" fontId="46" fillId="0" borderId="3" xfId="0" applyFont="1" applyFill="1" applyBorder="1" applyAlignment="1">
      <alignment horizontal="left" vertical="center" wrapText="1" shrinkToFit="1"/>
    </xf>
    <xf numFmtId="0" fontId="46" fillId="0" borderId="5" xfId="0" applyFont="1" applyFill="1" applyBorder="1" applyAlignment="1">
      <alignment horizontal="left" vertical="center" wrapText="1" shrinkToFit="1"/>
    </xf>
    <xf numFmtId="0" fontId="0" fillId="0" borderId="0" xfId="0" applyAlignment="1">
      <alignment horizontal="left" vertical="center"/>
    </xf>
    <xf numFmtId="0" fontId="0" fillId="0" borderId="3" xfId="0" applyFont="1" applyFill="1" applyBorder="1" applyAlignment="1">
      <alignment horizontal="left" vertical="center"/>
    </xf>
    <xf numFmtId="0" fontId="0" fillId="0" borderId="8" xfId="0" applyFont="1" applyFill="1" applyBorder="1" applyAlignment="1">
      <alignment horizontal="left" vertical="center"/>
    </xf>
    <xf numFmtId="0" fontId="0" fillId="0" borderId="4" xfId="0" applyFont="1" applyFill="1" applyBorder="1" applyAlignment="1">
      <alignment horizontal="left" vertical="center"/>
    </xf>
    <xf numFmtId="0" fontId="46" fillId="0" borderId="2" xfId="0" applyNumberFormat="1" applyFont="1" applyFill="1" applyBorder="1" applyAlignment="1">
      <alignment horizontal="left" vertical="center" wrapText="1" shrinkToFit="1"/>
    </xf>
    <xf numFmtId="0" fontId="46" fillId="0" borderId="20" xfId="0" applyNumberFormat="1" applyFont="1" applyFill="1" applyBorder="1" applyAlignment="1">
      <alignment horizontal="left" vertical="center" wrapText="1" shrinkToFit="1"/>
    </xf>
    <xf numFmtId="0" fontId="55" fillId="0" borderId="5" xfId="89" applyFont="1" applyFill="1" applyBorder="1" applyAlignment="1" applyProtection="1">
      <alignment horizontal="left" vertical="center"/>
    </xf>
    <xf numFmtId="0" fontId="0" fillId="0" borderId="8" xfId="0" applyFont="1" applyFill="1" applyBorder="1" applyAlignment="1">
      <alignment horizontal="left" vertical="center" wrapText="1"/>
    </xf>
    <xf numFmtId="0" fontId="0" fillId="0" borderId="5" xfId="0" applyFont="1" applyFill="1" applyBorder="1" applyAlignment="1">
      <alignment horizontal="left" vertical="center"/>
    </xf>
    <xf numFmtId="49" fontId="46" fillId="0" borderId="8" xfId="0" applyNumberFormat="1" applyFont="1" applyFill="1" applyBorder="1" applyAlignment="1">
      <alignment horizontal="left" vertical="center" shrinkToFit="1"/>
    </xf>
    <xf numFmtId="49" fontId="46" fillId="0" borderId="11" xfId="0" applyNumberFormat="1" applyFont="1" applyFill="1" applyBorder="1" applyAlignment="1">
      <alignment horizontal="right" vertical="center"/>
    </xf>
    <xf numFmtId="0" fontId="46" fillId="0" borderId="6" xfId="0" applyFont="1" applyFill="1" applyBorder="1" applyAlignment="1">
      <alignment horizontal="left" vertical="center" shrinkToFit="1"/>
    </xf>
    <xf numFmtId="0" fontId="37" fillId="0" borderId="50" xfId="89" applyBorder="1" applyAlignment="1" applyProtection="1">
      <alignment vertical="center"/>
    </xf>
    <xf numFmtId="0" fontId="38" fillId="0" borderId="20" xfId="0" applyFont="1" applyBorder="1" applyAlignment="1">
      <alignment vertical="center"/>
    </xf>
    <xf numFmtId="0" fontId="38" fillId="0" borderId="1" xfId="0" applyFont="1" applyBorder="1" applyAlignment="1">
      <alignment vertical="center" shrinkToFit="1"/>
    </xf>
    <xf numFmtId="0" fontId="0" fillId="0" borderId="20" xfId="0" applyBorder="1">
      <alignment vertical="center"/>
    </xf>
    <xf numFmtId="0" fontId="0" fillId="0" borderId="14" xfId="0" applyFont="1" applyBorder="1" applyAlignment="1">
      <alignment horizontal="center" vertical="center"/>
    </xf>
    <xf numFmtId="0" fontId="0" fillId="0" borderId="50" xfId="0" applyBorder="1">
      <alignment vertical="center"/>
    </xf>
    <xf numFmtId="0" fontId="0" fillId="0" borderId="0" xfId="0" applyAlignment="1">
      <alignment horizontal="center" vertical="center"/>
    </xf>
    <xf numFmtId="0" fontId="46" fillId="0" borderId="3" xfId="0" applyNumberFormat="1" applyFont="1" applyFill="1" applyBorder="1" applyAlignment="1">
      <alignment horizontal="center" vertical="center" wrapText="1" shrinkToFit="1"/>
    </xf>
    <xf numFmtId="0" fontId="46" fillId="0" borderId="4" xfId="0" applyNumberFormat="1" applyFont="1" applyFill="1" applyBorder="1" applyAlignment="1">
      <alignment horizontal="center" vertical="center" wrapText="1" shrinkToFit="1"/>
    </xf>
    <xf numFmtId="0" fontId="46" fillId="0" borderId="5" xfId="0" applyNumberFormat="1" applyFont="1" applyFill="1" applyBorder="1" applyAlignment="1">
      <alignment horizontal="center" vertical="center" wrapText="1" shrinkToFit="1"/>
    </xf>
    <xf numFmtId="0" fontId="0" fillId="0" borderId="4" xfId="0" applyNumberFormat="1" applyFont="1" applyFill="1" applyBorder="1" applyAlignment="1">
      <alignment horizontal="left" vertical="top" shrinkToFit="1"/>
    </xf>
    <xf numFmtId="0" fontId="46" fillId="0" borderId="20" xfId="0" applyNumberFormat="1" applyFont="1" applyFill="1" applyBorder="1" applyAlignment="1">
      <alignment vertical="center" wrapText="1" shrinkToFit="1"/>
    </xf>
    <xf numFmtId="0" fontId="46" fillId="0" borderId="2" xfId="0" applyNumberFormat="1" applyFont="1" applyFill="1" applyBorder="1" applyAlignment="1">
      <alignment vertical="center" wrapText="1" shrinkToFit="1"/>
    </xf>
    <xf numFmtId="0" fontId="0" fillId="0" borderId="23" xfId="0" applyFont="1" applyFill="1" applyBorder="1" applyAlignment="1">
      <alignment horizontal="left" vertical="center"/>
    </xf>
    <xf numFmtId="0" fontId="46" fillId="0" borderId="23" xfId="0" applyFont="1" applyBorder="1">
      <alignment vertical="center"/>
    </xf>
    <xf numFmtId="0" fontId="46" fillId="0" borderId="5" xfId="0" applyFont="1" applyBorder="1">
      <alignment vertical="center"/>
    </xf>
    <xf numFmtId="0" fontId="46" fillId="0" borderId="23" xfId="0" applyFont="1" applyFill="1" applyBorder="1" applyAlignment="1">
      <alignment horizontal="left" vertical="center" wrapText="1" shrinkToFit="1"/>
    </xf>
    <xf numFmtId="0" fontId="46" fillId="0" borderId="13" xfId="0" applyFont="1" applyFill="1" applyBorder="1">
      <alignment vertical="center"/>
    </xf>
    <xf numFmtId="49" fontId="46" fillId="0" borderId="0" xfId="0" applyNumberFormat="1" applyFont="1" applyFill="1" applyBorder="1">
      <alignment vertical="center"/>
    </xf>
    <xf numFmtId="49" fontId="46" fillId="0" borderId="14" xfId="0" applyNumberFormat="1" applyFont="1" applyFill="1" applyBorder="1" applyAlignment="1">
      <alignment horizontal="right" vertical="center"/>
    </xf>
    <xf numFmtId="0" fontId="45" fillId="0" borderId="20" xfId="0" applyNumberFormat="1" applyFont="1" applyFill="1" applyBorder="1" applyAlignment="1">
      <alignment horizontal="left" vertical="center" wrapText="1" shrinkToFit="1"/>
    </xf>
    <xf numFmtId="0" fontId="46" fillId="0" borderId="3" xfId="0" applyNumberFormat="1" applyFont="1" applyFill="1" applyBorder="1" applyAlignment="1">
      <alignment horizontal="center" vertical="center" wrapText="1" shrinkToFit="1"/>
    </xf>
    <xf numFmtId="0" fontId="46" fillId="0" borderId="4" xfId="0" applyNumberFormat="1" applyFont="1" applyFill="1" applyBorder="1" applyAlignment="1">
      <alignment horizontal="center" vertical="center" wrapText="1" shrinkToFit="1"/>
    </xf>
    <xf numFmtId="0" fontId="43" fillId="0" borderId="5" xfId="0" applyFont="1" applyFill="1" applyBorder="1" applyAlignment="1">
      <alignment horizontal="center" vertical="center" textRotation="90" shrinkToFit="1"/>
    </xf>
    <xf numFmtId="0" fontId="47" fillId="0" borderId="6" xfId="0" applyNumberFormat="1" applyFont="1" applyFill="1" applyBorder="1" applyAlignment="1">
      <alignment horizontal="left" vertical="center" shrinkToFit="1"/>
    </xf>
    <xf numFmtId="0" fontId="46" fillId="0" borderId="25" xfId="0" applyNumberFormat="1" applyFont="1" applyFill="1" applyBorder="1" applyAlignment="1">
      <alignment vertical="center" wrapText="1" shrinkToFit="1"/>
    </xf>
    <xf numFmtId="0" fontId="46" fillId="0" borderId="26" xfId="0" applyNumberFormat="1" applyFont="1" applyFill="1" applyBorder="1" applyAlignment="1">
      <alignment vertical="center" wrapText="1" shrinkToFit="1"/>
    </xf>
    <xf numFmtId="0" fontId="46" fillId="0" borderId="21" xfId="0" applyNumberFormat="1" applyFont="1" applyFill="1" applyBorder="1" applyAlignment="1">
      <alignment vertical="center" wrapText="1" shrinkToFit="1"/>
    </xf>
    <xf numFmtId="0" fontId="46" fillId="0" borderId="50" xfId="0" applyNumberFormat="1" applyFont="1" applyFill="1" applyBorder="1" applyAlignment="1">
      <alignment vertical="center" wrapText="1" shrinkToFit="1"/>
    </xf>
    <xf numFmtId="0" fontId="46" fillId="0" borderId="22" xfId="0" applyNumberFormat="1" applyFont="1" applyFill="1" applyBorder="1" applyAlignment="1">
      <alignment vertical="center" wrapText="1" shrinkToFit="1"/>
    </xf>
    <xf numFmtId="0" fontId="0" fillId="0" borderId="2" xfId="0" applyNumberFormat="1" applyFont="1" applyFill="1" applyBorder="1" applyAlignment="1">
      <alignment horizontal="left" vertical="center" wrapText="1" shrinkToFit="1"/>
    </xf>
    <xf numFmtId="0" fontId="10" fillId="0" borderId="4" xfId="0" applyFont="1" applyFill="1" applyBorder="1" applyAlignment="1">
      <alignment horizontal="left" vertical="center" shrinkToFit="1"/>
    </xf>
    <xf numFmtId="0" fontId="10" fillId="0" borderId="5" xfId="0" applyFont="1" applyFill="1" applyBorder="1" applyAlignment="1">
      <alignment horizontal="left" vertical="center" shrinkToFit="1"/>
    </xf>
    <xf numFmtId="0" fontId="0" fillId="0" borderId="3" xfId="0" applyFont="1" applyFill="1" applyBorder="1" applyAlignment="1">
      <alignment vertical="center"/>
    </xf>
    <xf numFmtId="0" fontId="0" fillId="0" borderId="4" xfId="0" applyFont="1" applyFill="1" applyBorder="1" applyAlignment="1">
      <alignment vertical="center"/>
    </xf>
    <xf numFmtId="0" fontId="0" fillId="0" borderId="5" xfId="0" applyFont="1" applyFill="1" applyBorder="1" applyAlignment="1">
      <alignment vertical="center"/>
    </xf>
    <xf numFmtId="0" fontId="41" fillId="0" borderId="18" xfId="0" applyFont="1" applyFill="1" applyBorder="1" applyAlignment="1">
      <alignment horizontal="center" vertical="center" textRotation="90" shrinkToFit="1"/>
    </xf>
    <xf numFmtId="0" fontId="47" fillId="0" borderId="23" xfId="0" applyNumberFormat="1" applyFont="1" applyFill="1" applyBorder="1" applyAlignment="1">
      <alignment horizontal="left" vertical="center" wrapText="1" shrinkToFit="1"/>
    </xf>
    <xf numFmtId="0" fontId="0" fillId="0" borderId="0" xfId="0" applyAlignment="1">
      <alignment horizontal="center" vertical="center"/>
    </xf>
    <xf numFmtId="0" fontId="47" fillId="0" borderId="2" xfId="0" applyFont="1" applyBorder="1" applyAlignment="1">
      <alignment horizontal="center" vertical="center"/>
    </xf>
    <xf numFmtId="0" fontId="47" fillId="29" borderId="4" xfId="0" applyFont="1" applyFill="1" applyBorder="1" applyAlignment="1">
      <alignment horizontal="center" vertical="center" shrinkToFit="1"/>
    </xf>
    <xf numFmtId="0" fontId="46" fillId="27" borderId="16" xfId="0" applyNumberFormat="1" applyFont="1" applyFill="1" applyBorder="1" applyAlignment="1">
      <alignment horizontal="center" vertical="center" wrapText="1"/>
    </xf>
    <xf numFmtId="0" fontId="50" fillId="27" borderId="16" xfId="0" applyNumberFormat="1" applyFont="1" applyFill="1" applyBorder="1" applyAlignment="1">
      <alignment horizontal="center" vertical="center" shrinkToFit="1"/>
    </xf>
    <xf numFmtId="0" fontId="46" fillId="27" borderId="54" xfId="0" applyNumberFormat="1" applyFont="1" applyFill="1" applyBorder="1" applyAlignment="1">
      <alignment vertical="center" shrinkToFit="1"/>
    </xf>
    <xf numFmtId="49" fontId="46" fillId="27" borderId="55" xfId="0" applyNumberFormat="1" applyFont="1" applyFill="1" applyBorder="1" applyAlignment="1">
      <alignment vertical="center" shrinkToFit="1"/>
    </xf>
    <xf numFmtId="0" fontId="43" fillId="27" borderId="16" xfId="0" applyNumberFormat="1" applyFont="1" applyFill="1" applyBorder="1" applyAlignment="1">
      <alignment horizontal="center" vertical="center" shrinkToFit="1"/>
    </xf>
    <xf numFmtId="49" fontId="56" fillId="27" borderId="83" xfId="0" applyNumberFormat="1" applyFont="1" applyFill="1" applyBorder="1" applyAlignment="1">
      <alignment horizontal="left" vertical="center"/>
    </xf>
    <xf numFmtId="49" fontId="47" fillId="27" borderId="84" xfId="0" applyNumberFormat="1" applyFont="1" applyFill="1" applyBorder="1" applyAlignment="1">
      <alignment horizontal="left" vertical="center"/>
    </xf>
    <xf numFmtId="49" fontId="47" fillId="27" borderId="85" xfId="0" applyNumberFormat="1" applyFont="1" applyFill="1" applyBorder="1" applyAlignment="1">
      <alignment horizontal="left" vertical="center"/>
    </xf>
    <xf numFmtId="49" fontId="46" fillId="27" borderId="86" xfId="0" applyNumberFormat="1" applyFont="1" applyFill="1" applyBorder="1" applyAlignment="1">
      <alignment horizontal="left" vertical="center" shrinkToFit="1"/>
    </xf>
    <xf numFmtId="49" fontId="46" fillId="27" borderId="87" xfId="0" applyNumberFormat="1" applyFont="1" applyFill="1" applyBorder="1" applyAlignment="1">
      <alignment horizontal="left" vertical="center" shrinkToFit="1"/>
    </xf>
    <xf numFmtId="49" fontId="46" fillId="27" borderId="88" xfId="0" applyNumberFormat="1" applyFont="1" applyFill="1" applyBorder="1" applyAlignment="1">
      <alignment horizontal="left" vertical="center" shrinkToFit="1"/>
    </xf>
    <xf numFmtId="49" fontId="47" fillId="27" borderId="89" xfId="0" applyNumberFormat="1" applyFont="1" applyFill="1" applyBorder="1" applyAlignment="1">
      <alignment horizontal="left" vertical="center"/>
    </xf>
    <xf numFmtId="49" fontId="47" fillId="27" borderId="90" xfId="0" applyNumberFormat="1" applyFont="1" applyFill="1" applyBorder="1" applyAlignment="1">
      <alignment horizontal="left" vertical="center"/>
    </xf>
    <xf numFmtId="49" fontId="47" fillId="27" borderId="91" xfId="0" applyNumberFormat="1" applyFont="1" applyFill="1" applyBorder="1" applyAlignment="1">
      <alignment horizontal="left" vertical="center"/>
    </xf>
    <xf numFmtId="49" fontId="47" fillId="27" borderId="83" xfId="0" applyNumberFormat="1" applyFont="1" applyFill="1" applyBorder="1" applyAlignment="1">
      <alignment horizontal="left" vertical="center"/>
    </xf>
    <xf numFmtId="49" fontId="47" fillId="27" borderId="92" xfId="0" applyNumberFormat="1" applyFont="1" applyFill="1" applyBorder="1" applyAlignment="1">
      <alignment horizontal="left" vertical="center"/>
    </xf>
    <xf numFmtId="49" fontId="47" fillId="27" borderId="93" xfId="0" applyNumberFormat="1" applyFont="1" applyFill="1" applyBorder="1" applyAlignment="1">
      <alignment horizontal="left" vertical="center"/>
    </xf>
    <xf numFmtId="49" fontId="47" fillId="27" borderId="94" xfId="0" applyNumberFormat="1" applyFont="1" applyFill="1" applyBorder="1" applyAlignment="1">
      <alignment horizontal="left" vertical="center"/>
    </xf>
    <xf numFmtId="0" fontId="43" fillId="27" borderId="46" xfId="0" applyNumberFormat="1" applyFont="1" applyFill="1" applyBorder="1" applyAlignment="1">
      <alignment vertical="center" shrinkToFit="1"/>
    </xf>
    <xf numFmtId="0" fontId="46" fillId="27" borderId="16" xfId="0" applyFont="1" applyFill="1" applyBorder="1">
      <alignment vertical="center"/>
    </xf>
    <xf numFmtId="0" fontId="47" fillId="27" borderId="16" xfId="0" applyNumberFormat="1" applyFont="1" applyFill="1" applyBorder="1" applyAlignment="1">
      <alignment horizontal="center" vertical="center" shrinkToFit="1"/>
    </xf>
    <xf numFmtId="49" fontId="46" fillId="27" borderId="46" xfId="0" applyNumberFormat="1" applyFont="1" applyFill="1" applyBorder="1" applyAlignment="1">
      <alignment horizontal="right" vertical="center" shrinkToFit="1"/>
    </xf>
    <xf numFmtId="0" fontId="47" fillId="27" borderId="54" xfId="0" applyNumberFormat="1" applyFont="1" applyFill="1" applyBorder="1" applyAlignment="1">
      <alignment vertical="center" shrinkToFit="1"/>
    </xf>
    <xf numFmtId="49" fontId="47" fillId="27" borderId="55" xfId="0" applyNumberFormat="1" applyFont="1" applyFill="1" applyBorder="1" applyAlignment="1">
      <alignment vertical="center" shrinkToFit="1"/>
    </xf>
    <xf numFmtId="0" fontId="50" fillId="27" borderId="16" xfId="0" applyNumberFormat="1" applyFont="1" applyFill="1" applyBorder="1" applyAlignment="1">
      <alignment vertical="center" shrinkToFit="1"/>
    </xf>
    <xf numFmtId="49" fontId="47" fillId="27" borderId="46" xfId="0" applyNumberFormat="1" applyFont="1" applyFill="1" applyBorder="1" applyAlignment="1">
      <alignment vertical="center" shrinkToFit="1"/>
    </xf>
    <xf numFmtId="0" fontId="8" fillId="27" borderId="16" xfId="0" applyNumberFormat="1" applyFont="1" applyFill="1" applyBorder="1" applyAlignment="1">
      <alignment horizontal="left" vertical="top" shrinkToFit="1"/>
    </xf>
    <xf numFmtId="0" fontId="0" fillId="27" borderId="16" xfId="0" applyNumberFormat="1" applyFont="1" applyFill="1" applyBorder="1" applyAlignment="1">
      <alignment horizontal="left" vertical="top" shrinkToFit="1"/>
    </xf>
    <xf numFmtId="0" fontId="38" fillId="0" borderId="20" xfId="0" applyFont="1" applyBorder="1" applyAlignment="1">
      <alignment vertical="center" shrinkToFit="1"/>
    </xf>
    <xf numFmtId="0" fontId="0" fillId="0" borderId="50" xfId="0" applyBorder="1" applyAlignment="1">
      <alignment vertical="center" shrinkToFit="1"/>
    </xf>
    <xf numFmtId="0" fontId="50" fillId="0" borderId="7" xfId="0" applyFont="1" applyFill="1" applyBorder="1" applyAlignment="1">
      <alignment horizontal="left" vertical="top" shrinkToFit="1"/>
    </xf>
    <xf numFmtId="0" fontId="46" fillId="0" borderId="9" xfId="0" applyFont="1" applyBorder="1" applyAlignment="1">
      <alignment horizontal="center" vertical="center" shrinkToFit="1"/>
    </xf>
    <xf numFmtId="188" fontId="40" fillId="2" borderId="1" xfId="0" applyNumberFormat="1" applyFont="1" applyFill="1" applyBorder="1" applyAlignment="1">
      <alignment horizontal="center" vertical="center" wrapText="1" shrinkToFit="1" readingOrder="1"/>
    </xf>
    <xf numFmtId="0" fontId="53" fillId="0" borderId="3" xfId="0" applyFont="1" applyFill="1" applyBorder="1" applyAlignment="1">
      <alignment horizontal="center" vertical="center" shrinkToFit="1"/>
    </xf>
    <xf numFmtId="0" fontId="57" fillId="0" borderId="5" xfId="0" applyFont="1" applyFill="1" applyBorder="1" applyAlignment="1">
      <alignment horizontal="center" vertical="center" shrinkToFit="1"/>
    </xf>
    <xf numFmtId="0" fontId="57" fillId="0" borderId="3" xfId="0" applyFont="1" applyFill="1" applyBorder="1" applyAlignment="1">
      <alignment horizontal="center" vertical="center" wrapText="1" shrinkToFit="1"/>
    </xf>
    <xf numFmtId="0" fontId="57" fillId="0" borderId="4" xfId="0" applyFont="1" applyFill="1" applyBorder="1" applyAlignment="1">
      <alignment horizontal="center" vertical="center" shrinkToFit="1"/>
    </xf>
    <xf numFmtId="0" fontId="57" fillId="0" borderId="5" xfId="0" applyFont="1" applyFill="1" applyBorder="1" applyAlignment="1">
      <alignment horizontal="center" vertical="center" wrapText="1" shrinkToFit="1"/>
    </xf>
    <xf numFmtId="0" fontId="57" fillId="0" borderId="8" xfId="0" applyFont="1" applyFill="1" applyBorder="1" applyAlignment="1">
      <alignment horizontal="center" vertical="center" wrapText="1" shrinkToFit="1"/>
    </xf>
    <xf numFmtId="0" fontId="57" fillId="0" borderId="3" xfId="0" applyFont="1" applyFill="1" applyBorder="1" applyAlignment="1">
      <alignment horizontal="center" vertical="center" shrinkToFit="1"/>
    </xf>
    <xf numFmtId="0" fontId="57" fillId="0" borderId="8" xfId="0" applyFont="1" applyFill="1" applyBorder="1" applyAlignment="1">
      <alignment horizontal="center" vertical="center" shrinkToFit="1"/>
    </xf>
    <xf numFmtId="0" fontId="57" fillId="0" borderId="6" xfId="0" applyFont="1" applyFill="1" applyBorder="1" applyAlignment="1">
      <alignment horizontal="center" vertical="center" shrinkToFit="1"/>
    </xf>
    <xf numFmtId="0" fontId="53" fillId="0" borderId="5" xfId="0" applyFont="1" applyFill="1" applyBorder="1" applyAlignment="1">
      <alignment horizontal="center" vertical="center" shrinkToFit="1"/>
    </xf>
    <xf numFmtId="0" fontId="53" fillId="0" borderId="7" xfId="0" applyFont="1" applyFill="1" applyBorder="1" applyAlignment="1">
      <alignment horizontal="center" vertical="center" shrinkToFit="1"/>
    </xf>
    <xf numFmtId="0" fontId="38" fillId="0" borderId="15" xfId="0" applyFont="1" applyBorder="1" applyAlignment="1">
      <alignment vertical="center" shrinkToFit="1"/>
    </xf>
    <xf numFmtId="0" fontId="0" fillId="0" borderId="14" xfId="0" applyBorder="1" applyAlignment="1">
      <alignment vertical="center" shrinkToFit="1"/>
    </xf>
    <xf numFmtId="0" fontId="0" fillId="0" borderId="22" xfId="0" applyBorder="1" applyAlignment="1">
      <alignment vertical="center" shrinkToFit="1"/>
    </xf>
    <xf numFmtId="188" fontId="40" fillId="2" borderId="1" xfId="0" applyNumberFormat="1" applyFont="1" applyFill="1" applyBorder="1" applyAlignment="1">
      <alignment horizontal="center" vertical="center" wrapText="1" shrinkToFit="1"/>
    </xf>
    <xf numFmtId="0" fontId="46" fillId="0" borderId="25" xfId="0" applyNumberFormat="1" applyFont="1" applyFill="1" applyBorder="1" applyAlignment="1">
      <alignment horizontal="center" vertical="center"/>
    </xf>
    <xf numFmtId="0" fontId="46" fillId="0" borderId="7" xfId="0" applyFont="1" applyFill="1" applyBorder="1" applyAlignment="1">
      <alignment horizontal="center" vertical="center" wrapText="1"/>
    </xf>
    <xf numFmtId="0" fontId="37" fillId="0" borderId="9" xfId="89" applyBorder="1" applyAlignment="1" applyProtection="1">
      <alignment horizontal="center" vertical="center"/>
    </xf>
    <xf numFmtId="0" fontId="37" fillId="0" borderId="23" xfId="89" applyBorder="1" applyAlignment="1" applyProtection="1">
      <alignment horizontal="center" vertical="center"/>
    </xf>
    <xf numFmtId="0" fontId="37" fillId="0" borderId="7" xfId="89" applyBorder="1" applyAlignment="1" applyProtection="1">
      <alignment horizontal="center" vertical="center"/>
    </xf>
    <xf numFmtId="0" fontId="37" fillId="0" borderId="4" xfId="89" applyBorder="1" applyAlignment="1" applyProtection="1">
      <alignment horizontal="center" vertical="center"/>
    </xf>
    <xf numFmtId="0" fontId="37" fillId="0" borderId="5" xfId="89" applyBorder="1" applyAlignment="1" applyProtection="1">
      <alignment horizontal="center" vertical="center"/>
    </xf>
    <xf numFmtId="0" fontId="37" fillId="0" borderId="2" xfId="89" applyBorder="1" applyAlignment="1" applyProtection="1">
      <alignment horizontal="center" vertical="center"/>
    </xf>
    <xf numFmtId="49" fontId="46" fillId="0" borderId="9" xfId="0" applyNumberFormat="1" applyFont="1" applyBorder="1" applyAlignment="1">
      <alignment horizontal="center" vertical="center" wrapText="1" readingOrder="1"/>
    </xf>
    <xf numFmtId="0" fontId="46" fillId="0" borderId="77" xfId="0" applyFont="1" applyFill="1" applyBorder="1" applyAlignment="1">
      <alignment horizontal="center" vertical="center" wrapText="1"/>
    </xf>
    <xf numFmtId="0" fontId="50" fillId="0" borderId="25" xfId="0" applyFont="1" applyFill="1" applyBorder="1" applyAlignment="1">
      <alignment horizontal="center" vertical="center"/>
    </xf>
    <xf numFmtId="0" fontId="50" fillId="0" borderId="26" xfId="0" applyFont="1" applyFill="1" applyBorder="1" applyAlignment="1">
      <alignment horizontal="center" vertical="center"/>
    </xf>
    <xf numFmtId="0" fontId="37" fillId="0" borderId="3" xfId="89" applyBorder="1" applyAlignment="1" applyProtection="1">
      <alignment horizontal="center" vertical="center"/>
    </xf>
    <xf numFmtId="0" fontId="37" fillId="0" borderId="9" xfId="89" applyBorder="1" applyAlignment="1" applyProtection="1">
      <alignment horizontal="center" vertical="center" wrapText="1"/>
    </xf>
    <xf numFmtId="0" fontId="37" fillId="0" borderId="3" xfId="89" applyBorder="1" applyAlignment="1" applyProtection="1">
      <alignment horizontal="center" vertical="center" wrapText="1"/>
    </xf>
    <xf numFmtId="0" fontId="46" fillId="0" borderId="3" xfId="0" applyFont="1" applyFill="1" applyBorder="1" applyAlignment="1">
      <alignment horizontal="center" vertical="center" wrapText="1"/>
    </xf>
    <xf numFmtId="0" fontId="46" fillId="0" borderId="8"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46" fillId="0" borderId="2" xfId="0" applyFont="1" applyFill="1" applyBorder="1" applyAlignment="1">
      <alignment horizontal="center" vertical="center"/>
    </xf>
    <xf numFmtId="0" fontId="47" fillId="0" borderId="7" xfId="0" applyFont="1" applyFill="1" applyBorder="1" applyAlignment="1">
      <alignment horizontal="center" vertical="center" shrinkToFit="1"/>
    </xf>
    <xf numFmtId="0" fontId="46" fillId="0" borderId="2" xfId="0" applyFont="1" applyBorder="1">
      <alignment vertical="center"/>
    </xf>
    <xf numFmtId="49" fontId="46" fillId="0" borderId="31" xfId="0" applyNumberFormat="1" applyFont="1" applyFill="1" applyBorder="1" applyAlignment="1">
      <alignment horizontal="left" vertical="center"/>
    </xf>
    <xf numFmtId="49" fontId="46" fillId="0" borderId="53" xfId="0" applyNumberFormat="1" applyFont="1" applyFill="1" applyBorder="1" applyAlignment="1">
      <alignment horizontal="left" vertical="center"/>
    </xf>
    <xf numFmtId="49" fontId="46" fillId="0" borderId="32" xfId="0" applyNumberFormat="1" applyFont="1" applyFill="1" applyBorder="1" applyAlignment="1">
      <alignment horizontal="left" vertical="center"/>
    </xf>
    <xf numFmtId="49" fontId="46" fillId="0" borderId="27" xfId="0" applyNumberFormat="1" applyFont="1" applyFill="1" applyBorder="1" applyAlignment="1">
      <alignment horizontal="left" vertical="center"/>
    </xf>
    <xf numFmtId="49" fontId="46" fillId="0" borderId="51" xfId="0" applyNumberFormat="1" applyFont="1" applyFill="1" applyBorder="1" applyAlignment="1">
      <alignment horizontal="left" vertical="center"/>
    </xf>
    <xf numFmtId="49" fontId="46" fillId="0" borderId="12" xfId="0" applyNumberFormat="1" applyFont="1" applyFill="1" applyBorder="1" applyAlignment="1">
      <alignment horizontal="left" vertical="center"/>
    </xf>
    <xf numFmtId="49" fontId="46" fillId="0" borderId="28" xfId="0" applyNumberFormat="1" applyFont="1" applyFill="1" applyBorder="1" applyAlignment="1">
      <alignment horizontal="left" vertical="center"/>
    </xf>
    <xf numFmtId="49" fontId="46" fillId="0" borderId="52" xfId="0" applyNumberFormat="1" applyFont="1" applyFill="1" applyBorder="1" applyAlignment="1">
      <alignment horizontal="left" vertical="center"/>
    </xf>
    <xf numFmtId="49" fontId="46" fillId="0" borderId="10" xfId="0" applyNumberFormat="1" applyFont="1" applyFill="1" applyBorder="1" applyAlignment="1">
      <alignment horizontal="left" vertical="center"/>
    </xf>
    <xf numFmtId="0" fontId="0" fillId="0" borderId="15" xfId="0" applyFont="1" applyBorder="1" applyAlignment="1">
      <alignment horizontal="center" vertical="center"/>
    </xf>
    <xf numFmtId="0" fontId="47" fillId="0" borderId="2" xfId="0" applyFont="1" applyFill="1" applyBorder="1" applyAlignment="1">
      <alignment horizontal="center" vertical="center" shrinkToFit="1"/>
    </xf>
    <xf numFmtId="0" fontId="47" fillId="0" borderId="6" xfId="0" applyFont="1" applyFill="1" applyBorder="1" applyAlignment="1">
      <alignment horizontal="center" vertical="center" shrinkToFit="1"/>
    </xf>
    <xf numFmtId="0" fontId="50" fillId="0" borderId="2" xfId="0" applyFont="1" applyFill="1" applyBorder="1" applyAlignment="1">
      <alignment horizontal="center" vertical="center" shrinkToFit="1"/>
    </xf>
    <xf numFmtId="0" fontId="43" fillId="0" borderId="3" xfId="0" applyFont="1" applyFill="1" applyBorder="1" applyAlignment="1">
      <alignment horizontal="center" vertical="center" shrinkToFit="1"/>
    </xf>
    <xf numFmtId="0" fontId="43" fillId="0" borderId="4" xfId="0" applyFont="1" applyFill="1" applyBorder="1" applyAlignment="1">
      <alignment horizontal="center" vertical="center" shrinkToFit="1"/>
    </xf>
    <xf numFmtId="0" fontId="43" fillId="0" borderId="5" xfId="0" applyFont="1" applyFill="1" applyBorder="1" applyAlignment="1">
      <alignment horizontal="center" vertical="center" shrinkToFit="1"/>
    </xf>
    <xf numFmtId="0" fontId="47" fillId="0" borderId="3" xfId="0" applyFont="1" applyFill="1" applyBorder="1" applyAlignment="1">
      <alignment horizontal="center" vertical="center" shrinkToFit="1"/>
    </xf>
    <xf numFmtId="0" fontId="47" fillId="0" borderId="5" xfId="0" applyFont="1" applyFill="1" applyBorder="1" applyAlignment="1">
      <alignment horizontal="center" vertical="center" shrinkToFit="1"/>
    </xf>
    <xf numFmtId="49" fontId="46" fillId="0" borderId="25" xfId="0" applyNumberFormat="1" applyFont="1" applyFill="1" applyBorder="1" applyAlignment="1">
      <alignment horizontal="left" vertical="center"/>
    </xf>
    <xf numFmtId="49" fontId="46" fillId="0" borderId="26" xfId="0" applyNumberFormat="1" applyFont="1" applyFill="1" applyBorder="1" applyAlignment="1">
      <alignment horizontal="left" vertical="center"/>
    </xf>
    <xf numFmtId="49" fontId="46" fillId="0" borderId="21" xfId="0" applyNumberFormat="1" applyFont="1" applyFill="1" applyBorder="1" applyAlignment="1">
      <alignment horizontal="left" vertical="center"/>
    </xf>
    <xf numFmtId="0" fontId="47" fillId="0" borderId="3" xfId="0" applyFont="1" applyFill="1" applyBorder="1" applyAlignment="1">
      <alignment horizontal="center" vertical="center" wrapText="1" shrinkToFit="1"/>
    </xf>
    <xf numFmtId="0" fontId="46" fillId="0" borderId="5" xfId="0" applyFont="1" applyFill="1" applyBorder="1" applyAlignment="1">
      <alignment horizontal="center" vertical="center"/>
    </xf>
    <xf numFmtId="0" fontId="46" fillId="0" borderId="3" xfId="0" applyFont="1" applyFill="1" applyBorder="1" applyAlignment="1">
      <alignment horizontal="center" vertical="center"/>
    </xf>
    <xf numFmtId="0" fontId="46" fillId="0" borderId="4" xfId="0" applyFont="1" applyFill="1" applyBorder="1" applyAlignment="1">
      <alignment horizontal="center" vertical="center"/>
    </xf>
    <xf numFmtId="0" fontId="40" fillId="2" borderId="2" xfId="0" applyFont="1" applyFill="1" applyBorder="1" applyAlignment="1">
      <alignment horizontal="center" vertical="center" shrinkToFit="1"/>
    </xf>
    <xf numFmtId="0" fontId="46" fillId="0" borderId="77" xfId="0" applyFont="1" applyFill="1" applyBorder="1" applyAlignment="1">
      <alignment horizontal="center" vertical="center" wrapText="1"/>
    </xf>
    <xf numFmtId="0" fontId="50" fillId="0" borderId="26" xfId="0" applyFont="1" applyFill="1" applyBorder="1" applyAlignment="1">
      <alignment horizontal="center" vertical="center"/>
    </xf>
    <xf numFmtId="0" fontId="37" fillId="0" borderId="0" xfId="89" applyBorder="1" applyAlignment="1" applyProtection="1">
      <alignment horizontal="left" vertical="center"/>
    </xf>
    <xf numFmtId="0" fontId="46" fillId="0" borderId="0" xfId="0" applyFont="1" applyBorder="1" applyAlignment="1">
      <alignment horizontal="center" vertical="center"/>
    </xf>
    <xf numFmtId="0" fontId="0" fillId="0" borderId="0" xfId="0" applyBorder="1" applyAlignment="1">
      <alignment horizontal="center" vertical="center"/>
    </xf>
    <xf numFmtId="0" fontId="47" fillId="0" borderId="3" xfId="0" applyNumberFormat="1" applyFont="1" applyFill="1" applyBorder="1" applyAlignment="1">
      <alignment horizontal="center" vertical="center" shrinkToFit="1"/>
    </xf>
    <xf numFmtId="0" fontId="5" fillId="0" borderId="0" xfId="0" applyNumberFormat="1" applyFont="1" applyBorder="1" applyAlignment="1">
      <alignment horizontal="center" vertical="center" shrinkToFit="1"/>
    </xf>
    <xf numFmtId="0" fontId="47" fillId="0" borderId="9" xfId="0" applyFont="1" applyFill="1" applyBorder="1" applyAlignment="1">
      <alignment horizontal="center" vertical="center" shrinkToFit="1"/>
    </xf>
    <xf numFmtId="0" fontId="47" fillId="0" borderId="2" xfId="0" applyFont="1" applyBorder="1">
      <alignment vertical="center"/>
    </xf>
    <xf numFmtId="0" fontId="46" fillId="0" borderId="4" xfId="0" applyFont="1" applyBorder="1">
      <alignment vertical="center"/>
    </xf>
    <xf numFmtId="0" fontId="46" fillId="0" borderId="5" xfId="0" applyFont="1" applyBorder="1">
      <alignment vertical="center"/>
    </xf>
    <xf numFmtId="49" fontId="46" fillId="0" borderId="31" xfId="0" applyNumberFormat="1" applyFont="1" applyFill="1" applyBorder="1" applyAlignment="1">
      <alignment horizontal="left" vertical="center"/>
    </xf>
    <xf numFmtId="49" fontId="46" fillId="0" borderId="53" xfId="0" applyNumberFormat="1" applyFont="1" applyFill="1" applyBorder="1" applyAlignment="1">
      <alignment horizontal="left" vertical="center"/>
    </xf>
    <xf numFmtId="49" fontId="46" fillId="0" borderId="32" xfId="0" applyNumberFormat="1" applyFont="1" applyFill="1" applyBorder="1" applyAlignment="1">
      <alignment horizontal="left" vertical="center"/>
    </xf>
    <xf numFmtId="0" fontId="43" fillId="0" borderId="8" xfId="0" applyNumberFormat="1" applyFont="1" applyBorder="1" applyAlignment="1">
      <alignment horizontal="center" vertical="center" shrinkToFit="1"/>
    </xf>
    <xf numFmtId="0" fontId="47" fillId="0" borderId="6" xfId="0" applyFont="1" applyFill="1" applyBorder="1" applyAlignment="1">
      <alignment horizontal="center" vertical="center" shrinkToFit="1"/>
    </xf>
    <xf numFmtId="0" fontId="47" fillId="0" borderId="8" xfId="0" applyFont="1" applyFill="1" applyBorder="1" applyAlignment="1">
      <alignment horizontal="center" vertical="center" shrinkToFit="1"/>
    </xf>
    <xf numFmtId="0" fontId="47" fillId="0" borderId="2" xfId="0" applyFont="1" applyFill="1" applyBorder="1" applyAlignment="1">
      <alignment horizontal="center" vertical="center" shrinkToFit="1"/>
    </xf>
    <xf numFmtId="0" fontId="43" fillId="0" borderId="3" xfId="0" applyFont="1" applyFill="1" applyBorder="1" applyAlignment="1">
      <alignment horizontal="center" vertical="center" shrinkToFit="1"/>
    </xf>
    <xf numFmtId="0" fontId="43" fillId="0" borderId="4" xfId="0" applyFont="1" applyFill="1" applyBorder="1" applyAlignment="1">
      <alignment horizontal="center" vertical="center" shrinkToFit="1"/>
    </xf>
    <xf numFmtId="0" fontId="43" fillId="0" borderId="5" xfId="0" applyFont="1" applyFill="1" applyBorder="1" applyAlignment="1">
      <alignment horizontal="center" vertical="center" shrinkToFit="1"/>
    </xf>
    <xf numFmtId="0" fontId="47" fillId="0" borderId="3" xfId="0" applyFont="1" applyFill="1" applyBorder="1" applyAlignment="1">
      <alignment horizontal="center" vertical="center" shrinkToFit="1"/>
    </xf>
    <xf numFmtId="0" fontId="47" fillId="0" borderId="5" xfId="0" applyFont="1" applyFill="1" applyBorder="1" applyAlignment="1">
      <alignment horizontal="center" vertical="center" shrinkToFit="1"/>
    </xf>
    <xf numFmtId="0" fontId="46" fillId="0" borderId="5" xfId="0" applyFont="1" applyFill="1" applyBorder="1" applyAlignment="1">
      <alignment horizontal="center" vertical="center"/>
    </xf>
    <xf numFmtId="49" fontId="46" fillId="0" borderId="21" xfId="0" applyNumberFormat="1" applyFont="1" applyFill="1" applyBorder="1" applyAlignment="1">
      <alignment horizontal="left" vertical="center"/>
    </xf>
    <xf numFmtId="0" fontId="46" fillId="0" borderId="0" xfId="0" applyFont="1" applyBorder="1" applyAlignment="1">
      <alignment vertical="center"/>
    </xf>
    <xf numFmtId="0" fontId="37" fillId="0" borderId="2" xfId="89" applyBorder="1" applyAlignment="1" applyProtection="1">
      <alignment horizontal="center" vertical="center"/>
    </xf>
    <xf numFmtId="0" fontId="40" fillId="2" borderId="7" xfId="0" applyFont="1" applyFill="1" applyBorder="1" applyAlignment="1">
      <alignment horizontal="center" vertical="center" shrinkToFit="1"/>
    </xf>
    <xf numFmtId="0" fontId="40" fillId="2" borderId="2" xfId="0" applyFont="1" applyFill="1" applyBorder="1" applyAlignment="1">
      <alignment horizontal="center" vertical="center" shrinkToFit="1"/>
    </xf>
    <xf numFmtId="0" fontId="37" fillId="0" borderId="0" xfId="89" applyBorder="1" applyAlignment="1" applyProtection="1">
      <alignment horizontal="left" vertical="center"/>
    </xf>
    <xf numFmtId="0" fontId="46" fillId="0" borderId="7" xfId="0" applyFont="1" applyBorder="1">
      <alignment vertical="center"/>
    </xf>
    <xf numFmtId="0" fontId="47" fillId="0" borderId="3" xfId="0" applyNumberFormat="1" applyFont="1" applyFill="1" applyBorder="1" applyAlignment="1">
      <alignment horizontal="center" vertical="center" shrinkToFit="1"/>
    </xf>
    <xf numFmtId="0" fontId="47" fillId="0" borderId="4"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6" fillId="0" borderId="2" xfId="0" applyFont="1" applyFill="1" applyBorder="1" applyAlignment="1">
      <alignment horizontal="center" vertical="center"/>
    </xf>
    <xf numFmtId="0" fontId="46" fillId="0" borderId="23" xfId="0" applyFont="1" applyBorder="1" applyAlignment="1">
      <alignment horizontal="center" vertical="center"/>
    </xf>
    <xf numFmtId="0" fontId="37" fillId="0" borderId="0" xfId="89" applyAlignment="1" applyProtection="1">
      <alignment horizontal="center" vertical="center"/>
    </xf>
    <xf numFmtId="0" fontId="0" fillId="0" borderId="0" xfId="0" applyAlignment="1">
      <alignment horizontal="center" vertical="center"/>
    </xf>
    <xf numFmtId="0" fontId="46" fillId="27" borderId="33" xfId="0" applyFont="1" applyFill="1" applyBorder="1" applyAlignment="1">
      <alignment horizontal="center" vertical="center"/>
    </xf>
    <xf numFmtId="0" fontId="46" fillId="27" borderId="34" xfId="0" applyFont="1" applyFill="1" applyBorder="1" applyAlignment="1">
      <alignment horizontal="center" vertical="center"/>
    </xf>
    <xf numFmtId="0" fontId="46" fillId="0" borderId="2" xfId="0" applyNumberFormat="1" applyFont="1" applyFill="1" applyBorder="1" applyAlignment="1">
      <alignment horizontal="center" vertical="center" shrinkToFit="1"/>
    </xf>
    <xf numFmtId="0" fontId="47" fillId="0" borderId="2" xfId="0" applyFont="1" applyBorder="1">
      <alignment vertical="center"/>
    </xf>
    <xf numFmtId="0" fontId="46" fillId="27" borderId="16" xfId="0" applyNumberFormat="1" applyFont="1" applyFill="1" applyBorder="1" applyAlignment="1">
      <alignment horizontal="center" vertical="center" wrapText="1"/>
    </xf>
    <xf numFmtId="0" fontId="47" fillId="0" borderId="2" xfId="0" applyNumberFormat="1" applyFont="1" applyFill="1" applyBorder="1" applyAlignment="1">
      <alignment horizontal="center" vertical="center" shrinkToFit="1"/>
    </xf>
    <xf numFmtId="0" fontId="8" fillId="0" borderId="2" xfId="0" applyFont="1" applyBorder="1" applyAlignment="1">
      <alignment horizontal="center" vertical="center" wrapText="1"/>
    </xf>
    <xf numFmtId="0" fontId="46" fillId="27" borderId="36" xfId="0" applyNumberFormat="1" applyFont="1" applyFill="1" applyBorder="1" applyAlignment="1">
      <alignment horizontal="center" vertical="center" wrapText="1"/>
    </xf>
    <xf numFmtId="0" fontId="43" fillId="27" borderId="33" xfId="0" applyNumberFormat="1" applyFont="1" applyFill="1" applyBorder="1" applyAlignment="1">
      <alignment horizontal="center" vertical="center" shrinkToFit="1"/>
    </xf>
    <xf numFmtId="0" fontId="43" fillId="27" borderId="34" xfId="0" applyNumberFormat="1" applyFont="1" applyFill="1" applyBorder="1" applyAlignment="1">
      <alignment horizontal="center" vertical="center" shrinkToFit="1"/>
    </xf>
    <xf numFmtId="0" fontId="43" fillId="27" borderId="36" xfId="0" applyNumberFormat="1" applyFont="1" applyFill="1" applyBorder="1" applyAlignment="1">
      <alignment horizontal="center" vertical="center" shrinkToFit="1"/>
    </xf>
    <xf numFmtId="0" fontId="46" fillId="27" borderId="35" xfId="0" applyFont="1" applyFill="1" applyBorder="1" applyAlignment="1">
      <alignment horizontal="center" vertical="center"/>
    </xf>
    <xf numFmtId="0" fontId="46" fillId="0" borderId="4" xfId="0" applyNumberFormat="1" applyFont="1" applyFill="1" applyBorder="1" applyAlignment="1">
      <alignment horizontal="center" vertical="center" wrapText="1" shrinkToFit="1"/>
    </xf>
    <xf numFmtId="0" fontId="46" fillId="0" borderId="3" xfId="0" applyNumberFormat="1" applyFont="1" applyFill="1" applyBorder="1" applyAlignment="1">
      <alignment horizontal="center" vertical="center" wrapText="1"/>
    </xf>
    <xf numFmtId="0" fontId="46" fillId="0" borderId="4" xfId="0" applyNumberFormat="1" applyFont="1" applyFill="1" applyBorder="1" applyAlignment="1">
      <alignment horizontal="center" vertical="center" wrapText="1"/>
    </xf>
    <xf numFmtId="0" fontId="46" fillId="0" borderId="5" xfId="0" applyNumberFormat="1" applyFont="1" applyFill="1" applyBorder="1" applyAlignment="1">
      <alignment horizontal="center" vertical="center" wrapText="1"/>
    </xf>
    <xf numFmtId="0" fontId="46" fillId="0" borderId="4" xfId="0" applyFont="1" applyBorder="1">
      <alignment vertical="center"/>
    </xf>
    <xf numFmtId="0" fontId="46" fillId="0" borderId="5" xfId="0" applyFont="1" applyBorder="1">
      <alignment vertical="center"/>
    </xf>
    <xf numFmtId="49" fontId="46" fillId="0" borderId="4" xfId="0" applyNumberFormat="1" applyFont="1" applyFill="1" applyBorder="1" applyAlignment="1">
      <alignment horizontal="center" vertical="center" shrinkToFit="1"/>
    </xf>
    <xf numFmtId="0" fontId="46" fillId="0" borderId="4" xfId="0" applyNumberFormat="1" applyFont="1" applyFill="1" applyBorder="1" applyAlignment="1">
      <alignment horizontal="center" vertical="center" shrinkToFit="1"/>
    </xf>
    <xf numFmtId="0" fontId="47" fillId="0" borderId="2" xfId="0" applyFont="1" applyFill="1" applyBorder="1" applyAlignment="1">
      <alignment horizontal="center" vertical="center" wrapText="1" shrinkToFit="1"/>
    </xf>
    <xf numFmtId="0" fontId="9" fillId="0" borderId="0" xfId="0" applyFont="1" applyAlignment="1">
      <alignment horizontal="center" vertical="center"/>
    </xf>
    <xf numFmtId="0" fontId="47" fillId="0" borderId="8" xfId="0" applyFont="1" applyFill="1" applyBorder="1" applyAlignment="1">
      <alignment horizontal="center" vertical="center" shrinkToFit="1"/>
    </xf>
    <xf numFmtId="0" fontId="47" fillId="0" borderId="6" xfId="0" applyNumberFormat="1" applyFont="1" applyFill="1" applyBorder="1" applyAlignment="1">
      <alignment horizontal="center" vertical="center" shrinkToFit="1"/>
    </xf>
    <xf numFmtId="0" fontId="47" fillId="0" borderId="23" xfId="0" applyNumberFormat="1" applyFont="1" applyFill="1" applyBorder="1" applyAlignment="1">
      <alignment horizontal="center" vertical="center" shrinkToFit="1"/>
    </xf>
    <xf numFmtId="0" fontId="47" fillId="0" borderId="3" xfId="0" applyFont="1" applyFill="1" applyBorder="1" applyAlignment="1">
      <alignment horizontal="center" vertical="center" shrinkToFit="1"/>
    </xf>
    <xf numFmtId="0" fontId="37" fillId="0" borderId="3" xfId="89" applyBorder="1" applyAlignment="1" applyProtection="1">
      <alignment horizontal="center" vertical="center"/>
    </xf>
    <xf numFmtId="0" fontId="44" fillId="30" borderId="1" xfId="0" applyFont="1" applyFill="1" applyBorder="1" applyAlignment="1">
      <alignment horizontal="center" vertical="center" textRotation="90" shrinkToFit="1"/>
    </xf>
    <xf numFmtId="0" fontId="40" fillId="30" borderId="9" xfId="0" applyFont="1" applyFill="1" applyBorder="1" applyAlignment="1">
      <alignment horizontal="center" vertical="center" textRotation="90" shrinkToFit="1"/>
    </xf>
    <xf numFmtId="0" fontId="40" fillId="31" borderId="9" xfId="0" applyFont="1" applyFill="1" applyBorder="1" applyAlignment="1">
      <alignment horizontal="center" vertical="center" textRotation="90" shrinkToFit="1"/>
    </xf>
    <xf numFmtId="0" fontId="40" fillId="31" borderId="9" xfId="0" applyFont="1" applyFill="1" applyBorder="1" applyAlignment="1">
      <alignment horizontal="center" vertical="center" shrinkToFit="1"/>
    </xf>
    <xf numFmtId="0" fontId="42" fillId="0" borderId="20" xfId="0" applyFont="1" applyBorder="1" applyAlignment="1">
      <alignment vertical="center"/>
    </xf>
    <xf numFmtId="0" fontId="43" fillId="0" borderId="21" xfId="0" applyFont="1" applyFill="1" applyBorder="1" applyAlignment="1">
      <alignment horizontal="center" vertical="center" shrinkToFit="1"/>
    </xf>
    <xf numFmtId="0" fontId="46" fillId="0" borderId="25" xfId="0" applyFont="1" applyBorder="1" applyAlignment="1">
      <alignment vertical="center" wrapText="1"/>
    </xf>
    <xf numFmtId="0" fontId="46" fillId="0" borderId="26" xfId="0" applyFont="1" applyBorder="1">
      <alignment vertical="center"/>
    </xf>
    <xf numFmtId="0" fontId="46" fillId="29" borderId="4" xfId="0" applyFont="1" applyFill="1" applyBorder="1">
      <alignment vertical="center"/>
    </xf>
    <xf numFmtId="0" fontId="46" fillId="0" borderId="50" xfId="0" applyFont="1" applyBorder="1" applyAlignment="1">
      <alignment vertical="center"/>
    </xf>
    <xf numFmtId="0" fontId="52" fillId="27" borderId="19" xfId="0" applyFont="1" applyFill="1" applyBorder="1" applyAlignment="1">
      <alignment vertical="center" wrapText="1"/>
    </xf>
    <xf numFmtId="0" fontId="43" fillId="0" borderId="2" xfId="0" applyFont="1" applyFill="1" applyBorder="1" applyAlignment="1">
      <alignment horizontal="center" vertical="center" shrinkToFit="1"/>
    </xf>
    <xf numFmtId="49" fontId="43" fillId="0" borderId="2" xfId="0" applyNumberFormat="1" applyFont="1" applyFill="1" applyBorder="1" applyAlignment="1">
      <alignment horizontal="center" vertical="center" shrinkToFit="1"/>
    </xf>
    <xf numFmtId="0" fontId="37" fillId="0" borderId="50" xfId="89" applyFill="1" applyBorder="1" applyAlignment="1" applyProtection="1">
      <alignment vertical="center"/>
    </xf>
    <xf numFmtId="0" fontId="8" fillId="0" borderId="19" xfId="0" applyFont="1" applyBorder="1" applyAlignment="1">
      <alignment vertical="center"/>
    </xf>
    <xf numFmtId="0" fontId="41" fillId="0" borderId="2" xfId="0" applyFont="1" applyFill="1" applyBorder="1" applyAlignment="1">
      <alignment horizontal="center" vertical="center" wrapText="1"/>
    </xf>
    <xf numFmtId="0" fontId="8" fillId="0" borderId="3" xfId="0" applyNumberFormat="1" applyFont="1" applyFill="1" applyBorder="1" applyAlignment="1">
      <alignment horizontal="left" vertical="center" shrinkToFit="1"/>
    </xf>
    <xf numFmtId="0" fontId="43" fillId="0" borderId="11" xfId="0" applyNumberFormat="1" applyFont="1" applyBorder="1" applyAlignment="1">
      <alignment horizontal="center" vertical="center" shrinkToFit="1"/>
    </xf>
    <xf numFmtId="0" fontId="43" fillId="0" borderId="10" xfId="0" applyNumberFormat="1" applyFont="1" applyBorder="1" applyAlignment="1">
      <alignment horizontal="center" vertical="center" shrinkToFit="1"/>
    </xf>
    <xf numFmtId="0" fontId="43" fillId="26" borderId="46" xfId="0" applyNumberFormat="1" applyFont="1" applyFill="1" applyBorder="1" applyAlignment="1">
      <alignment horizontal="center" vertical="center" shrinkToFit="1"/>
    </xf>
    <xf numFmtId="0" fontId="43" fillId="27" borderId="46" xfId="0" applyNumberFormat="1" applyFont="1" applyFill="1" applyBorder="1" applyAlignment="1">
      <alignment horizontal="center" vertical="center" shrinkToFit="1"/>
    </xf>
    <xf numFmtId="0" fontId="46" fillId="0" borderId="19" xfId="0" applyFont="1" applyFill="1" applyBorder="1" applyAlignment="1">
      <alignment vertical="center" shrinkToFit="1"/>
    </xf>
    <xf numFmtId="49" fontId="46" fillId="26" borderId="10" xfId="0" applyNumberFormat="1" applyFont="1" applyFill="1" applyBorder="1" applyAlignment="1">
      <alignment horizontal="center" vertical="center" shrinkToFit="1"/>
    </xf>
    <xf numFmtId="0" fontId="0" fillId="27" borderId="10" xfId="0" applyNumberFormat="1" applyFont="1" applyFill="1" applyBorder="1" applyAlignment="1">
      <alignment horizontal="left" vertical="center" shrinkToFit="1"/>
    </xf>
    <xf numFmtId="0" fontId="0" fillId="0" borderId="10" xfId="0" applyNumberFormat="1" applyFont="1" applyBorder="1" applyAlignment="1">
      <alignment horizontal="left" vertical="center" shrinkToFit="1"/>
    </xf>
    <xf numFmtId="0" fontId="0" fillId="0" borderId="10" xfId="0" applyNumberFormat="1" applyBorder="1" applyAlignment="1">
      <alignment horizontal="left" vertical="center" shrinkToFit="1"/>
    </xf>
    <xf numFmtId="0" fontId="0" fillId="0" borderId="10" xfId="0" applyNumberFormat="1" applyFont="1" applyBorder="1" applyAlignment="1">
      <alignment horizontal="left" vertical="center" wrapText="1" shrinkToFit="1"/>
    </xf>
    <xf numFmtId="0" fontId="46" fillId="30" borderId="2" xfId="0" applyFont="1" applyFill="1" applyBorder="1" applyAlignment="1">
      <alignment horizontal="center" vertical="center"/>
    </xf>
    <xf numFmtId="0" fontId="46" fillId="31" borderId="2" xfId="0" applyFont="1" applyFill="1" applyBorder="1" applyAlignment="1">
      <alignment horizontal="center" vertical="center"/>
    </xf>
    <xf numFmtId="0" fontId="46" fillId="32" borderId="2" xfId="0" applyFont="1" applyFill="1" applyBorder="1" applyAlignment="1">
      <alignment horizontal="center" vertical="center"/>
    </xf>
    <xf numFmtId="0" fontId="37" fillId="0" borderId="4" xfId="89" applyBorder="1" applyAlignment="1" applyProtection="1">
      <alignment horizontal="center" vertical="center"/>
    </xf>
    <xf numFmtId="0" fontId="37" fillId="0" borderId="5" xfId="89" applyBorder="1" applyAlignment="1" applyProtection="1">
      <alignment horizontal="center" vertical="center"/>
    </xf>
    <xf numFmtId="0" fontId="40" fillId="2" borderId="2" xfId="0" applyFont="1" applyFill="1" applyBorder="1" applyAlignment="1">
      <alignment horizontal="center" vertical="center" shrinkToFit="1"/>
    </xf>
    <xf numFmtId="0" fontId="0" fillId="0" borderId="0" xfId="0" applyBorder="1" applyAlignment="1">
      <alignment horizontal="center" vertical="center"/>
    </xf>
    <xf numFmtId="0" fontId="46" fillId="0" borderId="23" xfId="0" applyFont="1" applyBorder="1">
      <alignment vertical="center"/>
    </xf>
    <xf numFmtId="0" fontId="0" fillId="0" borderId="4" xfId="0" applyNumberFormat="1" applyFont="1" applyBorder="1" applyAlignment="1">
      <alignment horizontal="left" vertical="top" shrinkToFit="1"/>
    </xf>
    <xf numFmtId="0" fontId="0" fillId="0" borderId="5" xfId="0" applyNumberFormat="1" applyFont="1" applyBorder="1" applyAlignment="1">
      <alignment horizontal="left" vertical="top" shrinkToFit="1"/>
    </xf>
    <xf numFmtId="0" fontId="46" fillId="0" borderId="2" xfId="0" applyFont="1" applyBorder="1">
      <alignment vertical="center"/>
    </xf>
    <xf numFmtId="0" fontId="46" fillId="0" borderId="28" xfId="0" applyNumberFormat="1" applyFont="1" applyFill="1" applyBorder="1" applyAlignment="1">
      <alignment horizontal="left" vertical="center" shrinkToFit="1"/>
    </xf>
    <xf numFmtId="0" fontId="46" fillId="0" borderId="52" xfId="0" applyNumberFormat="1" applyFont="1" applyFill="1" applyBorder="1" applyAlignment="1">
      <alignment horizontal="left" vertical="center" shrinkToFit="1"/>
    </xf>
    <xf numFmtId="0" fontId="46" fillId="0" borderId="10" xfId="0" applyNumberFormat="1" applyFont="1" applyFill="1" applyBorder="1" applyAlignment="1">
      <alignment horizontal="left" vertical="center" shrinkToFit="1"/>
    </xf>
    <xf numFmtId="0" fontId="47" fillId="0" borderId="2" xfId="0" applyFont="1" applyBorder="1" applyAlignment="1">
      <alignment horizontal="center" vertical="center"/>
    </xf>
    <xf numFmtId="0" fontId="46" fillId="0" borderId="4" xfId="0" applyFont="1" applyBorder="1">
      <alignment vertical="center"/>
    </xf>
    <xf numFmtId="0" fontId="46" fillId="0" borderId="5" xfId="0" applyFont="1" applyBorder="1">
      <alignment vertical="center"/>
    </xf>
    <xf numFmtId="0" fontId="37" fillId="0" borderId="2" xfId="89" applyBorder="1" applyAlignment="1" applyProtection="1">
      <alignment horizontal="center" vertical="center" wrapText="1"/>
    </xf>
    <xf numFmtId="0" fontId="9" fillId="0" borderId="0" xfId="0" applyFont="1" applyAlignment="1">
      <alignment horizontal="center" vertical="center"/>
    </xf>
    <xf numFmtId="0" fontId="47" fillId="0" borderId="2" xfId="0" applyFont="1" applyFill="1" applyBorder="1" applyAlignment="1">
      <alignment horizontal="center" vertical="center" shrinkToFit="1"/>
    </xf>
    <xf numFmtId="0" fontId="47" fillId="0" borderId="5" xfId="0" applyFont="1" applyFill="1" applyBorder="1" applyAlignment="1">
      <alignment horizontal="center" vertical="center" shrinkToFit="1"/>
    </xf>
    <xf numFmtId="0" fontId="47" fillId="0" borderId="3" xfId="0" applyFont="1" applyFill="1" applyBorder="1" applyAlignment="1">
      <alignment horizontal="center" vertical="center" wrapText="1" shrinkToFit="1"/>
    </xf>
    <xf numFmtId="0" fontId="46" fillId="0" borderId="2" xfId="0" applyNumberFormat="1" applyFont="1" applyFill="1" applyBorder="1" applyAlignment="1">
      <alignment horizontal="left" vertical="center" wrapText="1" shrinkToFit="1"/>
    </xf>
    <xf numFmtId="0" fontId="47" fillId="0" borderId="8" xfId="0" applyNumberFormat="1" applyFont="1" applyFill="1" applyBorder="1" applyAlignment="1">
      <alignment horizontal="left" vertical="center" shrinkToFit="1"/>
    </xf>
    <xf numFmtId="0" fontId="46" fillId="0" borderId="23" xfId="0" applyFont="1" applyFill="1" applyBorder="1" applyAlignment="1">
      <alignment horizontal="center" vertical="center"/>
    </xf>
    <xf numFmtId="0" fontId="47" fillId="0" borderId="2" xfId="0" applyFont="1" applyFill="1" applyBorder="1" applyAlignment="1">
      <alignment horizontal="center" vertical="center"/>
    </xf>
    <xf numFmtId="0" fontId="49" fillId="0" borderId="9" xfId="89" applyFont="1" applyFill="1" applyBorder="1" applyAlignment="1" applyProtection="1">
      <alignment horizontal="center" vertical="center"/>
    </xf>
    <xf numFmtId="0" fontId="6" fillId="0" borderId="6" xfId="0" applyNumberFormat="1" applyFont="1" applyBorder="1" applyAlignment="1">
      <alignment horizontal="left" vertical="center" wrapText="1" shrinkToFit="1"/>
    </xf>
    <xf numFmtId="0" fontId="6" fillId="0" borderId="23" xfId="0" applyNumberFormat="1" applyFont="1" applyBorder="1" applyAlignment="1">
      <alignment horizontal="left" vertical="center" wrapText="1" shrinkToFit="1"/>
    </xf>
    <xf numFmtId="0" fontId="6" fillId="0" borderId="8" xfId="0" applyNumberFormat="1" applyFont="1" applyBorder="1" applyAlignment="1">
      <alignment horizontal="left" vertical="center" wrapText="1" shrinkToFit="1"/>
    </xf>
    <xf numFmtId="0" fontId="37" fillId="0" borderId="3" xfId="89" applyBorder="1" applyAlignment="1" applyProtection="1">
      <alignment horizontal="center" vertical="center"/>
    </xf>
    <xf numFmtId="0" fontId="0" fillId="0" borderId="2" xfId="0" applyFont="1" applyFill="1" applyBorder="1" applyAlignment="1">
      <alignment vertical="center" shrinkToFit="1"/>
    </xf>
    <xf numFmtId="0" fontId="46" fillId="30" borderId="25" xfId="0" applyFont="1" applyFill="1" applyBorder="1" applyAlignment="1">
      <alignment horizontal="center" vertical="center"/>
    </xf>
    <xf numFmtId="0" fontId="7" fillId="0" borderId="4" xfId="89" applyFont="1" applyFill="1" applyBorder="1" applyAlignment="1" applyProtection="1">
      <alignment vertical="center"/>
    </xf>
    <xf numFmtId="0" fontId="45" fillId="0" borderId="0" xfId="0" applyFont="1">
      <alignment vertical="center"/>
    </xf>
    <xf numFmtId="0" fontId="46" fillId="0" borderId="13" xfId="0" applyFont="1" applyBorder="1" applyAlignment="1">
      <alignment vertical="center"/>
    </xf>
    <xf numFmtId="0" fontId="46" fillId="0" borderId="24" xfId="0" applyFont="1" applyBorder="1" applyAlignment="1">
      <alignment vertical="center"/>
    </xf>
    <xf numFmtId="0" fontId="45" fillId="27" borderId="25" xfId="0" applyFont="1" applyFill="1" applyBorder="1" applyAlignment="1">
      <alignment horizontal="center" vertical="center" wrapText="1"/>
    </xf>
    <xf numFmtId="0" fontId="0" fillId="0" borderId="21" xfId="0" applyFont="1" applyFill="1" applyBorder="1" applyAlignment="1">
      <alignment vertical="center" shrinkToFit="1"/>
    </xf>
    <xf numFmtId="0" fontId="43" fillId="0" borderId="12" xfId="0" applyNumberFormat="1" applyFont="1" applyBorder="1" applyAlignment="1">
      <alignment horizontal="center" vertical="center" shrinkToFit="1"/>
    </xf>
    <xf numFmtId="0" fontId="43" fillId="27" borderId="10" xfId="0" applyNumberFormat="1" applyFont="1" applyFill="1" applyBorder="1" applyAlignment="1">
      <alignment horizontal="center" vertical="center" shrinkToFit="1"/>
    </xf>
    <xf numFmtId="0" fontId="43" fillId="0" borderId="23" xfId="0" applyFont="1" applyFill="1" applyBorder="1" applyAlignment="1">
      <alignment vertical="center" shrinkToFit="1"/>
    </xf>
    <xf numFmtId="0" fontId="43" fillId="0" borderId="7" xfId="0" applyFont="1" applyFill="1" applyBorder="1" applyAlignment="1">
      <alignment vertical="center" shrinkToFit="1"/>
    </xf>
    <xf numFmtId="188" fontId="40" fillId="2" borderId="2" xfId="0" applyNumberFormat="1" applyFont="1" applyFill="1" applyBorder="1" applyAlignment="1">
      <alignment horizontal="center" vertical="center" wrapText="1" shrinkToFit="1"/>
    </xf>
    <xf numFmtId="0" fontId="0" fillId="0" borderId="0" xfId="0" applyAlignment="1">
      <alignment vertical="center"/>
    </xf>
    <xf numFmtId="0" fontId="7" fillId="0" borderId="5" xfId="89" applyFont="1" applyFill="1" applyBorder="1" applyAlignment="1" applyProtection="1">
      <alignment vertical="center"/>
    </xf>
    <xf numFmtId="0" fontId="46" fillId="27" borderId="4" xfId="0" applyFont="1" applyFill="1" applyBorder="1">
      <alignment vertical="center"/>
    </xf>
    <xf numFmtId="49" fontId="46" fillId="27" borderId="4" xfId="0" applyNumberFormat="1" applyFont="1" applyFill="1" applyBorder="1" applyAlignment="1">
      <alignment horizontal="center" vertical="center" shrinkToFit="1"/>
    </xf>
    <xf numFmtId="49" fontId="46" fillId="27" borderId="28" xfId="0" applyNumberFormat="1" applyFont="1" applyFill="1" applyBorder="1" applyAlignment="1">
      <alignment vertical="center"/>
    </xf>
    <xf numFmtId="49" fontId="46" fillId="27" borderId="52" xfId="0" applyNumberFormat="1" applyFont="1" applyFill="1" applyBorder="1" applyAlignment="1">
      <alignment vertical="center"/>
    </xf>
    <xf numFmtId="49" fontId="46" fillId="27" borderId="10" xfId="0" applyNumberFormat="1" applyFont="1" applyFill="1" applyBorder="1" applyAlignment="1">
      <alignment vertical="center"/>
    </xf>
    <xf numFmtId="0" fontId="46" fillId="27" borderId="28" xfId="0" applyFont="1" applyFill="1" applyBorder="1" applyAlignment="1">
      <alignment vertical="center"/>
    </xf>
    <xf numFmtId="0" fontId="37" fillId="0" borderId="32" xfId="89" applyBorder="1" applyAlignment="1" applyProtection="1">
      <alignment horizontal="center" vertical="center" wrapText="1"/>
    </xf>
    <xf numFmtId="0" fontId="0" fillId="0" borderId="21" xfId="0" applyBorder="1" applyAlignment="1">
      <alignment horizontal="center" vertical="center" wrapText="1"/>
    </xf>
    <xf numFmtId="0" fontId="0" fillId="0" borderId="14" xfId="0" applyBorder="1">
      <alignment vertical="center"/>
    </xf>
    <xf numFmtId="0" fontId="50" fillId="27" borderId="36" xfId="0" applyNumberFormat="1" applyFont="1" applyFill="1" applyBorder="1" applyAlignment="1">
      <alignment horizontal="center" vertical="center" shrinkToFit="1"/>
    </xf>
    <xf numFmtId="0" fontId="46" fillId="27" borderId="89" xfId="0" applyNumberFormat="1" applyFont="1" applyFill="1" applyBorder="1" applyAlignment="1">
      <alignment vertical="center" shrinkToFit="1"/>
    </xf>
    <xf numFmtId="49" fontId="46" fillId="27" borderId="91" xfId="0" quotePrefix="1" applyNumberFormat="1" applyFont="1" applyFill="1" applyBorder="1" applyAlignment="1">
      <alignment horizontal="right" vertical="center" shrinkToFit="1"/>
    </xf>
    <xf numFmtId="0" fontId="43" fillId="27" borderId="36" xfId="0" applyNumberFormat="1" applyFont="1" applyFill="1" applyBorder="1" applyAlignment="1">
      <alignment vertical="center" shrinkToFit="1"/>
    </xf>
    <xf numFmtId="0" fontId="0" fillId="27" borderId="8" xfId="0" applyNumberFormat="1" applyFont="1" applyFill="1" applyBorder="1" applyAlignment="1">
      <alignment horizontal="left" vertical="top" shrinkToFit="1"/>
    </xf>
    <xf numFmtId="0" fontId="50" fillId="0" borderId="5" xfId="0" applyNumberFormat="1" applyFont="1" applyFill="1" applyBorder="1" applyAlignment="1">
      <alignment horizontal="center" vertical="center" shrinkToFit="1"/>
    </xf>
    <xf numFmtId="0" fontId="43" fillId="0" borderId="32" xfId="0" applyNumberFormat="1" applyFont="1" applyBorder="1" applyAlignment="1">
      <alignment horizontal="center" vertical="center" shrinkToFit="1"/>
    </xf>
    <xf numFmtId="0" fontId="43" fillId="0" borderId="32" xfId="0" applyNumberFormat="1" applyFont="1" applyBorder="1" applyAlignment="1">
      <alignment vertical="center" shrinkToFit="1"/>
    </xf>
    <xf numFmtId="0" fontId="0" fillId="0" borderId="32" xfId="0" applyNumberFormat="1" applyFont="1" applyBorder="1" applyAlignment="1">
      <alignment horizontal="left" vertical="center" wrapText="1" shrinkToFit="1"/>
    </xf>
    <xf numFmtId="0" fontId="46" fillId="0" borderId="23" xfId="0" applyNumberFormat="1" applyFont="1" applyFill="1" applyBorder="1" applyAlignment="1">
      <alignment vertical="center" wrapText="1"/>
    </xf>
    <xf numFmtId="0" fontId="46" fillId="0" borderId="7" xfId="0" applyNumberFormat="1" applyFont="1" applyFill="1" applyBorder="1" applyAlignment="1">
      <alignment vertical="center" wrapText="1"/>
    </xf>
    <xf numFmtId="0" fontId="46" fillId="0" borderId="2" xfId="0" applyNumberFormat="1" applyFont="1" applyFill="1" applyBorder="1" applyAlignment="1">
      <alignment vertical="center" wrapText="1"/>
    </xf>
    <xf numFmtId="0" fontId="0" fillId="0" borderId="2" xfId="0" applyFont="1" applyBorder="1" applyAlignment="1">
      <alignment vertical="center" wrapText="1"/>
    </xf>
    <xf numFmtId="0" fontId="0" fillId="0" borderId="7" xfId="0" applyFont="1" applyBorder="1" applyAlignment="1">
      <alignment vertical="center" wrapText="1"/>
    </xf>
    <xf numFmtId="0" fontId="45" fillId="27" borderId="50" xfId="0" applyFont="1" applyFill="1" applyBorder="1" applyAlignment="1">
      <alignment horizontal="center" vertical="center" wrapText="1"/>
    </xf>
    <xf numFmtId="0" fontId="37" fillId="0" borderId="2" xfId="89" applyBorder="1" applyAlignment="1" applyProtection="1">
      <alignment vertical="center"/>
    </xf>
    <xf numFmtId="0" fontId="37" fillId="0" borderId="50" xfId="89" applyBorder="1" applyAlignment="1" applyProtection="1">
      <alignment horizontal="center" vertical="center"/>
    </xf>
    <xf numFmtId="0" fontId="47" fillId="0" borderId="30" xfId="0" applyFont="1" applyFill="1" applyBorder="1" applyAlignment="1">
      <alignment horizontal="left" vertical="center"/>
    </xf>
    <xf numFmtId="49" fontId="47" fillId="0" borderId="56" xfId="0" applyNumberFormat="1" applyFont="1" applyFill="1" applyBorder="1" applyAlignment="1">
      <alignment horizontal="left" vertical="center"/>
    </xf>
    <xf numFmtId="49" fontId="47" fillId="0" borderId="29" xfId="0" applyNumberFormat="1" applyFont="1" applyFill="1" applyBorder="1" applyAlignment="1">
      <alignment horizontal="right" vertical="center"/>
    </xf>
    <xf numFmtId="0" fontId="37" fillId="0" borderId="0" xfId="89" applyBorder="1" applyAlignment="1" applyProtection="1">
      <alignment horizontal="center" vertical="center"/>
    </xf>
    <xf numFmtId="0" fontId="45" fillId="27" borderId="21" xfId="0" applyFont="1" applyFill="1" applyBorder="1" applyAlignment="1">
      <alignment horizontal="center" vertical="center" wrapText="1"/>
    </xf>
    <xf numFmtId="0" fontId="47" fillId="0" borderId="2" xfId="0" applyFont="1" applyBorder="1" applyAlignment="1">
      <alignment horizontal="left" vertical="center"/>
    </xf>
    <xf numFmtId="0" fontId="8" fillId="0" borderId="15" xfId="0" applyFont="1" applyBorder="1">
      <alignment vertical="center"/>
    </xf>
    <xf numFmtId="0" fontId="8" fillId="0" borderId="14" xfId="0" applyFont="1" applyBorder="1">
      <alignment vertical="center"/>
    </xf>
    <xf numFmtId="0" fontId="9" fillId="0" borderId="14" xfId="0" applyFont="1" applyBorder="1">
      <alignment vertical="center"/>
    </xf>
    <xf numFmtId="0" fontId="9" fillId="0" borderId="22" xfId="0" applyFont="1" applyBorder="1">
      <alignment vertical="center"/>
    </xf>
    <xf numFmtId="0" fontId="47" fillId="0" borderId="0" xfId="0" applyNumberFormat="1" applyFont="1" applyFill="1" applyBorder="1" applyAlignment="1">
      <alignment vertical="center" wrapText="1" shrinkToFit="1"/>
    </xf>
    <xf numFmtId="49" fontId="47" fillId="0" borderId="0" xfId="0" applyNumberFormat="1" applyFont="1" applyFill="1" applyBorder="1" applyAlignment="1">
      <alignment horizontal="left" vertical="center" shrinkToFit="1"/>
    </xf>
    <xf numFmtId="49" fontId="47" fillId="0" borderId="14" xfId="0" applyNumberFormat="1" applyFont="1" applyFill="1" applyBorder="1" applyAlignment="1">
      <alignment horizontal="right" vertical="center" shrinkToFit="1"/>
    </xf>
    <xf numFmtId="0" fontId="46" fillId="0" borderId="0" xfId="0" applyFont="1" applyBorder="1" applyAlignment="1">
      <alignment horizontal="left" vertical="center"/>
    </xf>
    <xf numFmtId="0" fontId="46" fillId="0" borderId="3" xfId="0" applyFont="1" applyBorder="1" applyAlignment="1">
      <alignment horizontal="center" vertical="center" wrapText="1" shrinkToFit="1"/>
    </xf>
    <xf numFmtId="0" fontId="46" fillId="0" borderId="8" xfId="0" applyFont="1" applyBorder="1" applyAlignment="1">
      <alignment horizontal="center" vertical="center" wrapText="1" shrinkToFit="1"/>
    </xf>
    <xf numFmtId="0" fontId="46" fillId="0" borderId="6" xfId="0" applyFont="1" applyBorder="1" applyAlignment="1">
      <alignment horizontal="center" vertical="center" wrapText="1" shrinkToFit="1"/>
    </xf>
    <xf numFmtId="0" fontId="46" fillId="0" borderId="23" xfId="0" applyFont="1" applyBorder="1" applyAlignment="1">
      <alignment horizontal="center" vertical="center" shrinkToFit="1"/>
    </xf>
    <xf numFmtId="0" fontId="46" fillId="0" borderId="2" xfId="0" applyFont="1" applyBorder="1" applyAlignment="1">
      <alignment horizontal="center" vertical="center" shrinkToFit="1"/>
    </xf>
    <xf numFmtId="0" fontId="46" fillId="0" borderId="4" xfId="0" applyFont="1" applyBorder="1" applyAlignment="1">
      <alignment horizontal="center" vertical="center" wrapText="1" shrinkToFit="1"/>
    </xf>
    <xf numFmtId="0" fontId="46" fillId="0" borderId="17" xfId="0" applyFont="1" applyBorder="1" applyAlignment="1">
      <alignment horizontal="left" vertical="center"/>
    </xf>
    <xf numFmtId="0" fontId="0" fillId="0" borderId="3" xfId="0" applyBorder="1" applyAlignment="1">
      <alignment horizontal="left" vertical="center"/>
    </xf>
    <xf numFmtId="0" fontId="0" fillId="0" borderId="3" xfId="0" applyFont="1" applyBorder="1" applyAlignment="1">
      <alignment horizontal="left" vertical="center"/>
    </xf>
    <xf numFmtId="0" fontId="46" fillId="0" borderId="47" xfId="0" applyNumberFormat="1" applyFont="1" applyFill="1" applyBorder="1" applyAlignment="1">
      <alignment horizontal="left" vertical="center" shrinkToFit="1"/>
    </xf>
    <xf numFmtId="0" fontId="46" fillId="0" borderId="8" xfId="0" applyFont="1" applyBorder="1" applyAlignment="1">
      <alignment horizontal="left" vertical="center"/>
    </xf>
    <xf numFmtId="0" fontId="0" fillId="0" borderId="8" xfId="0" applyBorder="1" applyAlignment="1">
      <alignment horizontal="left" vertical="center"/>
    </xf>
    <xf numFmtId="0" fontId="0" fillId="0" borderId="8" xfId="0" applyFont="1" applyBorder="1" applyAlignment="1">
      <alignment horizontal="left" vertical="center"/>
    </xf>
    <xf numFmtId="49" fontId="46" fillId="0" borderId="57" xfId="0" applyNumberFormat="1" applyFont="1" applyFill="1" applyBorder="1" applyAlignment="1">
      <alignment horizontal="left" vertical="center" shrinkToFit="1"/>
    </xf>
    <xf numFmtId="49" fontId="46" fillId="0" borderId="11" xfId="0" applyNumberFormat="1" applyFont="1" applyFill="1" applyBorder="1" applyAlignment="1">
      <alignment horizontal="left" vertical="center" shrinkToFit="1"/>
    </xf>
    <xf numFmtId="0" fontId="0" fillId="0" borderId="23" xfId="0" applyFont="1" applyBorder="1" applyAlignment="1">
      <alignment horizontal="left" vertical="center"/>
    </xf>
    <xf numFmtId="0" fontId="0" fillId="0" borderId="4" xfId="0" applyFont="1" applyBorder="1" applyAlignment="1">
      <alignment horizontal="left" vertical="center"/>
    </xf>
    <xf numFmtId="17" fontId="46" fillId="0" borderId="28" xfId="0" applyNumberFormat="1" applyFont="1" applyFill="1" applyBorder="1" applyAlignment="1">
      <alignment horizontal="left" vertical="center" shrinkToFit="1"/>
    </xf>
    <xf numFmtId="0" fontId="0" fillId="0" borderId="4" xfId="0" applyFont="1" applyBorder="1" applyAlignment="1">
      <alignment horizontal="left" vertical="center" wrapText="1"/>
    </xf>
    <xf numFmtId="0" fontId="47" fillId="29" borderId="4" xfId="0" applyFont="1" applyFill="1" applyBorder="1" applyAlignment="1">
      <alignment horizontal="left" vertical="center" shrinkToFit="1"/>
    </xf>
    <xf numFmtId="0" fontId="0" fillId="0" borderId="28" xfId="0" applyNumberFormat="1" applyFont="1" applyFill="1" applyBorder="1" applyAlignment="1">
      <alignment horizontal="left" vertical="center" shrinkToFit="1"/>
    </xf>
    <xf numFmtId="0" fontId="46" fillId="0" borderId="5" xfId="0" applyFont="1" applyBorder="1" applyAlignment="1">
      <alignment horizontal="left" vertical="center"/>
    </xf>
    <xf numFmtId="49" fontId="46" fillId="29" borderId="28" xfId="0" applyNumberFormat="1" applyFont="1" applyFill="1" applyBorder="1" applyAlignment="1">
      <alignment horizontal="left" vertical="center" wrapText="1" shrinkToFit="1"/>
    </xf>
    <xf numFmtId="49" fontId="46" fillId="29" borderId="52" xfId="0" applyNumberFormat="1" applyFont="1" applyFill="1" applyBorder="1" applyAlignment="1">
      <alignment horizontal="left" vertical="center" wrapText="1" shrinkToFit="1"/>
    </xf>
    <xf numFmtId="49" fontId="46" fillId="29" borderId="10" xfId="0" applyNumberFormat="1" applyFont="1" applyFill="1" applyBorder="1" applyAlignment="1">
      <alignment horizontal="left" vertical="center" wrapText="1" shrinkToFit="1"/>
    </xf>
    <xf numFmtId="0" fontId="46" fillId="29" borderId="28" xfId="0" applyNumberFormat="1" applyFont="1" applyFill="1" applyBorder="1" applyAlignment="1">
      <alignment horizontal="left" vertical="center" wrapText="1" shrinkToFit="1"/>
    </xf>
    <xf numFmtId="0" fontId="47" fillId="29" borderId="4" xfId="0" applyNumberFormat="1" applyFont="1" applyFill="1" applyBorder="1" applyAlignment="1">
      <alignment horizontal="left" vertical="center" shrinkToFit="1"/>
    </xf>
    <xf numFmtId="0" fontId="46" fillId="29" borderId="28" xfId="0" applyNumberFormat="1" applyFont="1" applyFill="1" applyBorder="1" applyAlignment="1">
      <alignment horizontal="left" vertical="center" shrinkToFit="1"/>
    </xf>
    <xf numFmtId="49" fontId="46" fillId="29" borderId="52" xfId="0" applyNumberFormat="1" applyFont="1" applyFill="1" applyBorder="1" applyAlignment="1">
      <alignment horizontal="left" vertical="center" shrinkToFit="1"/>
    </xf>
    <xf numFmtId="49" fontId="46" fillId="29" borderId="10" xfId="0" applyNumberFormat="1" applyFont="1" applyFill="1" applyBorder="1" applyAlignment="1">
      <alignment horizontal="left" vertical="center" shrinkToFit="1"/>
    </xf>
    <xf numFmtId="0" fontId="46" fillId="29" borderId="28" xfId="0" quotePrefix="1" applyNumberFormat="1" applyFont="1" applyFill="1" applyBorder="1" applyAlignment="1">
      <alignment horizontal="left" vertical="center" wrapText="1" shrinkToFit="1"/>
    </xf>
    <xf numFmtId="49" fontId="46" fillId="29" borderId="52" xfId="0" quotePrefix="1" applyNumberFormat="1" applyFont="1" applyFill="1" applyBorder="1" applyAlignment="1">
      <alignment horizontal="left" vertical="center" wrapText="1" shrinkToFit="1"/>
    </xf>
    <xf numFmtId="0" fontId="0" fillId="29" borderId="4" xfId="0" applyFont="1" applyFill="1" applyBorder="1" applyAlignment="1">
      <alignment horizontal="left" vertical="center" wrapText="1"/>
    </xf>
    <xf numFmtId="0" fontId="46" fillId="29" borderId="16" xfId="0" applyFont="1" applyFill="1" applyBorder="1" applyAlignment="1">
      <alignment horizontal="left" vertical="center"/>
    </xf>
    <xf numFmtId="0" fontId="46" fillId="29" borderId="16" xfId="0" applyFont="1" applyFill="1" applyBorder="1" applyAlignment="1">
      <alignment vertical="center"/>
    </xf>
    <xf numFmtId="0" fontId="0" fillId="0" borderId="3" xfId="0" applyNumberFormat="1" applyFont="1" applyFill="1" applyBorder="1" applyAlignment="1">
      <alignment horizontal="left" vertical="center" shrinkToFit="1"/>
    </xf>
    <xf numFmtId="0" fontId="0" fillId="0" borderId="0" xfId="0" applyBorder="1" applyAlignment="1">
      <alignment horizontal="left" vertical="center"/>
    </xf>
    <xf numFmtId="49" fontId="0" fillId="0" borderId="0" xfId="0" applyNumberFormat="1" applyBorder="1">
      <alignment vertical="center"/>
    </xf>
    <xf numFmtId="49" fontId="0" fillId="0" borderId="0" xfId="0" applyNumberFormat="1" applyBorder="1" applyAlignment="1">
      <alignment horizontal="right" vertical="center"/>
    </xf>
    <xf numFmtId="0" fontId="8" fillId="0" borderId="3" xfId="0" applyFont="1" applyFill="1" applyBorder="1" applyAlignment="1">
      <alignment vertical="center" wrapText="1"/>
    </xf>
    <xf numFmtId="0" fontId="8" fillId="0" borderId="23" xfId="0" applyFont="1" applyFill="1" applyBorder="1" applyAlignment="1">
      <alignment vertical="center" wrapText="1"/>
    </xf>
    <xf numFmtId="0" fontId="8" fillId="0" borderId="5" xfId="0" applyFont="1" applyFill="1" applyBorder="1" applyAlignment="1">
      <alignment vertical="center" wrapText="1"/>
    </xf>
    <xf numFmtId="0" fontId="46" fillId="29" borderId="2" xfId="0" applyNumberFormat="1" applyFont="1" applyFill="1" applyBorder="1" applyAlignment="1">
      <alignment vertical="center" wrapText="1" shrinkToFit="1"/>
    </xf>
    <xf numFmtId="0" fontId="46" fillId="29" borderId="19" xfId="0" applyNumberFormat="1" applyFont="1" applyFill="1" applyBorder="1" applyAlignment="1">
      <alignment vertical="center" wrapText="1" shrinkToFit="1"/>
    </xf>
    <xf numFmtId="0" fontId="46" fillId="29" borderId="19" xfId="0" applyNumberFormat="1" applyFont="1" applyFill="1" applyBorder="1" applyAlignment="1">
      <alignment horizontal="left" vertical="center" wrapText="1" shrinkToFit="1"/>
    </xf>
    <xf numFmtId="0" fontId="54" fillId="0" borderId="1" xfId="0" applyFont="1" applyBorder="1" applyAlignment="1">
      <alignment horizontal="center" vertical="center"/>
    </xf>
    <xf numFmtId="0" fontId="54" fillId="0" borderId="0" xfId="0" applyFont="1">
      <alignment vertical="center"/>
    </xf>
    <xf numFmtId="0" fontId="43" fillId="2" borderId="96" xfId="0" applyFont="1" applyFill="1" applyBorder="1" applyAlignment="1">
      <alignment horizontal="center" vertical="center" shrinkToFit="1"/>
    </xf>
    <xf numFmtId="0" fontId="46" fillId="0" borderId="97" xfId="0" applyFont="1" applyBorder="1">
      <alignment vertical="center"/>
    </xf>
    <xf numFmtId="0" fontId="43" fillId="2" borderId="59" xfId="0" applyFont="1" applyFill="1" applyBorder="1" applyAlignment="1">
      <alignment horizontal="center" vertical="center" shrinkToFit="1"/>
    </xf>
    <xf numFmtId="0" fontId="65" fillId="0" borderId="13" xfId="0" applyFont="1" applyBorder="1" applyAlignment="1">
      <alignment horizontal="left" vertical="center"/>
    </xf>
    <xf numFmtId="0" fontId="65" fillId="0" borderId="0" xfId="0" applyFont="1" applyAlignment="1">
      <alignment horizontal="left" vertical="center"/>
    </xf>
    <xf numFmtId="0" fontId="37" fillId="0" borderId="81" xfId="89" applyBorder="1" applyAlignment="1" applyProtection="1">
      <alignment vertical="center"/>
    </xf>
    <xf numFmtId="0" fontId="50" fillId="0" borderId="17" xfId="0" applyNumberFormat="1" applyFont="1" applyFill="1" applyBorder="1" applyAlignment="1">
      <alignment vertical="center" wrapText="1" shrinkToFit="1"/>
    </xf>
    <xf numFmtId="0" fontId="50" fillId="0" borderId="16" xfId="0" applyNumberFormat="1" applyFont="1" applyFill="1" applyBorder="1" applyAlignment="1">
      <alignment vertical="center" shrinkToFit="1"/>
    </xf>
    <xf numFmtId="0" fontId="50" fillId="0" borderId="16" xfId="0" applyNumberFormat="1" applyFont="1" applyFill="1" applyBorder="1" applyAlignment="1">
      <alignment vertical="center" wrapText="1" shrinkToFit="1"/>
    </xf>
    <xf numFmtId="0" fontId="46" fillId="0" borderId="16" xfId="0" applyNumberFormat="1" applyFont="1" applyFill="1" applyBorder="1" applyAlignment="1">
      <alignment vertical="center" wrapText="1" shrinkToFit="1"/>
    </xf>
    <xf numFmtId="0" fontId="46" fillId="0" borderId="16" xfId="0" applyNumberFormat="1" applyFont="1" applyFill="1" applyBorder="1" applyAlignment="1">
      <alignment vertical="center" shrinkToFit="1"/>
    </xf>
    <xf numFmtId="0" fontId="46" fillId="0" borderId="75" xfId="0" applyFont="1" applyFill="1" applyBorder="1">
      <alignment vertical="center"/>
    </xf>
    <xf numFmtId="0" fontId="48" fillId="0" borderId="16" xfId="0" applyFont="1" applyFill="1" applyBorder="1" applyAlignment="1">
      <alignment horizontal="center" vertical="center"/>
    </xf>
    <xf numFmtId="0" fontId="48" fillId="0" borderId="18" xfId="0" applyFont="1" applyFill="1" applyBorder="1" applyAlignment="1">
      <alignment horizontal="center" vertical="center"/>
    </xf>
    <xf numFmtId="0" fontId="47" fillId="29" borderId="7" xfId="0" applyFont="1" applyFill="1" applyBorder="1" applyAlignment="1">
      <alignment horizontal="center" vertical="center" shrinkToFit="1"/>
    </xf>
    <xf numFmtId="0" fontId="46" fillId="29" borderId="7" xfId="0" applyFont="1" applyFill="1" applyBorder="1" applyAlignment="1">
      <alignment horizontal="left" vertical="center" wrapText="1" shrinkToFit="1"/>
    </xf>
    <xf numFmtId="0" fontId="46" fillId="0" borderId="23" xfId="0" applyFont="1" applyFill="1" applyBorder="1" applyAlignment="1">
      <alignment horizontal="left" vertical="center" shrinkToFit="1"/>
    </xf>
    <xf numFmtId="0" fontId="43" fillId="0" borderId="6" xfId="0" applyNumberFormat="1" applyFont="1" applyBorder="1" applyAlignment="1">
      <alignment horizontal="center" vertical="center" shrinkToFit="1"/>
    </xf>
    <xf numFmtId="0" fontId="43" fillId="0" borderId="29" xfId="0" applyNumberFormat="1" applyFont="1" applyBorder="1" applyAlignment="1">
      <alignment horizontal="center" vertical="center" shrinkToFit="1"/>
    </xf>
    <xf numFmtId="0" fontId="43" fillId="0" borderId="29" xfId="0" applyNumberFormat="1" applyFont="1" applyBorder="1" applyAlignment="1">
      <alignment vertical="center" shrinkToFit="1"/>
    </xf>
    <xf numFmtId="0" fontId="47" fillId="0" borderId="0" xfId="0" applyFont="1" applyAlignment="1">
      <alignment horizontal="center" vertical="center"/>
    </xf>
    <xf numFmtId="0" fontId="47" fillId="29" borderId="28" xfId="0" applyNumberFormat="1" applyFont="1" applyFill="1" applyBorder="1" applyAlignment="1">
      <alignment vertical="center" shrinkToFit="1"/>
    </xf>
    <xf numFmtId="49" fontId="46" fillId="29" borderId="4" xfId="0" applyNumberFormat="1" applyFont="1" applyFill="1" applyBorder="1" applyAlignment="1">
      <alignment horizontal="center" vertical="center" shrinkToFit="1"/>
    </xf>
    <xf numFmtId="14" fontId="0" fillId="0" borderId="0" xfId="0" applyNumberFormat="1">
      <alignment vertical="center"/>
    </xf>
    <xf numFmtId="0" fontId="12" fillId="0" borderId="3" xfId="0" applyFont="1" applyBorder="1" applyAlignment="1">
      <alignment vertical="center" wrapText="1"/>
    </xf>
    <xf numFmtId="0" fontId="12" fillId="0" borderId="4" xfId="0" applyFont="1" applyBorder="1" applyAlignment="1">
      <alignment vertical="center" wrapText="1"/>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49" fontId="46" fillId="0" borderId="27" xfId="0" applyNumberFormat="1" applyFont="1" applyFill="1" applyBorder="1" applyAlignment="1">
      <alignment horizontal="left" vertical="center"/>
    </xf>
    <xf numFmtId="49" fontId="46" fillId="0" borderId="51" xfId="0" applyNumberFormat="1" applyFont="1" applyFill="1" applyBorder="1" applyAlignment="1">
      <alignment horizontal="left" vertical="center"/>
    </xf>
    <xf numFmtId="49" fontId="46" fillId="0" borderId="12" xfId="0" applyNumberFormat="1" applyFont="1" applyFill="1" applyBorder="1" applyAlignment="1">
      <alignment horizontal="left" vertical="center"/>
    </xf>
    <xf numFmtId="49" fontId="46" fillId="0" borderId="28" xfId="0" applyNumberFormat="1" applyFont="1" applyFill="1" applyBorder="1" applyAlignment="1">
      <alignment horizontal="left" vertical="center"/>
    </xf>
    <xf numFmtId="49" fontId="46" fillId="0" borderId="52" xfId="0" applyNumberFormat="1" applyFont="1" applyFill="1" applyBorder="1" applyAlignment="1">
      <alignment horizontal="left" vertical="center"/>
    </xf>
    <xf numFmtId="49" fontId="46" fillId="0" borderId="10" xfId="0" applyNumberFormat="1" applyFont="1" applyFill="1" applyBorder="1" applyAlignment="1">
      <alignment horizontal="left" vertical="center"/>
    </xf>
    <xf numFmtId="49" fontId="46" fillId="0" borderId="31" xfId="0" applyNumberFormat="1" applyFont="1" applyFill="1" applyBorder="1" applyAlignment="1">
      <alignment horizontal="left" vertical="center"/>
    </xf>
    <xf numFmtId="49" fontId="46" fillId="0" borderId="53" xfId="0" applyNumberFormat="1" applyFont="1" applyFill="1" applyBorder="1" applyAlignment="1">
      <alignment horizontal="left" vertical="center"/>
    </xf>
    <xf numFmtId="49" fontId="46" fillId="0" borderId="32" xfId="0" applyNumberFormat="1" applyFont="1" applyFill="1" applyBorder="1" applyAlignment="1">
      <alignment horizontal="left" vertical="center"/>
    </xf>
    <xf numFmtId="0" fontId="46" fillId="0" borderId="3" xfId="0" applyFont="1" applyFill="1" applyBorder="1" applyAlignment="1">
      <alignment horizontal="center" vertical="center"/>
    </xf>
    <xf numFmtId="0" fontId="46" fillId="0" borderId="4" xfId="0" applyFont="1" applyFill="1" applyBorder="1" applyAlignment="1">
      <alignment horizontal="center" vertical="center"/>
    </xf>
    <xf numFmtId="0" fontId="46" fillId="0" borderId="5" xfId="0" applyFont="1" applyFill="1" applyBorder="1" applyAlignment="1">
      <alignment horizontal="center" vertical="center"/>
    </xf>
    <xf numFmtId="0" fontId="47" fillId="0" borderId="3" xfId="0" applyFont="1" applyBorder="1" applyAlignment="1">
      <alignment horizontal="center" vertical="center" wrapText="1" shrinkToFit="1"/>
    </xf>
    <xf numFmtId="0" fontId="46" fillId="0" borderId="20" xfId="0" applyFont="1" applyBorder="1" applyAlignment="1">
      <alignment horizontal="center" vertical="center"/>
    </xf>
    <xf numFmtId="49" fontId="47" fillId="0" borderId="20" xfId="0" applyNumberFormat="1" applyFont="1" applyFill="1" applyBorder="1" applyAlignment="1">
      <alignment horizontal="left" vertical="center" shrinkToFit="1"/>
    </xf>
    <xf numFmtId="0" fontId="8" fillId="0" borderId="2" xfId="0" applyNumberFormat="1" applyFont="1" applyFill="1" applyBorder="1" applyAlignment="1">
      <alignment horizontal="center" vertical="top" wrapText="1" shrinkToFit="1"/>
    </xf>
    <xf numFmtId="0" fontId="37" fillId="0" borderId="3" xfId="89" applyBorder="1" applyAlignment="1" applyProtection="1">
      <alignment horizontal="center" vertical="center" wrapText="1"/>
    </xf>
    <xf numFmtId="0" fontId="47" fillId="0" borderId="3"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6" fillId="0" borderId="2" xfId="0" applyFont="1" applyFill="1" applyBorder="1" applyAlignment="1">
      <alignment horizontal="center" vertical="center"/>
    </xf>
    <xf numFmtId="0" fontId="47" fillId="0" borderId="2" xfId="0" applyNumberFormat="1" applyFont="1" applyFill="1" applyBorder="1" applyAlignment="1">
      <alignment horizontal="center" vertical="center" shrinkToFit="1"/>
    </xf>
    <xf numFmtId="0" fontId="46" fillId="0" borderId="3" xfId="0" applyNumberFormat="1" applyFont="1" applyFill="1" applyBorder="1" applyAlignment="1">
      <alignment horizontal="center" vertical="center" shrinkToFit="1"/>
    </xf>
    <xf numFmtId="0" fontId="46" fillId="0" borderId="4" xfId="0" applyFont="1" applyBorder="1">
      <alignment vertical="center"/>
    </xf>
    <xf numFmtId="0" fontId="46" fillId="0" borderId="5" xfId="0" applyFont="1" applyBorder="1">
      <alignment vertical="center"/>
    </xf>
    <xf numFmtId="49" fontId="46" fillId="0" borderId="7" xfId="0" applyNumberFormat="1" applyFont="1" applyFill="1" applyBorder="1" applyAlignment="1">
      <alignment horizontal="center" vertical="center" shrinkToFit="1"/>
    </xf>
    <xf numFmtId="0" fontId="46" fillId="0" borderId="5" xfId="0" applyNumberFormat="1" applyFont="1" applyFill="1" applyBorder="1" applyAlignment="1">
      <alignment horizontal="center" vertical="center" shrinkToFit="1"/>
    </xf>
    <xf numFmtId="49" fontId="46" fillId="0" borderId="4" xfId="0" applyNumberFormat="1" applyFont="1" applyFill="1" applyBorder="1" applyAlignment="1">
      <alignment horizontal="center" vertical="center" shrinkToFit="1"/>
    </xf>
    <xf numFmtId="0" fontId="37" fillId="0" borderId="3" xfId="89" applyBorder="1" applyAlignment="1" applyProtection="1">
      <alignment horizontal="center" vertical="center" wrapText="1"/>
    </xf>
    <xf numFmtId="0" fontId="46" fillId="0" borderId="2" xfId="0" applyFont="1" applyFill="1" applyBorder="1" applyAlignment="1">
      <alignment horizontal="center" vertical="center"/>
    </xf>
    <xf numFmtId="0" fontId="47" fillId="0" borderId="3"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7" fillId="0" borderId="2" xfId="0" applyNumberFormat="1" applyFont="1" applyFill="1" applyBorder="1" applyAlignment="1">
      <alignment horizontal="center" vertical="center" shrinkToFit="1"/>
    </xf>
    <xf numFmtId="0" fontId="46" fillId="0" borderId="3" xfId="0" applyNumberFormat="1" applyFont="1" applyFill="1" applyBorder="1" applyAlignment="1">
      <alignment horizontal="center" vertical="center" shrinkToFit="1"/>
    </xf>
    <xf numFmtId="0" fontId="46" fillId="0" borderId="4" xfId="0" applyFont="1" applyBorder="1">
      <alignment vertical="center"/>
    </xf>
    <xf numFmtId="0" fontId="46" fillId="0" borderId="5" xfId="0" applyFont="1" applyBorder="1">
      <alignment vertical="center"/>
    </xf>
    <xf numFmtId="49" fontId="46" fillId="0" borderId="7" xfId="0" applyNumberFormat="1" applyFont="1" applyFill="1" applyBorder="1" applyAlignment="1">
      <alignment horizontal="center" vertical="center" shrinkToFit="1"/>
    </xf>
    <xf numFmtId="0" fontId="46" fillId="0" borderId="5" xfId="0" applyNumberFormat="1" applyFont="1" applyFill="1" applyBorder="1" applyAlignment="1">
      <alignment horizontal="center" vertical="center" shrinkToFit="1"/>
    </xf>
    <xf numFmtId="49" fontId="46" fillId="0" borderId="4" xfId="0" applyNumberFormat="1" applyFont="1" applyFill="1" applyBorder="1" applyAlignment="1">
      <alignment horizontal="center" vertical="center" shrinkToFit="1"/>
    </xf>
    <xf numFmtId="0" fontId="37" fillId="0" borderId="2" xfId="89" applyBorder="1" applyAlignment="1" applyProtection="1">
      <alignment horizontal="center" vertical="center"/>
    </xf>
    <xf numFmtId="0" fontId="37" fillId="0" borderId="3" xfId="89" applyBorder="1" applyAlignment="1" applyProtection="1">
      <alignment horizontal="center" vertical="center"/>
    </xf>
    <xf numFmtId="0" fontId="46" fillId="0" borderId="2" xfId="0" applyFont="1" applyBorder="1" applyAlignment="1">
      <alignment horizontal="center" vertical="center" wrapText="1"/>
    </xf>
    <xf numFmtId="49" fontId="42" fillId="0" borderId="0" xfId="0" applyNumberFormat="1" applyFont="1" applyBorder="1" applyAlignment="1">
      <alignment horizontal="center" vertical="center"/>
    </xf>
    <xf numFmtId="0" fontId="46" fillId="0" borderId="0" xfId="0" applyFont="1" applyBorder="1" applyAlignment="1">
      <alignment horizontal="center" vertical="center" wrapText="1"/>
    </xf>
    <xf numFmtId="49" fontId="46" fillId="0" borderId="0" xfId="0" applyNumberFormat="1" applyFont="1" applyFill="1" applyBorder="1" applyAlignment="1">
      <alignment horizontal="left" vertical="center"/>
    </xf>
    <xf numFmtId="0" fontId="37" fillId="0" borderId="7" xfId="89" applyBorder="1" applyAlignment="1" applyProtection="1">
      <alignment horizontal="center" vertical="center"/>
    </xf>
    <xf numFmtId="0" fontId="0" fillId="0" borderId="0" xfId="0" applyBorder="1" applyAlignment="1">
      <alignment horizontal="center" vertical="center"/>
    </xf>
    <xf numFmtId="0" fontId="46" fillId="0" borderId="23" xfId="0" applyFont="1" applyBorder="1">
      <alignment vertical="center"/>
    </xf>
    <xf numFmtId="0" fontId="47" fillId="0" borderId="5" xfId="0" applyNumberFormat="1" applyFont="1" applyFill="1" applyBorder="1" applyAlignment="1">
      <alignment horizontal="center" vertical="center" shrinkToFit="1"/>
    </xf>
    <xf numFmtId="0" fontId="0" fillId="0" borderId="7" xfId="0" applyFont="1" applyBorder="1" applyAlignment="1">
      <alignment horizontal="center" vertical="center"/>
    </xf>
    <xf numFmtId="0" fontId="0" fillId="0" borderId="7" xfId="0" applyFont="1" applyBorder="1" applyAlignment="1">
      <alignment horizontal="center" vertical="center" wrapText="1"/>
    </xf>
    <xf numFmtId="0" fontId="46" fillId="0" borderId="28" xfId="0" applyNumberFormat="1" applyFont="1" applyFill="1" applyBorder="1" applyAlignment="1">
      <alignment horizontal="left" vertical="center" shrinkToFit="1"/>
    </xf>
    <xf numFmtId="0" fontId="46" fillId="0" borderId="52" xfId="0" applyNumberFormat="1" applyFont="1" applyFill="1" applyBorder="1" applyAlignment="1">
      <alignment horizontal="left" vertical="center" shrinkToFit="1"/>
    </xf>
    <xf numFmtId="0" fontId="46" fillId="0" borderId="10" xfId="0" applyNumberFormat="1" applyFont="1" applyFill="1" applyBorder="1" applyAlignment="1">
      <alignment horizontal="left" vertical="center" shrinkToFit="1"/>
    </xf>
    <xf numFmtId="0" fontId="46" fillId="0" borderId="5" xfId="0" applyFont="1" applyBorder="1">
      <alignment vertical="center"/>
    </xf>
    <xf numFmtId="0" fontId="47" fillId="0" borderId="23" xfId="0" applyNumberFormat="1" applyFont="1" applyFill="1" applyBorder="1" applyAlignment="1">
      <alignment horizontal="center" vertical="center" wrapText="1" shrinkToFit="1"/>
    </xf>
    <xf numFmtId="0" fontId="47" fillId="0" borderId="6" xfId="0" applyNumberFormat="1" applyFont="1" applyFill="1" applyBorder="1" applyAlignment="1">
      <alignment horizontal="center" vertical="center" shrinkToFit="1"/>
    </xf>
    <xf numFmtId="0" fontId="0" fillId="0" borderId="6" xfId="0" applyFont="1" applyBorder="1" applyAlignment="1">
      <alignment horizontal="left" vertical="center"/>
    </xf>
    <xf numFmtId="0" fontId="47" fillId="0" borderId="2" xfId="0" applyFont="1" applyFill="1" applyBorder="1" applyAlignment="1">
      <alignment horizontal="center" vertical="center" wrapText="1" shrinkToFit="1"/>
    </xf>
    <xf numFmtId="0" fontId="47" fillId="0" borderId="2" xfId="0" applyFont="1" applyFill="1" applyBorder="1" applyAlignment="1">
      <alignment horizontal="center" vertical="center"/>
    </xf>
    <xf numFmtId="0" fontId="12" fillId="0" borderId="2" xfId="0" applyFont="1" applyFill="1" applyBorder="1" applyAlignment="1">
      <alignment horizontal="center" vertical="center" wrapText="1"/>
    </xf>
    <xf numFmtId="0" fontId="49" fillId="0" borderId="2" xfId="89" applyFont="1" applyFill="1" applyBorder="1" applyAlignment="1" applyProtection="1">
      <alignment horizontal="center" vertical="center"/>
    </xf>
    <xf numFmtId="0" fontId="46" fillId="0" borderId="2" xfId="0" applyNumberFormat="1" applyFont="1" applyFill="1" applyBorder="1" applyAlignment="1">
      <alignment horizontal="left" vertical="center" wrapText="1" shrinkToFit="1"/>
    </xf>
    <xf numFmtId="0" fontId="37" fillId="0" borderId="3" xfId="89" applyFill="1" applyBorder="1" applyAlignment="1" applyProtection="1">
      <alignment horizontal="center" vertical="center"/>
    </xf>
    <xf numFmtId="0" fontId="49" fillId="0" borderId="9" xfId="89" applyFont="1" applyFill="1" applyBorder="1" applyAlignment="1" applyProtection="1">
      <alignment horizontal="center" vertical="center"/>
    </xf>
    <xf numFmtId="0" fontId="46" fillId="0" borderId="3" xfId="0" applyFont="1" applyBorder="1" applyAlignment="1">
      <alignment horizontal="left" vertical="center"/>
    </xf>
    <xf numFmtId="0" fontId="45" fillId="0" borderId="20" xfId="0" applyNumberFormat="1" applyFont="1" applyFill="1" applyBorder="1" applyAlignment="1">
      <alignment horizontal="left" vertical="center" shrinkToFit="1"/>
    </xf>
    <xf numFmtId="0" fontId="46" fillId="0" borderId="2" xfId="0" applyFont="1" applyFill="1" applyBorder="1">
      <alignment vertical="center"/>
    </xf>
    <xf numFmtId="0" fontId="46" fillId="0" borderId="2" xfId="0" applyFont="1" applyFill="1" applyBorder="1" applyAlignment="1">
      <alignment horizontal="left" vertical="center" wrapText="1" shrinkToFit="1"/>
    </xf>
    <xf numFmtId="0" fontId="0" fillId="0" borderId="2" xfId="0" applyFont="1" applyFill="1" applyBorder="1" applyAlignment="1">
      <alignment horizontal="left" vertical="center"/>
    </xf>
    <xf numFmtId="0" fontId="8" fillId="0" borderId="2" xfId="0" applyFont="1" applyFill="1" applyBorder="1" applyAlignment="1">
      <alignment vertical="center" wrapText="1"/>
    </xf>
    <xf numFmtId="0" fontId="64" fillId="0" borderId="3" xfId="0" applyFont="1" applyFill="1" applyBorder="1" applyAlignment="1">
      <alignment horizontal="left" vertical="center"/>
    </xf>
    <xf numFmtId="49" fontId="0" fillId="0" borderId="5" xfId="0" applyNumberFormat="1" applyBorder="1" applyAlignment="1">
      <alignment horizontal="right" vertical="center"/>
    </xf>
    <xf numFmtId="0" fontId="0" fillId="0" borderId="5" xfId="0" applyBorder="1" applyAlignment="1">
      <alignment horizontal="left" vertical="center"/>
    </xf>
    <xf numFmtId="49" fontId="0" fillId="0" borderId="3" xfId="0" applyNumberFormat="1" applyBorder="1" applyAlignment="1">
      <alignment horizontal="right" vertical="center"/>
    </xf>
    <xf numFmtId="0" fontId="0" fillId="0" borderId="53" xfId="0" applyBorder="1">
      <alignment vertical="center"/>
    </xf>
    <xf numFmtId="0" fontId="47" fillId="0" borderId="4"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6" fillId="0" borderId="10" xfId="0" applyFont="1" applyBorder="1" applyAlignment="1">
      <alignment horizontal="left" vertical="center"/>
    </xf>
    <xf numFmtId="0" fontId="46" fillId="0" borderId="3" xfId="0" applyNumberFormat="1" applyFont="1" applyFill="1" applyBorder="1" applyAlignment="1">
      <alignment horizontal="center" vertical="center" shrinkToFit="1"/>
    </xf>
    <xf numFmtId="0" fontId="46" fillId="0" borderId="5" xfId="0" applyFont="1" applyBorder="1">
      <alignment vertical="center"/>
    </xf>
    <xf numFmtId="0" fontId="47" fillId="0" borderId="8" xfId="0" applyNumberFormat="1" applyFont="1" applyFill="1" applyBorder="1" applyAlignment="1">
      <alignment horizontal="center" vertical="center" shrinkToFit="1"/>
    </xf>
    <xf numFmtId="0" fontId="0" fillId="0" borderId="3" xfId="0" applyBorder="1" applyAlignment="1">
      <alignment horizontal="left" vertical="center"/>
    </xf>
    <xf numFmtId="0" fontId="0" fillId="0" borderId="6" xfId="0" applyFont="1" applyBorder="1" applyAlignment="1">
      <alignment horizontal="left" vertical="center"/>
    </xf>
    <xf numFmtId="0" fontId="0" fillId="0" borderId="8" xfId="0" applyFont="1" applyBorder="1" applyAlignment="1">
      <alignment horizontal="left" vertical="center"/>
    </xf>
    <xf numFmtId="0" fontId="46" fillId="0" borderId="4" xfId="0" applyFont="1" applyBorder="1">
      <alignment vertical="center"/>
    </xf>
    <xf numFmtId="49" fontId="46" fillId="0" borderId="4" xfId="0" applyNumberFormat="1" applyFont="1" applyFill="1" applyBorder="1" applyAlignment="1">
      <alignment horizontal="center" vertical="center" shrinkToFit="1"/>
    </xf>
    <xf numFmtId="0" fontId="46" fillId="0" borderId="11" xfId="0" applyFont="1" applyBorder="1" applyAlignment="1">
      <alignment horizontal="left" vertical="center"/>
    </xf>
    <xf numFmtId="0" fontId="46" fillId="0" borderId="29" xfId="0" applyFont="1" applyBorder="1" applyAlignment="1">
      <alignment horizontal="left" vertical="center"/>
    </xf>
    <xf numFmtId="49" fontId="46" fillId="0" borderId="28" xfId="0" applyNumberFormat="1" applyFont="1" applyFill="1" applyBorder="1" applyAlignment="1">
      <alignment vertical="center" wrapText="1"/>
    </xf>
    <xf numFmtId="0" fontId="37" fillId="0" borderId="9" xfId="89" applyBorder="1" applyAlignment="1" applyProtection="1">
      <alignment horizontal="center" vertical="center"/>
    </xf>
    <xf numFmtId="0" fontId="46" fillId="0" borderId="2" xfId="0" applyFont="1" applyFill="1" applyBorder="1" applyAlignment="1">
      <alignment horizontal="center" vertical="center"/>
    </xf>
    <xf numFmtId="0" fontId="43" fillId="0" borderId="2" xfId="0" applyFont="1" applyFill="1" applyBorder="1" applyAlignment="1">
      <alignment horizontal="center" vertical="center" shrinkToFit="1"/>
    </xf>
    <xf numFmtId="0" fontId="46" fillId="0" borderId="2" xfId="0" applyFont="1" applyBorder="1">
      <alignment vertical="center"/>
    </xf>
    <xf numFmtId="0" fontId="47" fillId="0" borderId="2" xfId="0" applyFont="1" applyFill="1" applyBorder="1" applyAlignment="1">
      <alignment horizontal="center" vertical="center" shrinkToFit="1"/>
    </xf>
    <xf numFmtId="0" fontId="50" fillId="0" borderId="2" xfId="0" applyFont="1" applyFill="1" applyBorder="1" applyAlignment="1">
      <alignment horizontal="center" vertical="center" shrinkToFit="1"/>
    </xf>
    <xf numFmtId="49" fontId="46" fillId="0" borderId="25" xfId="0" applyNumberFormat="1" applyFont="1" applyFill="1" applyBorder="1" applyAlignment="1">
      <alignment horizontal="left" vertical="center"/>
    </xf>
    <xf numFmtId="0" fontId="43" fillId="0" borderId="2" xfId="0" applyFont="1" applyFill="1" applyBorder="1" applyAlignment="1">
      <alignment horizontal="center" vertical="center" shrinkToFit="1"/>
    </xf>
    <xf numFmtId="0" fontId="65" fillId="27" borderId="2" xfId="0" applyFont="1" applyFill="1" applyBorder="1" applyAlignment="1">
      <alignment horizontal="center" vertical="center" wrapText="1"/>
    </xf>
    <xf numFmtId="0" fontId="69" fillId="30" borderId="1" xfId="0" applyFont="1" applyFill="1" applyBorder="1" applyAlignment="1">
      <alignment horizontal="center" vertical="center" textRotation="90" shrinkToFit="1"/>
    </xf>
    <xf numFmtId="0" fontId="46" fillId="0" borderId="3" xfId="0" applyFont="1" applyFill="1" applyBorder="1" applyAlignment="1">
      <alignment horizontal="center" vertical="center" wrapText="1" shrinkToFit="1"/>
    </xf>
    <xf numFmtId="0" fontId="15" fillId="0" borderId="3" xfId="0" applyNumberFormat="1" applyFont="1" applyBorder="1" applyAlignment="1">
      <alignment vertical="center" wrapText="1"/>
    </xf>
    <xf numFmtId="0" fontId="43" fillId="0" borderId="16" xfId="0" applyFont="1" applyFill="1" applyBorder="1" applyAlignment="1">
      <alignment horizontal="center" vertical="center" shrinkToFit="1"/>
    </xf>
    <xf numFmtId="0" fontId="43" fillId="0" borderId="18" xfId="0" applyFont="1" applyFill="1" applyBorder="1" applyAlignment="1">
      <alignment horizontal="center" vertical="center" shrinkToFit="1"/>
    </xf>
    <xf numFmtId="0" fontId="37" fillId="0" borderId="7" xfId="89" applyBorder="1" applyAlignment="1" applyProtection="1">
      <alignment horizontal="center" vertical="center"/>
    </xf>
    <xf numFmtId="0" fontId="46" fillId="0" borderId="2" xfId="0" applyFont="1" applyBorder="1" applyAlignment="1">
      <alignment horizontal="center" vertical="center" wrapText="1"/>
    </xf>
    <xf numFmtId="0" fontId="46" fillId="0" borderId="7" xfId="0" applyFont="1" applyFill="1" applyBorder="1" applyAlignment="1">
      <alignment horizontal="center" vertical="center" wrapText="1"/>
    </xf>
    <xf numFmtId="0" fontId="46" fillId="0" borderId="2" xfId="0" applyFont="1" applyFill="1" applyBorder="1" applyAlignment="1">
      <alignment horizontal="center" vertical="center" wrapText="1"/>
    </xf>
    <xf numFmtId="0" fontId="37" fillId="0" borderId="9" xfId="89" applyBorder="1" applyAlignment="1" applyProtection="1">
      <alignment horizontal="center" vertical="center" wrapText="1"/>
    </xf>
    <xf numFmtId="0" fontId="46" fillId="0" borderId="3" xfId="0" applyFont="1" applyFill="1" applyBorder="1" applyAlignment="1">
      <alignment horizontal="center" vertical="center" wrapText="1"/>
    </xf>
    <xf numFmtId="0" fontId="46" fillId="0" borderId="8"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37" fillId="0" borderId="2" xfId="89" applyBorder="1" applyAlignment="1" applyProtection="1">
      <alignment horizontal="center" vertical="center"/>
    </xf>
    <xf numFmtId="0" fontId="46" fillId="0" borderId="2" xfId="0" applyFont="1" applyFill="1" applyBorder="1" applyAlignment="1">
      <alignment horizontal="center" vertical="center"/>
    </xf>
    <xf numFmtId="0" fontId="43" fillId="0" borderId="2" xfId="0" applyFont="1" applyFill="1" applyBorder="1" applyAlignment="1">
      <alignment horizontal="center" vertical="center" shrinkToFit="1"/>
    </xf>
    <xf numFmtId="0" fontId="43" fillId="0" borderId="9" xfId="0" applyFont="1" applyFill="1" applyBorder="1" applyAlignment="1">
      <alignment horizontal="center" vertical="center" shrinkToFit="1"/>
    </xf>
    <xf numFmtId="0" fontId="47" fillId="0" borderId="7" xfId="0" applyFont="1" applyFill="1" applyBorder="1" applyAlignment="1">
      <alignment horizontal="center" vertical="center" shrinkToFit="1"/>
    </xf>
    <xf numFmtId="49" fontId="46" fillId="0" borderId="27" xfId="0" applyNumberFormat="1" applyFont="1" applyFill="1" applyBorder="1" applyAlignment="1">
      <alignment horizontal="left" vertical="center"/>
    </xf>
    <xf numFmtId="49" fontId="46" fillId="0" borderId="51" xfId="0" applyNumberFormat="1" applyFont="1" applyFill="1" applyBorder="1" applyAlignment="1">
      <alignment horizontal="left" vertical="center"/>
    </xf>
    <xf numFmtId="49" fontId="46" fillId="0" borderId="12" xfId="0" applyNumberFormat="1" applyFont="1" applyFill="1" applyBorder="1" applyAlignment="1">
      <alignment horizontal="left" vertical="center"/>
    </xf>
    <xf numFmtId="49" fontId="46" fillId="0" borderId="28" xfId="0" applyNumberFormat="1" applyFont="1" applyFill="1" applyBorder="1" applyAlignment="1">
      <alignment horizontal="left" vertical="center"/>
    </xf>
    <xf numFmtId="49" fontId="46" fillId="0" borderId="52" xfId="0" applyNumberFormat="1" applyFont="1" applyFill="1" applyBorder="1" applyAlignment="1">
      <alignment horizontal="left" vertical="center"/>
    </xf>
    <xf numFmtId="49" fontId="46" fillId="0" borderId="10" xfId="0" applyNumberFormat="1" applyFont="1" applyFill="1" applyBorder="1" applyAlignment="1">
      <alignment horizontal="left" vertical="center"/>
    </xf>
    <xf numFmtId="49" fontId="46" fillId="0" borderId="31" xfId="0" applyNumberFormat="1" applyFont="1" applyFill="1" applyBorder="1" applyAlignment="1">
      <alignment horizontal="left" vertical="center"/>
    </xf>
    <xf numFmtId="49" fontId="46" fillId="0" borderId="53" xfId="0" applyNumberFormat="1" applyFont="1" applyFill="1" applyBorder="1" applyAlignment="1">
      <alignment horizontal="left" vertical="center"/>
    </xf>
    <xf numFmtId="49" fontId="46" fillId="0" borderId="32" xfId="0" applyNumberFormat="1" applyFont="1" applyFill="1" applyBorder="1" applyAlignment="1">
      <alignment horizontal="left" vertical="center"/>
    </xf>
    <xf numFmtId="0" fontId="46" fillId="0" borderId="2" xfId="0" applyFont="1" applyBorder="1">
      <alignment vertical="center"/>
    </xf>
    <xf numFmtId="0" fontId="47" fillId="0" borderId="2" xfId="0" applyFont="1" applyBorder="1">
      <alignment vertical="center"/>
    </xf>
    <xf numFmtId="0" fontId="46" fillId="0" borderId="4" xfId="0" applyFont="1" applyBorder="1">
      <alignment vertical="center"/>
    </xf>
    <xf numFmtId="0" fontId="46" fillId="0" borderId="5" xfId="0" applyFont="1" applyBorder="1">
      <alignment vertical="center"/>
    </xf>
    <xf numFmtId="0" fontId="46" fillId="29" borderId="35" xfId="0" applyFont="1" applyFill="1" applyBorder="1" applyAlignment="1">
      <alignment horizontal="center" vertical="center"/>
    </xf>
    <xf numFmtId="0" fontId="0" fillId="0" borderId="15" xfId="0" applyFont="1" applyBorder="1" applyAlignment="1">
      <alignment horizontal="center" vertical="center"/>
    </xf>
    <xf numFmtId="0" fontId="0" fillId="0" borderId="22" xfId="0" applyFont="1" applyBorder="1" applyAlignment="1">
      <alignment horizontal="center" vertical="center"/>
    </xf>
    <xf numFmtId="0" fontId="37" fillId="0" borderId="50" xfId="89" applyBorder="1" applyAlignment="1" applyProtection="1">
      <alignment horizontal="center" vertical="center"/>
    </xf>
    <xf numFmtId="0" fontId="37" fillId="0" borderId="2" xfId="89" applyBorder="1" applyAlignment="1" applyProtection="1">
      <alignment horizontal="center" vertical="center" wrapText="1"/>
    </xf>
    <xf numFmtId="0" fontId="47" fillId="0" borderId="2" xfId="0" applyFont="1" applyFill="1" applyBorder="1" applyAlignment="1">
      <alignment horizontal="center" vertical="center" shrinkToFit="1"/>
    </xf>
    <xf numFmtId="0" fontId="46" fillId="0" borderId="5" xfId="0" applyFont="1" applyBorder="1" applyAlignment="1">
      <alignment horizontal="center" vertical="center"/>
    </xf>
    <xf numFmtId="0" fontId="46" fillId="0" borderId="51" xfId="0" applyNumberFormat="1" applyFont="1" applyFill="1" applyBorder="1" applyAlignment="1">
      <alignment horizontal="left" vertical="center" shrinkToFit="1"/>
    </xf>
    <xf numFmtId="0" fontId="47" fillId="0" borderId="3" xfId="0" applyFont="1" applyFill="1" applyBorder="1" applyAlignment="1">
      <alignment horizontal="center" vertical="center" wrapText="1" shrinkToFit="1"/>
    </xf>
    <xf numFmtId="0" fontId="47" fillId="0" borderId="5" xfId="0" applyFont="1" applyFill="1" applyBorder="1" applyAlignment="1">
      <alignment horizontal="center" vertical="center" shrinkToFit="1"/>
    </xf>
    <xf numFmtId="49" fontId="46" fillId="0" borderId="25" xfId="0" applyNumberFormat="1" applyFont="1" applyFill="1" applyBorder="1" applyAlignment="1">
      <alignment horizontal="left" vertical="center"/>
    </xf>
    <xf numFmtId="49" fontId="46" fillId="0" borderId="26" xfId="0" applyNumberFormat="1" applyFont="1" applyFill="1" applyBorder="1" applyAlignment="1">
      <alignment horizontal="left" vertical="center"/>
    </xf>
    <xf numFmtId="49" fontId="46" fillId="0" borderId="21" xfId="0" applyNumberFormat="1" applyFont="1" applyFill="1" applyBorder="1" applyAlignment="1">
      <alignment horizontal="left" vertical="center"/>
    </xf>
    <xf numFmtId="0" fontId="46" fillId="0" borderId="3" xfId="0" applyFont="1" applyFill="1" applyBorder="1" applyAlignment="1">
      <alignment horizontal="center" vertical="center"/>
    </xf>
    <xf numFmtId="0" fontId="46" fillId="0" borderId="4" xfId="0" applyFont="1" applyFill="1" applyBorder="1" applyAlignment="1">
      <alignment horizontal="center" vertical="center"/>
    </xf>
    <xf numFmtId="0" fontId="46" fillId="0" borderId="5" xfId="0" applyFont="1" applyFill="1" applyBorder="1" applyAlignment="1">
      <alignment horizontal="center" vertical="center"/>
    </xf>
    <xf numFmtId="0" fontId="37" fillId="0" borderId="3" xfId="89" applyBorder="1" applyAlignment="1" applyProtection="1">
      <alignment horizontal="center" vertical="center"/>
    </xf>
    <xf numFmtId="0" fontId="68" fillId="31" borderId="9" xfId="0" applyFont="1" applyFill="1" applyBorder="1" applyAlignment="1">
      <alignment horizontal="center" vertical="center" textRotation="90" wrapText="1" shrinkToFit="1"/>
    </xf>
    <xf numFmtId="0" fontId="37" fillId="0" borderId="23" xfId="89" applyBorder="1" applyAlignment="1" applyProtection="1">
      <alignment horizontal="center" vertical="center"/>
    </xf>
    <xf numFmtId="0" fontId="37" fillId="0" borderId="50" xfId="89" applyBorder="1" applyAlignment="1" applyProtection="1">
      <alignment horizontal="left" vertical="center"/>
    </xf>
    <xf numFmtId="0" fontId="37" fillId="0" borderId="0" xfId="89" applyBorder="1" applyAlignment="1" applyProtection="1">
      <alignment horizontal="left" vertical="center"/>
    </xf>
    <xf numFmtId="0" fontId="37" fillId="0" borderId="9" xfId="89" applyFill="1" applyBorder="1" applyAlignment="1" applyProtection="1">
      <alignment horizontal="center" vertical="center" shrinkToFit="1"/>
    </xf>
    <xf numFmtId="0" fontId="37" fillId="0" borderId="7" xfId="89" applyFill="1" applyBorder="1" applyAlignment="1" applyProtection="1">
      <alignment horizontal="center" vertical="center" shrinkToFit="1"/>
    </xf>
    <xf numFmtId="0" fontId="37" fillId="0" borderId="2" xfId="89" applyBorder="1" applyAlignment="1" applyProtection="1">
      <alignment horizontal="center" vertical="center"/>
    </xf>
    <xf numFmtId="0" fontId="0" fillId="0" borderId="0" xfId="0" applyBorder="1" applyAlignment="1">
      <alignment horizontal="center" vertical="center"/>
    </xf>
    <xf numFmtId="0" fontId="50" fillId="0" borderId="9" xfId="0" applyFont="1" applyFill="1" applyBorder="1" applyAlignment="1">
      <alignment horizontal="center" vertical="center" shrinkToFit="1"/>
    </xf>
    <xf numFmtId="0" fontId="47" fillId="0" borderId="3" xfId="0" applyNumberFormat="1" applyFont="1" applyFill="1" applyBorder="1" applyAlignment="1">
      <alignment horizontal="center" vertical="center" shrinkToFit="1"/>
    </xf>
    <xf numFmtId="0" fontId="47" fillId="0" borderId="4"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37" fillId="0" borderId="9" xfId="89" applyBorder="1" applyAlignment="1" applyProtection="1">
      <alignment horizontal="center" vertical="center" shrinkToFit="1"/>
    </xf>
    <xf numFmtId="0" fontId="9" fillId="0" borderId="0" xfId="0" applyFont="1" applyBorder="1" applyAlignment="1">
      <alignment horizontal="center" vertical="center"/>
    </xf>
    <xf numFmtId="0" fontId="47" fillId="0" borderId="9" xfId="0" applyFont="1" applyFill="1" applyBorder="1" applyAlignment="1">
      <alignment horizontal="center" vertical="center" wrapText="1" shrinkToFit="1"/>
    </xf>
    <xf numFmtId="0" fontId="41" fillId="0" borderId="2" xfId="0" applyFont="1" applyFill="1" applyBorder="1" applyAlignment="1">
      <alignment horizontal="center" vertical="center" wrapText="1"/>
    </xf>
    <xf numFmtId="49" fontId="46" fillId="0" borderId="27" xfId="0" applyNumberFormat="1" applyFont="1" applyFill="1" applyBorder="1" applyAlignment="1">
      <alignment horizontal="left" vertical="center"/>
    </xf>
    <xf numFmtId="49" fontId="46" fillId="0" borderId="51" xfId="0" applyNumberFormat="1" applyFont="1" applyFill="1" applyBorder="1" applyAlignment="1">
      <alignment horizontal="left" vertical="center"/>
    </xf>
    <xf numFmtId="49" fontId="46" fillId="0" borderId="12" xfId="0" applyNumberFormat="1" applyFont="1" applyFill="1" applyBorder="1" applyAlignment="1">
      <alignment horizontal="left" vertical="center"/>
    </xf>
    <xf numFmtId="49" fontId="46" fillId="0" borderId="28" xfId="0" applyNumberFormat="1" applyFont="1" applyFill="1" applyBorder="1" applyAlignment="1">
      <alignment horizontal="left" vertical="center"/>
    </xf>
    <xf numFmtId="49" fontId="46" fillId="0" borderId="52" xfId="0" applyNumberFormat="1" applyFont="1" applyFill="1" applyBorder="1" applyAlignment="1">
      <alignment horizontal="left" vertical="center"/>
    </xf>
    <xf numFmtId="49" fontId="46" fillId="0" borderId="10" xfId="0" applyNumberFormat="1" applyFont="1" applyFill="1" applyBorder="1" applyAlignment="1">
      <alignment horizontal="left" vertical="center"/>
    </xf>
    <xf numFmtId="49" fontId="46" fillId="0" borderId="31" xfId="0" applyNumberFormat="1" applyFont="1" applyFill="1" applyBorder="1" applyAlignment="1">
      <alignment horizontal="left" vertical="center"/>
    </xf>
    <xf numFmtId="49" fontId="46" fillId="0" borderId="53" xfId="0" applyNumberFormat="1" applyFont="1" applyFill="1" applyBorder="1" applyAlignment="1">
      <alignment horizontal="left" vertical="center"/>
    </xf>
    <xf numFmtId="49" fontId="46" fillId="0" borderId="32" xfId="0" applyNumberFormat="1" applyFont="1" applyFill="1" applyBorder="1" applyAlignment="1">
      <alignment horizontal="left" vertical="center"/>
    </xf>
    <xf numFmtId="0" fontId="47" fillId="0" borderId="2" xfId="0" applyNumberFormat="1" applyFont="1" applyFill="1" applyBorder="1" applyAlignment="1">
      <alignment horizontal="center" vertical="center" shrinkToFit="1"/>
    </xf>
    <xf numFmtId="0" fontId="47" fillId="0" borderId="2" xfId="0" applyFont="1" applyBorder="1">
      <alignment vertical="center"/>
    </xf>
    <xf numFmtId="0" fontId="46" fillId="0" borderId="0" xfId="0" applyFont="1" applyBorder="1" applyAlignment="1">
      <alignment horizontal="left" vertical="center"/>
    </xf>
    <xf numFmtId="0" fontId="46" fillId="0" borderId="3" xfId="0" applyNumberFormat="1" applyFont="1" applyFill="1" applyBorder="1" applyAlignment="1">
      <alignment horizontal="center" vertical="center" shrinkToFit="1"/>
    </xf>
    <xf numFmtId="0" fontId="46" fillId="0" borderId="5" xfId="0" applyNumberFormat="1" applyFont="1" applyFill="1" applyBorder="1" applyAlignment="1">
      <alignment horizontal="center" vertical="center" shrinkToFit="1"/>
    </xf>
    <xf numFmtId="0" fontId="46" fillId="0" borderId="4" xfId="0" applyFont="1" applyBorder="1">
      <alignment vertical="center"/>
    </xf>
    <xf numFmtId="0" fontId="46" fillId="0" borderId="5" xfId="0" applyFont="1" applyBorder="1">
      <alignment vertical="center"/>
    </xf>
    <xf numFmtId="49" fontId="46" fillId="0" borderId="4" xfId="0" applyNumberFormat="1" applyFont="1" applyFill="1" applyBorder="1" applyAlignment="1">
      <alignment horizontal="center" vertical="center" shrinkToFit="1"/>
    </xf>
    <xf numFmtId="0" fontId="0" fillId="0" borderId="15" xfId="0" applyFont="1" applyBorder="1" applyAlignment="1">
      <alignment horizontal="center" vertical="center"/>
    </xf>
    <xf numFmtId="0" fontId="37" fillId="0" borderId="50" xfId="89" applyBorder="1" applyAlignment="1" applyProtection="1">
      <alignment horizontal="center" vertical="center"/>
    </xf>
    <xf numFmtId="0" fontId="47" fillId="0" borderId="2" xfId="0" applyFont="1" applyFill="1" applyBorder="1" applyAlignment="1">
      <alignment horizontal="center" vertical="center" wrapText="1" shrinkToFit="1"/>
    </xf>
    <xf numFmtId="0" fontId="47" fillId="0" borderId="2" xfId="0" applyFont="1" applyFill="1" applyBorder="1" applyAlignment="1">
      <alignment horizontal="center" vertical="center" shrinkToFit="1"/>
    </xf>
    <xf numFmtId="0" fontId="58" fillId="0" borderId="6" xfId="0" applyFont="1" applyFill="1" applyBorder="1" applyAlignment="1">
      <alignment horizontal="center" vertical="center" shrinkToFit="1"/>
    </xf>
    <xf numFmtId="0" fontId="47" fillId="0" borderId="30" xfId="0" applyNumberFormat="1" applyFont="1" applyFill="1" applyBorder="1" applyAlignment="1">
      <alignment horizontal="left" vertical="center" wrapText="1" shrinkToFit="1"/>
    </xf>
    <xf numFmtId="0" fontId="47" fillId="0" borderId="13" xfId="0" applyNumberFormat="1" applyFont="1" applyFill="1" applyBorder="1" applyAlignment="1">
      <alignment horizontal="left" vertical="center" wrapText="1" shrinkToFit="1"/>
    </xf>
    <xf numFmtId="0" fontId="47" fillId="0" borderId="6" xfId="0" applyFont="1" applyFill="1" applyBorder="1" applyAlignment="1">
      <alignment horizontal="center" vertical="center" shrinkToFit="1"/>
    </xf>
    <xf numFmtId="0" fontId="47" fillId="0" borderId="47" xfId="0" applyNumberFormat="1" applyFont="1" applyFill="1" applyBorder="1" applyAlignment="1">
      <alignment horizontal="left" vertical="center" wrapText="1" shrinkToFit="1"/>
    </xf>
    <xf numFmtId="0" fontId="8" fillId="0" borderId="23" xfId="0" applyFont="1" applyBorder="1" applyAlignment="1">
      <alignment horizontal="center" vertical="center"/>
    </xf>
    <xf numFmtId="0" fontId="47" fillId="0" borderId="6" xfId="0" applyNumberFormat="1" applyFont="1" applyFill="1" applyBorder="1" applyAlignment="1">
      <alignment horizontal="center" vertical="center" shrinkToFit="1"/>
    </xf>
    <xf numFmtId="0" fontId="47" fillId="0" borderId="23" xfId="0" applyNumberFormat="1" applyFont="1" applyFill="1" applyBorder="1" applyAlignment="1">
      <alignment horizontal="center" vertical="center" shrinkToFit="1"/>
    </xf>
    <xf numFmtId="49" fontId="50" fillId="0" borderId="2" xfId="0" applyNumberFormat="1" applyFont="1" applyFill="1" applyBorder="1" applyAlignment="1">
      <alignment horizontal="center" vertical="center" shrinkToFit="1"/>
    </xf>
    <xf numFmtId="0" fontId="50" fillId="0" borderId="2" xfId="0" applyFont="1" applyFill="1" applyBorder="1" applyAlignment="1">
      <alignment horizontal="center" vertical="center" shrinkToFit="1"/>
    </xf>
    <xf numFmtId="0" fontId="8" fillId="0" borderId="23" xfId="0" applyNumberFormat="1" applyFont="1" applyFill="1" applyBorder="1" applyAlignment="1">
      <alignment horizontal="center" vertical="top" wrapText="1" shrinkToFit="1"/>
    </xf>
    <xf numFmtId="0" fontId="46" fillId="0" borderId="5" xfId="0" applyFont="1" applyBorder="1" applyAlignment="1">
      <alignment horizontal="center" vertical="center"/>
    </xf>
    <xf numFmtId="0" fontId="46" fillId="0" borderId="20" xfId="0" applyFont="1" applyBorder="1" applyAlignment="1">
      <alignment horizontal="left" vertical="center"/>
    </xf>
    <xf numFmtId="0" fontId="47" fillId="0" borderId="5" xfId="0" applyFont="1" applyFill="1" applyBorder="1" applyAlignment="1">
      <alignment horizontal="center" vertical="center" shrinkToFit="1"/>
    </xf>
    <xf numFmtId="0" fontId="46" fillId="0" borderId="27" xfId="0" applyNumberFormat="1" applyFont="1" applyFill="1" applyBorder="1" applyAlignment="1">
      <alignment horizontal="left" vertical="center" shrinkToFit="1"/>
    </xf>
    <xf numFmtId="0" fontId="46" fillId="0" borderId="51" xfId="0" applyNumberFormat="1" applyFont="1" applyFill="1" applyBorder="1" applyAlignment="1">
      <alignment horizontal="left" vertical="center" shrinkToFit="1"/>
    </xf>
    <xf numFmtId="0" fontId="0" fillId="0" borderId="0" xfId="0" applyFill="1" applyBorder="1" applyAlignment="1">
      <alignment vertical="center"/>
    </xf>
    <xf numFmtId="0" fontId="50" fillId="0" borderId="8" xfId="0" applyFont="1" applyFill="1" applyBorder="1" applyAlignment="1">
      <alignment horizontal="center" vertical="center" shrinkToFit="1"/>
    </xf>
    <xf numFmtId="0" fontId="46" fillId="29" borderId="24" xfId="0" applyNumberFormat="1" applyFont="1" applyFill="1" applyBorder="1" applyAlignment="1">
      <alignment horizontal="left" vertical="center"/>
    </xf>
    <xf numFmtId="0" fontId="43" fillId="29" borderId="35" xfId="0" applyFont="1" applyFill="1" applyBorder="1" applyAlignment="1">
      <alignment horizontal="center" vertical="center"/>
    </xf>
    <xf numFmtId="0" fontId="46" fillId="0" borderId="2" xfId="0" applyFont="1" applyBorder="1" applyAlignment="1">
      <alignment horizontal="left" vertical="top" shrinkToFit="1"/>
    </xf>
    <xf numFmtId="0" fontId="50" fillId="0" borderId="2" xfId="0" applyFont="1" applyFill="1" applyBorder="1" applyAlignment="1">
      <alignment horizontal="center" vertical="center"/>
    </xf>
    <xf numFmtId="0" fontId="50" fillId="29" borderId="7" xfId="0" applyFont="1" applyFill="1" applyBorder="1" applyAlignment="1">
      <alignment horizontal="center" vertical="center"/>
    </xf>
    <xf numFmtId="49" fontId="46" fillId="0" borderId="13" xfId="0" applyNumberFormat="1" applyFont="1" applyFill="1" applyBorder="1" applyAlignment="1">
      <alignment horizontal="left" vertical="center"/>
    </xf>
    <xf numFmtId="49" fontId="46" fillId="0" borderId="47" xfId="0" applyNumberFormat="1" applyFont="1" applyFill="1" applyBorder="1" applyAlignment="1">
      <alignment horizontal="left" vertical="center"/>
    </xf>
    <xf numFmtId="49" fontId="46" fillId="0" borderId="57" xfId="0" applyNumberFormat="1" applyFont="1" applyFill="1" applyBorder="1" applyAlignment="1">
      <alignment horizontal="left" vertical="center"/>
    </xf>
    <xf numFmtId="49" fontId="46" fillId="0" borderId="11" xfId="0" applyNumberFormat="1" applyFont="1" applyFill="1" applyBorder="1" applyAlignment="1">
      <alignment horizontal="left" vertical="center"/>
    </xf>
    <xf numFmtId="0" fontId="47" fillId="0" borderId="27" xfId="0" applyFont="1" applyBorder="1" applyAlignment="1">
      <alignment horizontal="center" vertical="center" wrapText="1" shrinkToFit="1"/>
    </xf>
    <xf numFmtId="0" fontId="46" fillId="0" borderId="28" xfId="0" applyFont="1" applyFill="1" applyBorder="1" applyAlignment="1">
      <alignment horizontal="center" vertical="center" wrapText="1"/>
    </xf>
    <xf numFmtId="0" fontId="46" fillId="0" borderId="31" xfId="0" applyFont="1" applyFill="1" applyBorder="1" applyAlignment="1">
      <alignment horizontal="center" vertical="center" wrapText="1"/>
    </xf>
    <xf numFmtId="0" fontId="43" fillId="0" borderId="12" xfId="0" applyFont="1" applyFill="1" applyBorder="1" applyAlignment="1">
      <alignment horizontal="center" vertical="center" shrinkToFit="1"/>
    </xf>
    <xf numFmtId="0" fontId="43" fillId="0" borderId="10" xfId="0" applyFont="1" applyFill="1" applyBorder="1" applyAlignment="1">
      <alignment horizontal="center" vertical="center" shrinkToFit="1"/>
    </xf>
    <xf numFmtId="0" fontId="43" fillId="0" borderId="32" xfId="0" applyFont="1" applyFill="1" applyBorder="1" applyAlignment="1">
      <alignment horizontal="center" vertical="center" shrinkToFit="1"/>
    </xf>
    <xf numFmtId="49" fontId="46" fillId="0" borderId="24" xfId="0" applyNumberFormat="1" applyFont="1" applyFill="1" applyBorder="1" applyAlignment="1">
      <alignment horizontal="left" vertical="center"/>
    </xf>
    <xf numFmtId="49" fontId="46" fillId="29" borderId="22" xfId="0" applyNumberFormat="1" applyFont="1" applyFill="1" applyBorder="1" applyAlignment="1">
      <alignment horizontal="center" vertical="center"/>
    </xf>
    <xf numFmtId="49" fontId="46" fillId="0" borderId="32" xfId="0" applyNumberFormat="1" applyFont="1" applyFill="1" applyBorder="1" applyAlignment="1">
      <alignment horizontal="center" vertical="center"/>
    </xf>
    <xf numFmtId="49" fontId="46" fillId="0" borderId="12" xfId="0" applyNumberFormat="1" applyFont="1" applyFill="1" applyBorder="1" applyAlignment="1">
      <alignment horizontal="center" vertical="center" wrapText="1"/>
    </xf>
    <xf numFmtId="49" fontId="46" fillId="0" borderId="10" xfId="0" applyNumberFormat="1" applyFont="1" applyFill="1" applyBorder="1" applyAlignment="1">
      <alignment horizontal="center" vertical="center" wrapText="1"/>
    </xf>
    <xf numFmtId="49" fontId="46" fillId="0" borderId="32" xfId="0" applyNumberFormat="1" applyFont="1" applyFill="1" applyBorder="1" applyAlignment="1">
      <alignment horizontal="center" vertical="center" wrapText="1"/>
    </xf>
    <xf numFmtId="49" fontId="46" fillId="0" borderId="10" xfId="0" applyNumberFormat="1" applyFont="1" applyFill="1" applyBorder="1" applyAlignment="1">
      <alignment horizontal="center" vertical="center"/>
    </xf>
    <xf numFmtId="49" fontId="46" fillId="0" borderId="29" xfId="0" applyNumberFormat="1" applyFont="1" applyFill="1" applyBorder="1" applyAlignment="1">
      <alignment horizontal="center" vertical="center"/>
    </xf>
    <xf numFmtId="49" fontId="46" fillId="0" borderId="21" xfId="0" applyNumberFormat="1" applyFont="1" applyFill="1" applyBorder="1" applyAlignment="1">
      <alignment horizontal="center" vertical="center"/>
    </xf>
    <xf numFmtId="49" fontId="46" fillId="0" borderId="10" xfId="0" applyNumberFormat="1" applyFont="1" applyFill="1" applyBorder="1" applyAlignment="1">
      <alignment horizontal="center" vertical="center" shrinkToFit="1"/>
    </xf>
    <xf numFmtId="49" fontId="46" fillId="0" borderId="15" xfId="0" applyNumberFormat="1" applyFont="1" applyFill="1" applyBorder="1" applyAlignment="1">
      <alignment horizontal="center" vertical="center"/>
    </xf>
    <xf numFmtId="49" fontId="46" fillId="0" borderId="14" xfId="0" applyNumberFormat="1" applyFont="1" applyFill="1" applyBorder="1" applyAlignment="1">
      <alignment horizontal="center" vertical="center"/>
    </xf>
    <xf numFmtId="49" fontId="46" fillId="0" borderId="22" xfId="0" applyNumberFormat="1" applyFont="1" applyFill="1" applyBorder="1" applyAlignment="1">
      <alignment horizontal="center" vertical="center"/>
    </xf>
    <xf numFmtId="49" fontId="0" fillId="0" borderId="0" xfId="0" applyNumberFormat="1" applyAlignment="1">
      <alignment horizontal="center" vertical="center"/>
    </xf>
    <xf numFmtId="0" fontId="46" fillId="29" borderId="50" xfId="0" applyNumberFormat="1" applyFont="1" applyFill="1" applyBorder="1" applyAlignment="1">
      <alignment horizontal="center" vertical="center"/>
    </xf>
    <xf numFmtId="0" fontId="46" fillId="0" borderId="51" xfId="0" applyNumberFormat="1" applyFont="1" applyFill="1" applyBorder="1" applyAlignment="1">
      <alignment horizontal="center" vertical="center"/>
    </xf>
    <xf numFmtId="0" fontId="46" fillId="0" borderId="53" xfId="0" applyNumberFormat="1" applyFont="1" applyFill="1" applyBorder="1" applyAlignment="1">
      <alignment horizontal="center" vertical="center"/>
    </xf>
    <xf numFmtId="49" fontId="46" fillId="0" borderId="51" xfId="0" applyNumberFormat="1" applyFont="1" applyFill="1" applyBorder="1" applyAlignment="1">
      <alignment horizontal="center" vertical="center" wrapText="1"/>
    </xf>
    <xf numFmtId="49" fontId="46" fillId="0" borderId="52" xfId="0" applyNumberFormat="1" applyFont="1" applyFill="1" applyBorder="1" applyAlignment="1">
      <alignment horizontal="center" vertical="center" wrapText="1"/>
    </xf>
    <xf numFmtId="49" fontId="46" fillId="0" borderId="53" xfId="0" applyNumberFormat="1" applyFont="1" applyFill="1" applyBorder="1" applyAlignment="1">
      <alignment horizontal="center" vertical="center" wrapText="1"/>
    </xf>
    <xf numFmtId="0" fontId="46" fillId="0" borderId="52" xfId="0" applyNumberFormat="1" applyFont="1" applyFill="1" applyBorder="1" applyAlignment="1">
      <alignment horizontal="center" vertical="center"/>
    </xf>
    <xf numFmtId="0" fontId="46" fillId="0" borderId="56" xfId="0" applyNumberFormat="1" applyFont="1" applyFill="1" applyBorder="1" applyAlignment="1">
      <alignment horizontal="center" vertical="center"/>
    </xf>
    <xf numFmtId="49" fontId="46" fillId="0" borderId="26" xfId="0" applyNumberFormat="1" applyFont="1" applyFill="1" applyBorder="1" applyAlignment="1">
      <alignment horizontal="center" vertical="center"/>
    </xf>
    <xf numFmtId="0" fontId="46" fillId="0" borderId="52" xfId="0" quotePrefix="1" applyNumberFormat="1" applyFont="1" applyFill="1" applyBorder="1" applyAlignment="1">
      <alignment horizontal="center" vertical="center"/>
    </xf>
    <xf numFmtId="49" fontId="46" fillId="0" borderId="52" xfId="0" applyNumberFormat="1" applyFont="1" applyFill="1" applyBorder="1" applyAlignment="1">
      <alignment horizontal="center" vertical="center"/>
    </xf>
    <xf numFmtId="49" fontId="46" fillId="0" borderId="52" xfId="0" applyNumberFormat="1" applyFont="1" applyFill="1" applyBorder="1" applyAlignment="1">
      <alignment horizontal="center" vertical="center" shrinkToFit="1"/>
    </xf>
    <xf numFmtId="49" fontId="46" fillId="0" borderId="56" xfId="0" applyNumberFormat="1" applyFont="1" applyFill="1" applyBorder="1" applyAlignment="1">
      <alignment horizontal="center" vertical="center"/>
    </xf>
    <xf numFmtId="49" fontId="46" fillId="0" borderId="20" xfId="0" applyNumberFormat="1" applyFont="1" applyFill="1" applyBorder="1" applyAlignment="1">
      <alignment horizontal="center" vertical="center"/>
    </xf>
    <xf numFmtId="49" fontId="46" fillId="0" borderId="0" xfId="0" applyNumberFormat="1" applyFont="1" applyFill="1" applyBorder="1" applyAlignment="1">
      <alignment horizontal="center" vertical="center"/>
    </xf>
    <xf numFmtId="49" fontId="46" fillId="0" borderId="50" xfId="0" applyNumberFormat="1" applyFont="1" applyFill="1" applyBorder="1" applyAlignment="1">
      <alignment horizontal="center" vertical="center"/>
    </xf>
    <xf numFmtId="0" fontId="46" fillId="0" borderId="0" xfId="0" applyNumberFormat="1" applyFont="1" applyFill="1" applyBorder="1" applyAlignment="1">
      <alignment horizontal="center" vertical="center"/>
    </xf>
    <xf numFmtId="49" fontId="46" fillId="0" borderId="53" xfId="0" applyNumberFormat="1" applyFont="1" applyFill="1" applyBorder="1" applyAlignment="1">
      <alignment horizontal="center" vertical="center"/>
    </xf>
    <xf numFmtId="0" fontId="46" fillId="29" borderId="19" xfId="0" applyFont="1" applyFill="1" applyBorder="1" applyAlignment="1">
      <alignment horizontal="center" vertical="center"/>
    </xf>
    <xf numFmtId="0" fontId="47" fillId="29" borderId="2" xfId="0" applyFont="1" applyFill="1" applyBorder="1" applyAlignment="1">
      <alignment horizontal="center" vertical="center" shrinkToFit="1"/>
    </xf>
    <xf numFmtId="49" fontId="46" fillId="0" borderId="2" xfId="0" applyNumberFormat="1" applyFont="1" applyBorder="1" applyAlignment="1">
      <alignment vertical="center" wrapText="1" readingOrder="1"/>
    </xf>
    <xf numFmtId="0" fontId="47" fillId="0" borderId="27" xfId="0" applyFont="1" applyFill="1" applyBorder="1" applyAlignment="1">
      <alignment horizontal="center" vertical="center" wrapText="1" shrinkToFit="1"/>
    </xf>
    <xf numFmtId="0" fontId="47" fillId="0" borderId="31" xfId="0" applyFont="1" applyFill="1" applyBorder="1" applyAlignment="1">
      <alignment horizontal="center" vertical="center" shrinkToFit="1"/>
    </xf>
    <xf numFmtId="0" fontId="48" fillId="0" borderId="12" xfId="0" applyFont="1" applyFill="1" applyBorder="1" applyAlignment="1">
      <alignment horizontal="center" vertical="center"/>
    </xf>
    <xf numFmtId="0" fontId="48" fillId="0" borderId="32" xfId="0" applyFont="1" applyFill="1" applyBorder="1" applyAlignment="1">
      <alignment horizontal="center" vertical="center"/>
    </xf>
    <xf numFmtId="0" fontId="46" fillId="0" borderId="24" xfId="0" applyNumberFormat="1" applyFont="1" applyFill="1" applyBorder="1" applyAlignment="1">
      <alignment horizontal="left" vertical="center"/>
    </xf>
    <xf numFmtId="0" fontId="46" fillId="0" borderId="50" xfId="0" applyNumberFormat="1" applyFont="1" applyFill="1" applyBorder="1" applyAlignment="1">
      <alignment horizontal="center" vertical="center"/>
    </xf>
    <xf numFmtId="0" fontId="46" fillId="0" borderId="21" xfId="0" applyFont="1" applyBorder="1" applyAlignment="1">
      <alignment horizontal="left" vertical="center" wrapText="1"/>
    </xf>
    <xf numFmtId="0" fontId="46" fillId="0" borderId="2" xfId="0" applyFont="1" applyFill="1" applyBorder="1" applyAlignment="1">
      <alignment horizontal="center" vertical="center" shrinkToFit="1"/>
    </xf>
    <xf numFmtId="0" fontId="15" fillId="0" borderId="2" xfId="0" applyFont="1" applyBorder="1" applyAlignment="1">
      <alignment vertical="center" wrapText="1"/>
    </xf>
    <xf numFmtId="49" fontId="46" fillId="0" borderId="2" xfId="0" applyNumberFormat="1" applyFont="1" applyBorder="1" applyAlignment="1">
      <alignment horizontal="center" vertical="center"/>
    </xf>
    <xf numFmtId="0" fontId="50" fillId="29" borderId="16" xfId="0" applyFont="1" applyFill="1" applyBorder="1" applyAlignment="1">
      <alignment horizontal="center" vertical="center" shrinkToFit="1"/>
    </xf>
    <xf numFmtId="49" fontId="46" fillId="0" borderId="0" xfId="0" applyNumberFormat="1" applyFont="1" applyBorder="1" applyAlignment="1">
      <alignment horizontal="center" vertical="center"/>
    </xf>
    <xf numFmtId="49" fontId="46" fillId="0" borderId="2" xfId="0" applyNumberFormat="1" applyFont="1" applyBorder="1" applyAlignment="1">
      <alignment vertical="center" wrapText="1"/>
    </xf>
    <xf numFmtId="0" fontId="46" fillId="0" borderId="24" xfId="0" applyFont="1" applyFill="1" applyBorder="1" applyAlignment="1">
      <alignment vertical="center" wrapText="1"/>
    </xf>
    <xf numFmtId="0" fontId="46" fillId="0" borderId="22" xfId="0" applyFont="1" applyFill="1" applyBorder="1" applyAlignment="1">
      <alignment vertical="center" wrapText="1"/>
    </xf>
    <xf numFmtId="0" fontId="47" fillId="0" borderId="2" xfId="0" applyFont="1" applyBorder="1" applyAlignment="1">
      <alignment vertical="center"/>
    </xf>
    <xf numFmtId="0" fontId="47" fillId="0" borderId="5" xfId="0" applyFont="1" applyBorder="1" applyAlignment="1">
      <alignment vertical="center" wrapText="1" shrinkToFit="1"/>
    </xf>
    <xf numFmtId="0" fontId="47" fillId="0" borderId="12" xfId="0" applyFont="1" applyBorder="1">
      <alignment vertical="center"/>
    </xf>
    <xf numFmtId="0" fontId="47" fillId="0" borderId="20" xfId="0" applyFont="1" applyBorder="1">
      <alignment vertical="center"/>
    </xf>
    <xf numFmtId="0" fontId="47" fillId="0" borderId="15" xfId="0" applyFont="1" applyBorder="1">
      <alignment vertical="center"/>
    </xf>
    <xf numFmtId="0" fontId="47" fillId="0" borderId="32" xfId="0" applyFont="1" applyBorder="1">
      <alignment vertical="center"/>
    </xf>
    <xf numFmtId="0" fontId="47" fillId="0" borderId="1" xfId="0" applyFont="1" applyBorder="1">
      <alignment vertical="center"/>
    </xf>
    <xf numFmtId="0" fontId="47" fillId="0" borderId="50" xfId="0" applyNumberFormat="1" applyFont="1" applyFill="1" applyBorder="1" applyAlignment="1">
      <alignment vertical="center" wrapText="1" shrinkToFit="1"/>
    </xf>
    <xf numFmtId="0" fontId="47" fillId="0" borderId="22" xfId="0" applyNumberFormat="1" applyFont="1" applyFill="1" applyBorder="1" applyAlignment="1">
      <alignment vertical="center" wrapText="1" shrinkToFit="1"/>
    </xf>
    <xf numFmtId="0" fontId="47" fillId="0" borderId="24" xfId="0" applyNumberFormat="1" applyFont="1" applyFill="1" applyBorder="1" applyAlignment="1">
      <alignment vertical="center" wrapText="1" shrinkToFit="1"/>
    </xf>
    <xf numFmtId="0" fontId="46" fillId="0" borderId="53" xfId="0" applyNumberFormat="1" applyFont="1" applyFill="1" applyBorder="1" applyAlignment="1">
      <alignment horizontal="left" vertical="center" shrinkToFit="1"/>
    </xf>
    <xf numFmtId="0" fontId="47" fillId="0" borderId="3" xfId="0" applyNumberFormat="1" applyFont="1" applyFill="1" applyBorder="1" applyAlignment="1">
      <alignment horizontal="center" vertical="center" shrinkToFit="1"/>
    </xf>
    <xf numFmtId="0" fontId="47" fillId="0" borderId="4"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7" fillId="0" borderId="9" xfId="0" applyNumberFormat="1" applyFont="1" applyFill="1" applyBorder="1" applyAlignment="1">
      <alignment horizontal="center" vertical="center" shrinkToFit="1"/>
    </xf>
    <xf numFmtId="0" fontId="37" fillId="0" borderId="9" xfId="89" applyFill="1" applyBorder="1" applyAlignment="1" applyProtection="1">
      <alignment horizontal="center" vertical="center" shrinkToFit="1"/>
    </xf>
    <xf numFmtId="0" fontId="37" fillId="0" borderId="7" xfId="89" applyFill="1" applyBorder="1" applyAlignment="1" applyProtection="1">
      <alignment horizontal="center" vertical="center" shrinkToFit="1"/>
    </xf>
    <xf numFmtId="0" fontId="46" fillId="0" borderId="3" xfId="0" applyNumberFormat="1" applyFont="1" applyFill="1" applyBorder="1" applyAlignment="1">
      <alignment horizontal="center" vertical="center" wrapText="1"/>
    </xf>
    <xf numFmtId="0" fontId="46" fillId="0" borderId="4" xfId="0" applyNumberFormat="1" applyFont="1" applyFill="1" applyBorder="1" applyAlignment="1">
      <alignment horizontal="center" vertical="center" wrapText="1"/>
    </xf>
    <xf numFmtId="0" fontId="46" fillId="0" borderId="3" xfId="0" applyNumberFormat="1" applyFont="1" applyFill="1" applyBorder="1" applyAlignment="1">
      <alignment horizontal="center" vertical="center" wrapText="1" shrinkToFit="1"/>
    </xf>
    <xf numFmtId="0" fontId="46" fillId="0" borderId="4" xfId="0" applyNumberFormat="1" applyFont="1" applyFill="1" applyBorder="1" applyAlignment="1">
      <alignment horizontal="center" vertical="center" wrapText="1" shrinkToFit="1"/>
    </xf>
    <xf numFmtId="0" fontId="46" fillId="0" borderId="3" xfId="0" applyNumberFormat="1" applyFont="1" applyFill="1" applyBorder="1" applyAlignment="1">
      <alignment horizontal="center" vertical="center" shrinkToFit="1"/>
    </xf>
    <xf numFmtId="0" fontId="46" fillId="0" borderId="4" xfId="0" applyFont="1" applyBorder="1">
      <alignment vertical="center"/>
    </xf>
    <xf numFmtId="0" fontId="46" fillId="0" borderId="5" xfId="0" applyFont="1" applyBorder="1">
      <alignment vertical="center"/>
    </xf>
    <xf numFmtId="49" fontId="46" fillId="0" borderId="4" xfId="0" applyNumberFormat="1" applyFont="1" applyFill="1" applyBorder="1" applyAlignment="1">
      <alignment horizontal="center" vertical="center" shrinkToFit="1"/>
    </xf>
    <xf numFmtId="49" fontId="46" fillId="0" borderId="5" xfId="0" applyNumberFormat="1" applyFont="1" applyFill="1" applyBorder="1" applyAlignment="1">
      <alignment horizontal="center" vertical="center" shrinkToFit="1"/>
    </xf>
    <xf numFmtId="0" fontId="46" fillId="0" borderId="5" xfId="0" applyNumberFormat="1" applyFont="1" applyFill="1" applyBorder="1" applyAlignment="1">
      <alignment horizontal="center" vertical="center" shrinkToFit="1"/>
    </xf>
    <xf numFmtId="0" fontId="46" fillId="0" borderId="4" xfId="0" applyNumberFormat="1" applyFont="1" applyFill="1" applyBorder="1" applyAlignment="1">
      <alignment horizontal="center" vertical="center" shrinkToFit="1"/>
    </xf>
    <xf numFmtId="0" fontId="0" fillId="0" borderId="15" xfId="0" applyFont="1" applyBorder="1" applyAlignment="1">
      <alignment horizontal="center" vertical="center"/>
    </xf>
    <xf numFmtId="0" fontId="47" fillId="0" borderId="8" xfId="0" applyNumberFormat="1" applyFont="1" applyFill="1" applyBorder="1" applyAlignment="1">
      <alignment horizontal="center" vertical="center" shrinkToFit="1"/>
    </xf>
    <xf numFmtId="0" fontId="46" fillId="0" borderId="27" xfId="0" applyNumberFormat="1" applyFont="1" applyFill="1" applyBorder="1" applyAlignment="1">
      <alignment horizontal="left" vertical="center" shrinkToFit="1"/>
    </xf>
    <xf numFmtId="0" fontId="0" fillId="0" borderId="0" xfId="0" applyBorder="1" applyAlignment="1">
      <alignment vertical="center"/>
    </xf>
    <xf numFmtId="0" fontId="0" fillId="0" borderId="2" xfId="0" applyFill="1" applyBorder="1" applyAlignment="1">
      <alignment vertical="center" wrapText="1" shrinkToFit="1"/>
    </xf>
    <xf numFmtId="0" fontId="0" fillId="0" borderId="21" xfId="0" applyFill="1" applyBorder="1" applyAlignment="1">
      <alignment vertical="center" wrapText="1" shrinkToFit="1"/>
    </xf>
    <xf numFmtId="0" fontId="0" fillId="0" borderId="4" xfId="0" applyFont="1" applyFill="1" applyBorder="1">
      <alignment vertical="center"/>
    </xf>
    <xf numFmtId="0" fontId="46" fillId="29" borderId="3" xfId="0" applyFont="1" applyFill="1" applyBorder="1">
      <alignment vertical="center"/>
    </xf>
    <xf numFmtId="0" fontId="46" fillId="29" borderId="27" xfId="0" applyFont="1" applyFill="1" applyBorder="1">
      <alignment vertical="center"/>
    </xf>
    <xf numFmtId="0" fontId="46" fillId="29" borderId="51" xfId="0" applyFont="1" applyFill="1" applyBorder="1">
      <alignment vertical="center"/>
    </xf>
    <xf numFmtId="0" fontId="0" fillId="29" borderId="3" xfId="0" applyFill="1" applyBorder="1">
      <alignment vertical="center"/>
    </xf>
    <xf numFmtId="0" fontId="46" fillId="29" borderId="5" xfId="0" applyFont="1" applyFill="1" applyBorder="1">
      <alignment vertical="center"/>
    </xf>
    <xf numFmtId="0" fontId="46" fillId="29" borderId="31" xfId="0" applyFont="1" applyFill="1" applyBorder="1">
      <alignment vertical="center"/>
    </xf>
    <xf numFmtId="0" fontId="46" fillId="29" borderId="53" xfId="0" applyFont="1" applyFill="1" applyBorder="1">
      <alignment vertical="center"/>
    </xf>
    <xf numFmtId="0" fontId="0" fillId="29" borderId="5" xfId="0" applyFill="1" applyBorder="1">
      <alignment vertical="center"/>
    </xf>
    <xf numFmtId="0" fontId="46" fillId="29" borderId="17" xfId="0" applyFont="1" applyFill="1" applyBorder="1">
      <alignment vertical="center"/>
    </xf>
    <xf numFmtId="0" fontId="46" fillId="29" borderId="18" xfId="0" applyFont="1" applyFill="1" applyBorder="1">
      <alignment vertical="center"/>
    </xf>
    <xf numFmtId="0" fontId="50" fillId="29" borderId="4" xfId="0" applyFont="1" applyFill="1" applyBorder="1" applyAlignment="1">
      <alignment horizontal="center" vertical="center" shrinkToFit="1"/>
    </xf>
    <xf numFmtId="0" fontId="7" fillId="0" borderId="4" xfId="89" applyFont="1" applyBorder="1" applyAlignment="1" applyProtection="1">
      <alignment vertical="center"/>
    </xf>
    <xf numFmtId="0" fontId="46" fillId="29" borderId="5" xfId="0" applyFont="1" applyFill="1" applyBorder="1" applyAlignment="1">
      <alignment horizontal="center" vertical="center" shrinkToFit="1"/>
    </xf>
    <xf numFmtId="0" fontId="46" fillId="29" borderId="3" xfId="0" applyFont="1" applyFill="1" applyBorder="1" applyAlignment="1">
      <alignment horizontal="center" vertical="center"/>
    </xf>
    <xf numFmtId="0" fontId="46" fillId="29" borderId="5" xfId="0" applyFont="1" applyFill="1" applyBorder="1" applyAlignment="1">
      <alignment horizontal="center" vertical="center"/>
    </xf>
    <xf numFmtId="0" fontId="46" fillId="25" borderId="9" xfId="0" applyFont="1" applyFill="1" applyBorder="1" applyAlignment="1">
      <alignment horizontal="center" vertical="center"/>
    </xf>
    <xf numFmtId="0" fontId="47" fillId="29" borderId="52" xfId="0" applyNumberFormat="1" applyFont="1" applyFill="1" applyBorder="1" applyAlignment="1">
      <alignment vertical="center" shrinkToFit="1"/>
    </xf>
    <xf numFmtId="0" fontId="47" fillId="29" borderId="10" xfId="0" applyNumberFormat="1" applyFont="1" applyFill="1" applyBorder="1" applyAlignment="1">
      <alignment horizontal="right" vertical="center" shrinkToFit="1"/>
    </xf>
    <xf numFmtId="187" fontId="47" fillId="29" borderId="16" xfId="0" applyNumberFormat="1" applyFont="1" applyFill="1" applyBorder="1">
      <alignment vertical="center"/>
    </xf>
    <xf numFmtId="0" fontId="10" fillId="29" borderId="4" xfId="0" applyFont="1" applyFill="1" applyBorder="1" applyAlignment="1">
      <alignment vertical="center" shrinkToFit="1"/>
    </xf>
    <xf numFmtId="0" fontId="47" fillId="0" borderId="27" xfId="0" applyNumberFormat="1" applyFont="1" applyFill="1" applyBorder="1" applyAlignment="1">
      <alignment horizontal="left" vertical="center" shrinkToFit="1"/>
    </xf>
    <xf numFmtId="0" fontId="47" fillId="0" borderId="51" xfId="0" applyNumberFormat="1" applyFont="1" applyFill="1" applyBorder="1" applyAlignment="1">
      <alignment horizontal="left" vertical="center" shrinkToFit="1"/>
    </xf>
    <xf numFmtId="0" fontId="47" fillId="25" borderId="5" xfId="0" applyFont="1" applyFill="1" applyBorder="1">
      <alignment vertical="center"/>
    </xf>
    <xf numFmtId="0" fontId="32" fillId="0" borderId="26" xfId="0" applyFont="1" applyBorder="1" applyAlignment="1">
      <alignment vertical="center" wrapText="1"/>
    </xf>
    <xf numFmtId="0" fontId="32" fillId="0" borderId="19" xfId="0" applyFont="1" applyBorder="1" applyAlignment="1">
      <alignment vertical="center" wrapText="1"/>
    </xf>
    <xf numFmtId="0" fontId="47" fillId="25" borderId="4" xfId="0" applyFont="1" applyFill="1" applyBorder="1">
      <alignment vertical="center"/>
    </xf>
    <xf numFmtId="0" fontId="47" fillId="25" borderId="4" xfId="0" applyFont="1" applyFill="1" applyBorder="1" applyAlignment="1">
      <alignment horizontal="center" vertical="center" shrinkToFit="1"/>
    </xf>
    <xf numFmtId="0" fontId="9" fillId="0" borderId="4" xfId="0" applyFont="1" applyBorder="1">
      <alignment vertical="center"/>
    </xf>
    <xf numFmtId="0" fontId="47" fillId="0" borderId="5" xfId="0" applyFont="1" applyFill="1" applyBorder="1" applyAlignment="1">
      <alignment vertical="center" wrapText="1" shrinkToFit="1"/>
    </xf>
    <xf numFmtId="0" fontId="47" fillId="0" borderId="5" xfId="0" applyFont="1" applyFill="1" applyBorder="1" applyAlignment="1">
      <alignment horizontal="center" vertical="center" wrapText="1" shrinkToFit="1"/>
    </xf>
    <xf numFmtId="49" fontId="41" fillId="29" borderId="2" xfId="0" applyNumberFormat="1" applyFont="1" applyFill="1" applyBorder="1" applyAlignment="1">
      <alignment horizontal="center" vertical="center" wrapText="1"/>
    </xf>
    <xf numFmtId="0" fontId="47" fillId="29" borderId="25" xfId="0" applyFont="1" applyFill="1" applyBorder="1" applyAlignment="1">
      <alignment vertical="center" shrinkToFit="1"/>
    </xf>
    <xf numFmtId="0" fontId="47" fillId="29" borderId="2" xfId="0" applyFont="1" applyFill="1" applyBorder="1" applyAlignment="1">
      <alignment vertical="center" wrapText="1" shrinkToFit="1"/>
    </xf>
    <xf numFmtId="0" fontId="8" fillId="29" borderId="19" xfId="0" applyFont="1" applyFill="1" applyBorder="1" applyAlignment="1">
      <alignment vertical="center"/>
    </xf>
    <xf numFmtId="0" fontId="32" fillId="29" borderId="19" xfId="0" applyFont="1" applyFill="1" applyBorder="1" applyAlignment="1">
      <alignment vertical="center" wrapText="1"/>
    </xf>
    <xf numFmtId="187" fontId="47" fillId="29" borderId="4" xfId="0" applyNumberFormat="1" applyFont="1" applyFill="1" applyBorder="1">
      <alignment vertical="center"/>
    </xf>
    <xf numFmtId="0" fontId="0" fillId="0" borderId="103" xfId="0" applyBorder="1">
      <alignment vertical="center"/>
    </xf>
    <xf numFmtId="0" fontId="0" fillId="0" borderId="104" xfId="0" applyBorder="1">
      <alignment vertical="center"/>
    </xf>
    <xf numFmtId="0" fontId="0" fillId="0" borderId="105" xfId="0" applyBorder="1">
      <alignment vertical="center"/>
    </xf>
    <xf numFmtId="0" fontId="0" fillId="0" borderId="106" xfId="0" applyBorder="1">
      <alignment vertical="center"/>
    </xf>
    <xf numFmtId="0" fontId="0" fillId="0" borderId="81" xfId="0" applyBorder="1">
      <alignment vertical="center"/>
    </xf>
    <xf numFmtId="0" fontId="0" fillId="0" borderId="20" xfId="0" applyBorder="1" applyAlignment="1">
      <alignment horizontal="left" vertical="center"/>
    </xf>
    <xf numFmtId="0" fontId="58" fillId="25" borderId="3" xfId="0" applyFont="1" applyFill="1" applyBorder="1">
      <alignment vertical="center"/>
    </xf>
    <xf numFmtId="0" fontId="58" fillId="25" borderId="3" xfId="0" applyFont="1" applyFill="1" applyBorder="1" applyAlignment="1">
      <alignment horizontal="center" vertical="center" shrinkToFit="1"/>
    </xf>
    <xf numFmtId="0" fontId="58" fillId="25" borderId="27" xfId="0" applyNumberFormat="1" applyFont="1" applyFill="1" applyBorder="1" applyAlignment="1">
      <alignment horizontal="left" vertical="center" shrinkToFit="1"/>
    </xf>
    <xf numFmtId="49" fontId="58" fillId="25" borderId="51" xfId="0" applyNumberFormat="1" applyFont="1" applyFill="1" applyBorder="1" applyAlignment="1">
      <alignment horizontal="left" vertical="center" shrinkToFit="1"/>
    </xf>
    <xf numFmtId="49" fontId="58" fillId="25" borderId="12" xfId="0" applyNumberFormat="1" applyFont="1" applyFill="1" applyBorder="1" applyAlignment="1">
      <alignment horizontal="right" vertical="center" shrinkToFit="1"/>
    </xf>
    <xf numFmtId="0" fontId="59" fillId="25" borderId="3" xfId="0" applyNumberFormat="1" applyFont="1" applyFill="1" applyBorder="1" applyAlignment="1">
      <alignment horizontal="center" vertical="center" shrinkToFit="1"/>
    </xf>
    <xf numFmtId="0" fontId="58" fillId="25" borderId="3" xfId="0" applyNumberFormat="1" applyFont="1" applyFill="1" applyBorder="1" applyAlignment="1">
      <alignment horizontal="center" vertical="center" shrinkToFit="1"/>
    </xf>
    <xf numFmtId="0" fontId="58" fillId="25" borderId="4" xfId="0" applyFont="1" applyFill="1" applyBorder="1">
      <alignment vertical="center"/>
    </xf>
    <xf numFmtId="0" fontId="58" fillId="25" borderId="4" xfId="0" applyFont="1" applyFill="1" applyBorder="1" applyAlignment="1">
      <alignment horizontal="center" vertical="center" shrinkToFit="1"/>
    </xf>
    <xf numFmtId="17" fontId="58" fillId="25" borderId="28" xfId="0" applyNumberFormat="1" applyFont="1" applyFill="1" applyBorder="1" applyAlignment="1">
      <alignment horizontal="left" vertical="center" shrinkToFit="1"/>
    </xf>
    <xf numFmtId="49" fontId="58" fillId="25" borderId="52" xfId="0" applyNumberFormat="1" applyFont="1" applyFill="1" applyBorder="1" applyAlignment="1">
      <alignment horizontal="left" vertical="center" shrinkToFit="1"/>
    </xf>
    <xf numFmtId="49" fontId="58" fillId="25" borderId="10" xfId="0" applyNumberFormat="1" applyFont="1" applyFill="1" applyBorder="1" applyAlignment="1">
      <alignment horizontal="right" vertical="center" shrinkToFit="1"/>
    </xf>
    <xf numFmtId="0" fontId="59" fillId="25" borderId="4" xfId="0" applyNumberFormat="1" applyFont="1" applyFill="1" applyBorder="1" applyAlignment="1">
      <alignment horizontal="center" vertical="center" shrinkToFit="1"/>
    </xf>
    <xf numFmtId="0" fontId="58" fillId="25" borderId="4" xfId="0" applyNumberFormat="1" applyFont="1" applyFill="1" applyBorder="1" applyAlignment="1">
      <alignment horizontal="center" vertical="center" shrinkToFit="1"/>
    </xf>
    <xf numFmtId="0" fontId="58" fillId="25" borderId="28" xfId="0" applyNumberFormat="1" applyFont="1" applyFill="1" applyBorder="1" applyAlignment="1">
      <alignment horizontal="left" vertical="center" shrinkToFit="1"/>
    </xf>
    <xf numFmtId="0" fontId="58" fillId="25" borderId="5" xfId="0" applyFont="1" applyFill="1" applyBorder="1">
      <alignment vertical="center"/>
    </xf>
    <xf numFmtId="0" fontId="58" fillId="25" borderId="5" xfId="0" applyFont="1" applyFill="1" applyBorder="1" applyAlignment="1">
      <alignment horizontal="center" vertical="center" shrinkToFit="1"/>
    </xf>
    <xf numFmtId="0" fontId="58" fillId="25" borderId="31" xfId="0" applyNumberFormat="1" applyFont="1" applyFill="1" applyBorder="1" applyAlignment="1">
      <alignment horizontal="left" vertical="center" shrinkToFit="1"/>
    </xf>
    <xf numFmtId="49" fontId="58" fillId="25" borderId="53" xfId="0" applyNumberFormat="1" applyFont="1" applyFill="1" applyBorder="1" applyAlignment="1">
      <alignment horizontal="left" vertical="center" shrinkToFit="1"/>
    </xf>
    <xf numFmtId="49" fontId="58" fillId="25" borderId="32" xfId="0" applyNumberFormat="1" applyFont="1" applyFill="1" applyBorder="1" applyAlignment="1">
      <alignment horizontal="right" vertical="center" shrinkToFit="1"/>
    </xf>
    <xf numFmtId="0" fontId="59" fillId="25" borderId="5" xfId="0" applyNumberFormat="1" applyFont="1" applyFill="1" applyBorder="1" applyAlignment="1">
      <alignment horizontal="center" vertical="center" shrinkToFit="1"/>
    </xf>
    <xf numFmtId="0" fontId="58" fillId="25" borderId="5" xfId="0" applyNumberFormat="1" applyFont="1" applyFill="1" applyBorder="1" applyAlignment="1">
      <alignment horizontal="center" vertical="center" shrinkToFit="1"/>
    </xf>
    <xf numFmtId="0" fontId="31" fillId="0" borderId="32" xfId="0" applyFont="1" applyBorder="1" applyAlignment="1">
      <alignment horizontal="left" vertical="center"/>
    </xf>
    <xf numFmtId="0" fontId="47" fillId="0" borderId="19" xfId="0" applyNumberFormat="1" applyFont="1" applyFill="1" applyBorder="1" applyAlignment="1">
      <alignment horizontal="center" vertical="center" shrinkToFit="1"/>
    </xf>
    <xf numFmtId="0" fontId="58" fillId="0" borderId="2" xfId="0" applyFont="1" applyBorder="1" applyAlignment="1">
      <alignment horizontal="left" vertical="center" shrinkToFit="1"/>
    </xf>
    <xf numFmtId="0" fontId="58" fillId="0" borderId="6" xfId="0" applyFont="1" applyBorder="1" applyAlignment="1">
      <alignment vertical="center" wrapText="1"/>
    </xf>
    <xf numFmtId="0" fontId="58" fillId="0" borderId="5" xfId="0" applyFont="1" applyBorder="1" applyAlignment="1">
      <alignment horizontal="left" vertical="center" wrapText="1"/>
    </xf>
    <xf numFmtId="0" fontId="47" fillId="0" borderId="4" xfId="0" applyNumberFormat="1" applyFont="1" applyFill="1" applyBorder="1" applyAlignment="1">
      <alignment horizontal="left" vertical="top" shrinkToFit="1"/>
    </xf>
    <xf numFmtId="0" fontId="47" fillId="0" borderId="6" xfId="0" applyNumberFormat="1" applyFont="1" applyFill="1" applyBorder="1" applyAlignment="1">
      <alignment horizontal="left" vertical="top" shrinkToFit="1"/>
    </xf>
    <xf numFmtId="0" fontId="47" fillId="0" borderId="2" xfId="0" applyFont="1" applyBorder="1" applyAlignment="1">
      <alignment horizontal="left" vertical="center" wrapText="1"/>
    </xf>
    <xf numFmtId="0" fontId="50" fillId="0" borderId="4" xfId="0" applyNumberFormat="1" applyFont="1" applyFill="1" applyBorder="1" applyAlignment="1">
      <alignment horizontal="left" vertical="center" wrapText="1" shrinkToFit="1"/>
    </xf>
    <xf numFmtId="0" fontId="58" fillId="0" borderId="9" xfId="0" applyFont="1" applyBorder="1" applyAlignment="1">
      <alignment horizontal="left" vertical="center" shrinkToFit="1"/>
    </xf>
    <xf numFmtId="0" fontId="58" fillId="0" borderId="3" xfId="0" applyNumberFormat="1" applyFont="1" applyFill="1" applyBorder="1" applyAlignment="1">
      <alignment horizontal="left" vertical="top" shrinkToFit="1"/>
    </xf>
    <xf numFmtId="0" fontId="58" fillId="0" borderId="4" xfId="0" applyNumberFormat="1" applyFont="1" applyFill="1" applyBorder="1" applyAlignment="1">
      <alignment horizontal="left" vertical="top" shrinkToFit="1"/>
    </xf>
    <xf numFmtId="0" fontId="58" fillId="0" borderId="5" xfId="0" applyNumberFormat="1" applyFont="1" applyFill="1" applyBorder="1" applyAlignment="1">
      <alignment horizontal="left" vertical="top" shrinkToFit="1"/>
    </xf>
    <xf numFmtId="0" fontId="58" fillId="0" borderId="2" xfId="0" applyNumberFormat="1" applyFont="1" applyFill="1" applyBorder="1" applyAlignment="1">
      <alignment horizontal="left" vertical="top" shrinkToFit="1"/>
    </xf>
    <xf numFmtId="0" fontId="58" fillId="0" borderId="2" xfId="0" applyFont="1" applyBorder="1" applyAlignment="1">
      <alignment horizontal="left" vertical="center"/>
    </xf>
    <xf numFmtId="0" fontId="58" fillId="0" borderId="3" xfId="0" applyFont="1" applyBorder="1" applyAlignment="1">
      <alignment horizontal="left" vertical="center"/>
    </xf>
    <xf numFmtId="0" fontId="58" fillId="0" borderId="4" xfId="0" applyFont="1" applyBorder="1" applyAlignment="1">
      <alignment horizontal="left" vertical="center"/>
    </xf>
    <xf numFmtId="0" fontId="50" fillId="0" borderId="3" xfId="0" applyNumberFormat="1" applyFont="1" applyFill="1" applyBorder="1" applyAlignment="1">
      <alignment horizontal="left" vertical="top" wrapText="1" shrinkToFit="1"/>
    </xf>
    <xf numFmtId="0" fontId="50" fillId="0" borderId="4" xfId="0" applyNumberFormat="1" applyFont="1" applyFill="1" applyBorder="1" applyAlignment="1">
      <alignment horizontal="left" vertical="top" wrapText="1" shrinkToFit="1"/>
    </xf>
    <xf numFmtId="0" fontId="50" fillId="0" borderId="5" xfId="0" applyNumberFormat="1" applyFont="1" applyFill="1" applyBorder="1" applyAlignment="1">
      <alignment horizontal="left" vertical="center" wrapText="1" shrinkToFit="1"/>
    </xf>
    <xf numFmtId="0" fontId="58" fillId="0" borderId="6" xfId="0" applyNumberFormat="1" applyFont="1" applyFill="1" applyBorder="1" applyAlignment="1">
      <alignment horizontal="left" vertical="top" shrinkToFit="1"/>
    </xf>
    <xf numFmtId="0" fontId="47" fillId="0" borderId="2" xfId="0" applyNumberFormat="1" applyFont="1" applyFill="1" applyBorder="1" applyAlignment="1">
      <alignment horizontal="left" vertical="top" shrinkToFit="1"/>
    </xf>
    <xf numFmtId="0" fontId="47" fillId="0" borderId="6" xfId="0" applyFont="1" applyBorder="1" applyAlignment="1">
      <alignment horizontal="left" vertical="center" wrapText="1"/>
    </xf>
    <xf numFmtId="0" fontId="37" fillId="0" borderId="19" xfId="89" applyBorder="1" applyAlignment="1" applyProtection="1">
      <alignment horizontal="center" vertical="center" shrinkToFit="1"/>
    </xf>
    <xf numFmtId="49" fontId="58" fillId="25" borderId="12" xfId="0" applyNumberFormat="1" applyFont="1" applyFill="1" applyBorder="1" applyAlignment="1">
      <alignment horizontal="left" vertical="center" shrinkToFit="1"/>
    </xf>
    <xf numFmtId="49" fontId="58" fillId="25" borderId="10" xfId="0" applyNumberFormat="1" applyFont="1" applyFill="1" applyBorder="1" applyAlignment="1">
      <alignment horizontal="left" vertical="center" shrinkToFit="1"/>
    </xf>
    <xf numFmtId="49" fontId="58" fillId="25" borderId="32" xfId="0" applyNumberFormat="1" applyFont="1" applyFill="1" applyBorder="1" applyAlignment="1">
      <alignment horizontal="left" vertical="center" shrinkToFit="1"/>
    </xf>
    <xf numFmtId="0" fontId="47" fillId="0" borderId="3" xfId="0" applyNumberFormat="1" applyFont="1" applyFill="1" applyBorder="1" applyAlignment="1">
      <alignment vertical="top" shrinkToFit="1"/>
    </xf>
    <xf numFmtId="0" fontId="47" fillId="0" borderId="4" xfId="0" applyNumberFormat="1" applyFont="1" applyFill="1" applyBorder="1" applyAlignment="1">
      <alignment vertical="top" shrinkToFit="1"/>
    </xf>
    <xf numFmtId="0" fontId="47" fillId="0" borderId="5" xfId="0" applyNumberFormat="1" applyFont="1" applyFill="1" applyBorder="1" applyAlignment="1">
      <alignment horizontal="left" vertical="top" shrinkToFit="1"/>
    </xf>
    <xf numFmtId="0" fontId="47" fillId="0" borderId="2" xfId="0" applyFont="1" applyBorder="1" applyAlignment="1">
      <alignment vertical="center" shrinkToFit="1"/>
    </xf>
    <xf numFmtId="0" fontId="47" fillId="0" borderId="9" xfId="0" applyFont="1" applyBorder="1" applyAlignment="1">
      <alignment vertical="center" shrinkToFit="1"/>
    </xf>
    <xf numFmtId="0" fontId="47" fillId="0" borderId="4" xfId="0" applyFont="1" applyBorder="1" applyAlignment="1">
      <alignment vertical="center"/>
    </xf>
    <xf numFmtId="0" fontId="47" fillId="0" borderId="4" xfId="0" applyFont="1" applyFill="1" applyBorder="1" applyAlignment="1">
      <alignment vertical="center" shrinkToFit="1"/>
    </xf>
    <xf numFmtId="0" fontId="50" fillId="0" borderId="4" xfId="0" applyNumberFormat="1" applyFont="1" applyFill="1" applyBorder="1" applyAlignment="1">
      <alignment vertical="center" shrinkToFit="1"/>
    </xf>
    <xf numFmtId="0" fontId="54" fillId="0" borderId="20" xfId="0" applyFont="1" applyBorder="1" applyAlignment="1">
      <alignment horizontal="left" vertical="center"/>
    </xf>
    <xf numFmtId="0" fontId="50" fillId="0" borderId="3" xfId="0" applyNumberFormat="1" applyFont="1" applyFill="1" applyBorder="1" applyAlignment="1">
      <alignment vertical="top" wrapText="1" shrinkToFit="1"/>
    </xf>
    <xf numFmtId="0" fontId="50" fillId="0" borderId="4" xfId="0" applyNumberFormat="1" applyFont="1" applyFill="1" applyBorder="1" applyAlignment="1">
      <alignment vertical="top" wrapText="1" shrinkToFit="1"/>
    </xf>
    <xf numFmtId="0" fontId="42" fillId="0" borderId="20" xfId="0" applyFont="1" applyBorder="1" applyAlignment="1">
      <alignment vertical="center" shrinkToFit="1"/>
    </xf>
    <xf numFmtId="0" fontId="46" fillId="0" borderId="0" xfId="0" applyFont="1" applyBorder="1" applyAlignment="1">
      <alignment vertical="center" shrinkToFit="1"/>
    </xf>
    <xf numFmtId="188" fontId="41" fillId="2" borderId="1" xfId="0" applyNumberFormat="1" applyFont="1" applyFill="1" applyBorder="1" applyAlignment="1">
      <alignment horizontal="center" vertical="center" wrapText="1" shrinkToFit="1" readingOrder="1"/>
    </xf>
    <xf numFmtId="0" fontId="43" fillId="30" borderId="1" xfId="0" applyFont="1" applyFill="1" applyBorder="1" applyAlignment="1">
      <alignment horizontal="center" vertical="center" textRotation="90" shrinkToFit="1"/>
    </xf>
    <xf numFmtId="0" fontId="41" fillId="2" borderId="1" xfId="0" applyFont="1" applyFill="1" applyBorder="1" applyAlignment="1">
      <alignment horizontal="center" vertical="center" shrinkToFit="1"/>
    </xf>
    <xf numFmtId="0" fontId="41" fillId="30" borderId="9" xfId="0" applyFont="1" applyFill="1" applyBorder="1" applyAlignment="1">
      <alignment horizontal="center" vertical="center" textRotation="90" shrinkToFit="1"/>
    </xf>
    <xf numFmtId="0" fontId="41" fillId="31" borderId="9" xfId="0" applyFont="1" applyFill="1" applyBorder="1" applyAlignment="1">
      <alignment horizontal="center" vertical="center" textRotation="90" wrapText="1" shrinkToFit="1"/>
    </xf>
    <xf numFmtId="0" fontId="8" fillId="0" borderId="0" xfId="0" applyFont="1" applyBorder="1" applyAlignment="1">
      <alignment vertical="center" wrapText="1"/>
    </xf>
    <xf numFmtId="0" fontId="37" fillId="0" borderId="35" xfId="89" applyBorder="1" applyAlignment="1" applyProtection="1">
      <alignment horizontal="center" vertical="center" wrapText="1"/>
    </xf>
    <xf numFmtId="0" fontId="47" fillId="0" borderId="19" xfId="0" applyFont="1" applyFill="1" applyBorder="1" applyAlignment="1">
      <alignment horizontal="center" vertical="center" wrapText="1" shrinkToFit="1"/>
    </xf>
    <xf numFmtId="0" fontId="47" fillId="0" borderId="76" xfId="0" applyNumberFormat="1" applyFont="1" applyFill="1" applyBorder="1" applyAlignment="1">
      <alignment horizontal="left" vertical="center" shrinkToFit="1"/>
    </xf>
    <xf numFmtId="49" fontId="47" fillId="0" borderId="77" xfId="0" applyNumberFormat="1" applyFont="1" applyFill="1" applyBorder="1" applyAlignment="1">
      <alignment horizontal="left" vertical="center" shrinkToFit="1"/>
    </xf>
    <xf numFmtId="49" fontId="47" fillId="0" borderId="95" xfId="0" applyNumberFormat="1" applyFont="1" applyFill="1" applyBorder="1" applyAlignment="1">
      <alignment horizontal="right" vertical="center" wrapText="1" shrinkToFit="1"/>
    </xf>
    <xf numFmtId="0" fontId="37" fillId="0" borderId="19" xfId="89" applyBorder="1" applyAlignment="1" applyProtection="1">
      <alignment horizontal="center" vertical="center"/>
    </xf>
    <xf numFmtId="0" fontId="0" fillId="0" borderId="101" xfId="0" applyBorder="1">
      <alignment vertical="center"/>
    </xf>
    <xf numFmtId="0" fontId="0" fillId="0" borderId="107" xfId="0" applyBorder="1">
      <alignment vertical="center"/>
    </xf>
    <xf numFmtId="0" fontId="0" fillId="0" borderId="102" xfId="0" applyBorder="1">
      <alignment vertical="center"/>
    </xf>
    <xf numFmtId="0" fontId="37" fillId="0" borderId="9" xfId="89" applyFill="1" applyBorder="1" applyAlignment="1" applyProtection="1">
      <alignment horizontal="center" vertical="center" shrinkToFit="1"/>
    </xf>
    <xf numFmtId="0" fontId="37" fillId="0" borderId="7" xfId="89" applyFill="1" applyBorder="1" applyAlignment="1" applyProtection="1">
      <alignment horizontal="center" vertical="center" shrinkToFit="1"/>
    </xf>
    <xf numFmtId="0" fontId="47" fillId="0" borderId="3"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7" fillId="0" borderId="9" xfId="0" applyNumberFormat="1" applyFont="1" applyFill="1" applyBorder="1" applyAlignment="1">
      <alignment horizontal="center" vertical="center" shrinkToFit="1"/>
    </xf>
    <xf numFmtId="0" fontId="47" fillId="0" borderId="51" xfId="0" applyNumberFormat="1" applyFont="1" applyFill="1" applyBorder="1" applyAlignment="1">
      <alignment horizontal="left" vertical="center" shrinkToFit="1"/>
    </xf>
    <xf numFmtId="0" fontId="47" fillId="0" borderId="4" xfId="0" applyNumberFormat="1" applyFont="1" applyFill="1" applyBorder="1" applyAlignment="1">
      <alignment horizontal="center" vertical="center" shrinkToFit="1"/>
    </xf>
    <xf numFmtId="0" fontId="46" fillId="0" borderId="3" xfId="0" applyNumberFormat="1" applyFont="1" applyFill="1" applyBorder="1" applyAlignment="1">
      <alignment horizontal="center" vertical="center" wrapText="1" shrinkToFit="1"/>
    </xf>
    <xf numFmtId="0" fontId="46" fillId="0" borderId="4" xfId="0" applyNumberFormat="1" applyFont="1" applyFill="1" applyBorder="1" applyAlignment="1">
      <alignment horizontal="center" vertical="center" wrapText="1" shrinkToFit="1"/>
    </xf>
    <xf numFmtId="0" fontId="46" fillId="0" borderId="3" xfId="0" applyNumberFormat="1" applyFont="1" applyFill="1" applyBorder="1" applyAlignment="1">
      <alignment horizontal="center" vertical="center" wrapText="1"/>
    </xf>
    <xf numFmtId="0" fontId="46" fillId="0" borderId="4" xfId="0" applyNumberFormat="1" applyFont="1" applyFill="1" applyBorder="1" applyAlignment="1">
      <alignment horizontal="center" vertical="center" wrapText="1"/>
    </xf>
    <xf numFmtId="0" fontId="46" fillId="0" borderId="3" xfId="0" applyNumberFormat="1" applyFont="1" applyFill="1" applyBorder="1" applyAlignment="1">
      <alignment horizontal="center" vertical="center" shrinkToFit="1"/>
    </xf>
    <xf numFmtId="0" fontId="46" fillId="0" borderId="5" xfId="0" applyNumberFormat="1" applyFont="1" applyFill="1" applyBorder="1" applyAlignment="1">
      <alignment horizontal="center" vertical="center" shrinkToFit="1"/>
    </xf>
    <xf numFmtId="0" fontId="46" fillId="0" borderId="4" xfId="0" applyFont="1" applyBorder="1">
      <alignment vertical="center"/>
    </xf>
    <xf numFmtId="0" fontId="46" fillId="0" borderId="5" xfId="0" applyFont="1" applyBorder="1">
      <alignment vertical="center"/>
    </xf>
    <xf numFmtId="49" fontId="46" fillId="0" borderId="4" xfId="0" applyNumberFormat="1" applyFont="1" applyFill="1" applyBorder="1" applyAlignment="1">
      <alignment horizontal="center" vertical="center" shrinkToFit="1"/>
    </xf>
    <xf numFmtId="49" fontId="46" fillId="0" borderId="5" xfId="0" applyNumberFormat="1" applyFont="1" applyFill="1" applyBorder="1" applyAlignment="1">
      <alignment horizontal="center" vertical="center" shrinkToFit="1"/>
    </xf>
    <xf numFmtId="0" fontId="0" fillId="0" borderId="15" xfId="0" applyFont="1" applyBorder="1" applyAlignment="1">
      <alignment horizontal="center" vertical="center"/>
    </xf>
    <xf numFmtId="0" fontId="46" fillId="0" borderId="4" xfId="0" applyNumberFormat="1" applyFont="1" applyFill="1" applyBorder="1" applyAlignment="1">
      <alignment horizontal="center" vertical="center" shrinkToFit="1"/>
    </xf>
    <xf numFmtId="0" fontId="47" fillId="0" borderId="8" xfId="0" applyNumberFormat="1" applyFont="1" applyFill="1" applyBorder="1" applyAlignment="1">
      <alignment horizontal="center" vertical="center" shrinkToFit="1"/>
    </xf>
    <xf numFmtId="0" fontId="47" fillId="0" borderId="27" xfId="0" applyNumberFormat="1" applyFont="1" applyFill="1" applyBorder="1" applyAlignment="1">
      <alignment horizontal="left" vertical="center" shrinkToFit="1"/>
    </xf>
    <xf numFmtId="0" fontId="46" fillId="0" borderId="27" xfId="0" applyNumberFormat="1" applyFont="1" applyFill="1" applyBorder="1" applyAlignment="1">
      <alignment horizontal="left" vertical="center" shrinkToFit="1"/>
    </xf>
    <xf numFmtId="0" fontId="52" fillId="33" borderId="19" xfId="0" applyFont="1" applyFill="1" applyBorder="1" applyAlignment="1">
      <alignment vertical="center" wrapText="1"/>
    </xf>
    <xf numFmtId="0" fontId="46" fillId="0" borderId="20" xfId="0" applyFont="1" applyBorder="1">
      <alignment vertical="center"/>
    </xf>
    <xf numFmtId="0" fontId="46" fillId="0" borderId="2" xfId="0" applyFont="1" applyFill="1" applyBorder="1" applyAlignment="1">
      <alignment vertical="center" wrapText="1" shrinkToFit="1"/>
    </xf>
    <xf numFmtId="0" fontId="46" fillId="0" borderId="21" xfId="0" applyFont="1" applyFill="1" applyBorder="1" applyAlignment="1">
      <alignment vertical="center" wrapText="1" shrinkToFit="1"/>
    </xf>
    <xf numFmtId="0" fontId="47" fillId="0" borderId="9" xfId="0" applyNumberFormat="1" applyFont="1" applyBorder="1" applyAlignment="1">
      <alignment horizontal="left" vertical="top" shrinkToFit="1"/>
    </xf>
    <xf numFmtId="0" fontId="46" fillId="0" borderId="10" xfId="0" applyNumberFormat="1" applyFont="1" applyBorder="1" applyAlignment="1">
      <alignment horizontal="left" vertical="top" shrinkToFit="1"/>
    </xf>
    <xf numFmtId="0" fontId="46" fillId="0" borderId="10" xfId="0" applyNumberFormat="1" applyFont="1" applyBorder="1" applyAlignment="1">
      <alignment horizontal="left" vertical="center" shrinkToFit="1"/>
    </xf>
    <xf numFmtId="0" fontId="46" fillId="0" borderId="10" xfId="0" applyNumberFormat="1" applyFont="1" applyBorder="1" applyAlignment="1">
      <alignment horizontal="left" vertical="center" wrapText="1" shrinkToFit="1"/>
    </xf>
    <xf numFmtId="0" fontId="46" fillId="0" borderId="4" xfId="0" applyFont="1" applyBorder="1" applyAlignment="1">
      <alignment horizontal="left" vertical="top"/>
    </xf>
    <xf numFmtId="0" fontId="46" fillId="0" borderId="8" xfId="0" applyFont="1" applyBorder="1" applyAlignment="1">
      <alignment horizontal="left" vertical="top"/>
    </xf>
    <xf numFmtId="0" fontId="46" fillId="0" borderId="4" xfId="0" applyFont="1" applyBorder="1" applyAlignment="1">
      <alignment horizontal="left" vertical="center" wrapText="1"/>
    </xf>
    <xf numFmtId="0" fontId="46" fillId="0" borderId="3" xfId="0" applyFont="1" applyBorder="1" applyAlignment="1">
      <alignment vertical="center" wrapText="1"/>
    </xf>
    <xf numFmtId="0" fontId="46" fillId="0" borderId="4" xfId="0" applyFont="1" applyBorder="1" applyAlignment="1">
      <alignment vertical="center" wrapText="1"/>
    </xf>
    <xf numFmtId="0" fontId="46" fillId="0" borderId="5" xfId="0" applyFont="1" applyBorder="1" applyAlignment="1">
      <alignment vertical="center" wrapText="1"/>
    </xf>
    <xf numFmtId="0" fontId="46" fillId="0" borderId="28" xfId="0" applyNumberFormat="1" applyFont="1" applyFill="1" applyBorder="1" applyAlignment="1">
      <alignment horizontal="left" vertical="center" shrinkToFit="1"/>
    </xf>
    <xf numFmtId="0" fontId="46" fillId="0" borderId="52" xfId="0" applyNumberFormat="1" applyFont="1" applyFill="1" applyBorder="1" applyAlignment="1">
      <alignment horizontal="left" vertical="center" shrinkToFit="1"/>
    </xf>
    <xf numFmtId="0" fontId="46" fillId="0" borderId="10" xfId="0" applyNumberFormat="1" applyFont="1" applyFill="1" applyBorder="1" applyAlignment="1">
      <alignment horizontal="left" vertical="center" shrinkToFit="1"/>
    </xf>
    <xf numFmtId="0" fontId="46" fillId="0" borderId="31" xfId="0" applyNumberFormat="1" applyFont="1" applyFill="1" applyBorder="1" applyAlignment="1">
      <alignment horizontal="left" vertical="center" shrinkToFit="1"/>
    </xf>
    <xf numFmtId="0" fontId="46" fillId="33" borderId="16" xfId="0" applyNumberFormat="1" applyFont="1" applyFill="1" applyBorder="1" applyAlignment="1">
      <alignment horizontal="center" vertical="center" wrapText="1"/>
    </xf>
    <xf numFmtId="0" fontId="50" fillId="33" borderId="4" xfId="0" applyNumberFormat="1" applyFont="1" applyFill="1" applyBorder="1" applyAlignment="1">
      <alignment horizontal="center" vertical="center" shrinkToFit="1"/>
    </xf>
    <xf numFmtId="0" fontId="46" fillId="33" borderId="28" xfId="0" applyNumberFormat="1" applyFont="1" applyFill="1" applyBorder="1" applyAlignment="1">
      <alignment vertical="center" shrinkToFit="1"/>
    </xf>
    <xf numFmtId="49" fontId="46" fillId="33" borderId="52" xfId="0" applyNumberFormat="1" applyFont="1" applyFill="1" applyBorder="1" applyAlignment="1">
      <alignment vertical="center" shrinkToFit="1"/>
    </xf>
    <xf numFmtId="49" fontId="46" fillId="33" borderId="10" xfId="0" applyNumberFormat="1" applyFont="1" applyFill="1" applyBorder="1" applyAlignment="1">
      <alignment horizontal="center" vertical="center" shrinkToFit="1"/>
    </xf>
    <xf numFmtId="0" fontId="43" fillId="33" borderId="16" xfId="0" applyNumberFormat="1" applyFont="1" applyFill="1" applyBorder="1" applyAlignment="1">
      <alignment horizontal="center" vertical="center" shrinkToFit="1"/>
    </xf>
    <xf numFmtId="0" fontId="43" fillId="33" borderId="46" xfId="0" applyNumberFormat="1" applyFont="1" applyFill="1" applyBorder="1" applyAlignment="1">
      <alignment horizontal="center" vertical="center" shrinkToFit="1"/>
    </xf>
    <xf numFmtId="0" fontId="43" fillId="33" borderId="46" xfId="0" applyNumberFormat="1" applyFont="1" applyFill="1" applyBorder="1" applyAlignment="1">
      <alignment vertical="center" shrinkToFit="1"/>
    </xf>
    <xf numFmtId="0" fontId="46" fillId="25" borderId="10" xfId="0" applyNumberFormat="1" applyFont="1" applyFill="1" applyBorder="1" applyAlignment="1">
      <alignment horizontal="left" vertical="top" shrinkToFit="1"/>
    </xf>
    <xf numFmtId="49" fontId="46" fillId="33" borderId="10" xfId="0" applyNumberFormat="1" applyFont="1" applyFill="1" applyBorder="1" applyAlignment="1">
      <alignment horizontal="right" vertical="center" shrinkToFit="1"/>
    </xf>
    <xf numFmtId="0" fontId="46" fillId="33" borderId="10" xfId="0" applyNumberFormat="1" applyFont="1" applyFill="1" applyBorder="1" applyAlignment="1">
      <alignment horizontal="left" vertical="center" shrinkToFit="1"/>
    </xf>
    <xf numFmtId="0" fontId="46" fillId="33" borderId="4" xfId="0" applyNumberFormat="1" applyFont="1" applyFill="1" applyBorder="1" applyAlignment="1">
      <alignment horizontal="center" vertical="center" wrapText="1"/>
    </xf>
    <xf numFmtId="49" fontId="46" fillId="33" borderId="10" xfId="0" quotePrefix="1" applyNumberFormat="1" applyFont="1" applyFill="1" applyBorder="1" applyAlignment="1">
      <alignment horizontal="right" vertical="center" shrinkToFit="1"/>
    </xf>
    <xf numFmtId="0" fontId="43" fillId="33" borderId="4" xfId="0" applyNumberFormat="1" applyFont="1" applyFill="1" applyBorder="1" applyAlignment="1">
      <alignment horizontal="center" vertical="center" shrinkToFit="1"/>
    </xf>
    <xf numFmtId="0" fontId="43" fillId="33" borderId="10" xfId="0" applyNumberFormat="1" applyFont="1" applyFill="1" applyBorder="1" applyAlignment="1">
      <alignment horizontal="center" vertical="center" shrinkToFit="1"/>
    </xf>
    <xf numFmtId="0" fontId="43" fillId="33" borderId="10" xfId="0" applyNumberFormat="1" applyFont="1" applyFill="1" applyBorder="1" applyAlignment="1">
      <alignment vertical="center" shrinkToFit="1"/>
    </xf>
    <xf numFmtId="0" fontId="43" fillId="33" borderId="4" xfId="0" applyNumberFormat="1" applyFont="1" applyFill="1" applyBorder="1" applyAlignment="1">
      <alignment vertical="center" shrinkToFit="1"/>
    </xf>
    <xf numFmtId="0" fontId="46" fillId="0" borderId="4" xfId="0" applyFont="1" applyBorder="1" applyAlignment="1">
      <alignment vertical="center"/>
    </xf>
    <xf numFmtId="0" fontId="46" fillId="0" borderId="20" xfId="0" applyFont="1" applyBorder="1" applyAlignment="1">
      <alignment vertical="center" shrinkToFit="1"/>
    </xf>
    <xf numFmtId="188" fontId="47" fillId="2" borderId="1" xfId="0" applyNumberFormat="1" applyFont="1" applyFill="1" applyBorder="1" applyAlignment="1">
      <alignment horizontal="center" vertical="center" wrapText="1" shrinkToFit="1" readingOrder="1"/>
    </xf>
    <xf numFmtId="0" fontId="50" fillId="30" borderId="1" xfId="0" applyFont="1" applyFill="1" applyBorder="1" applyAlignment="1">
      <alignment horizontal="center" vertical="center" textRotation="90" shrinkToFit="1"/>
    </xf>
    <xf numFmtId="0" fontId="47" fillId="2" borderId="1" xfId="0" applyFont="1" applyFill="1" applyBorder="1" applyAlignment="1">
      <alignment horizontal="center" vertical="center" shrinkToFit="1"/>
    </xf>
    <xf numFmtId="0" fontId="47" fillId="30" borderId="9" xfId="0" applyFont="1" applyFill="1" applyBorder="1" applyAlignment="1">
      <alignment horizontal="center" vertical="center" textRotation="90" shrinkToFit="1"/>
    </xf>
    <xf numFmtId="0" fontId="47" fillId="31" borderId="9" xfId="0" applyFont="1" applyFill="1" applyBorder="1" applyAlignment="1">
      <alignment horizontal="center" vertical="center" textRotation="90" wrapText="1" shrinkToFit="1"/>
    </xf>
    <xf numFmtId="0" fontId="47" fillId="2" borderId="2" xfId="0" applyFont="1" applyFill="1" applyBorder="1" applyAlignment="1">
      <alignment horizontal="center" vertical="center" shrinkToFit="1"/>
    </xf>
    <xf numFmtId="0" fontId="50" fillId="0" borderId="3" xfId="0" applyNumberFormat="1" applyFont="1" applyBorder="1" applyAlignment="1">
      <alignment horizontal="center" vertical="center" shrinkToFit="1"/>
    </xf>
    <xf numFmtId="0" fontId="50" fillId="0" borderId="4" xfId="0" applyNumberFormat="1" applyFont="1" applyBorder="1" applyAlignment="1">
      <alignment horizontal="center" vertical="center" shrinkToFit="1"/>
    </xf>
    <xf numFmtId="0" fontId="50" fillId="0" borderId="4" xfId="0" applyNumberFormat="1" applyFont="1" applyBorder="1" applyAlignment="1">
      <alignment vertical="center" shrinkToFit="1"/>
    </xf>
    <xf numFmtId="0" fontId="46" fillId="33" borderId="4" xfId="0" applyFont="1" applyFill="1" applyBorder="1">
      <alignment vertical="center"/>
    </xf>
    <xf numFmtId="49" fontId="46" fillId="33" borderId="4" xfId="0" applyNumberFormat="1" applyFont="1" applyFill="1" applyBorder="1" applyAlignment="1">
      <alignment horizontal="center" vertical="center" shrinkToFit="1"/>
    </xf>
    <xf numFmtId="0" fontId="46" fillId="33" borderId="16" xfId="0" applyFont="1" applyFill="1" applyBorder="1">
      <alignment vertical="center"/>
    </xf>
    <xf numFmtId="0" fontId="42" fillId="0" borderId="8" xfId="0" applyFont="1" applyBorder="1" applyAlignment="1">
      <alignment vertical="center"/>
    </xf>
    <xf numFmtId="0" fontId="42" fillId="0" borderId="4" xfId="0" applyFont="1" applyBorder="1" applyAlignment="1">
      <alignment vertical="center"/>
    </xf>
    <xf numFmtId="0" fontId="46" fillId="33" borderId="4" xfId="0" applyFont="1" applyFill="1" applyBorder="1" applyAlignment="1">
      <alignment horizontal="left" vertical="center"/>
    </xf>
    <xf numFmtId="0" fontId="46" fillId="33" borderId="3" xfId="0" applyNumberFormat="1" applyFont="1" applyFill="1" applyBorder="1" applyAlignment="1">
      <alignment horizontal="center" vertical="center" shrinkToFit="1"/>
    </xf>
    <xf numFmtId="0" fontId="46" fillId="33" borderId="17" xfId="0" applyFont="1" applyFill="1" applyBorder="1" applyAlignment="1">
      <alignment horizontal="left" vertical="center"/>
    </xf>
    <xf numFmtId="0" fontId="37" fillId="0" borderId="7" xfId="89" applyFill="1" applyBorder="1" applyAlignment="1" applyProtection="1">
      <alignment horizontal="center" vertical="center" shrinkToFit="1"/>
    </xf>
    <xf numFmtId="0" fontId="46" fillId="0" borderId="7" xfId="0" applyFont="1" applyBorder="1">
      <alignment vertical="center"/>
    </xf>
    <xf numFmtId="0" fontId="47" fillId="0" borderId="3"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7" fillId="0" borderId="9" xfId="0" applyNumberFormat="1" applyFont="1" applyFill="1" applyBorder="1" applyAlignment="1">
      <alignment horizontal="center" vertical="center" shrinkToFit="1"/>
    </xf>
    <xf numFmtId="0" fontId="47" fillId="0" borderId="51" xfId="0" applyNumberFormat="1" applyFont="1" applyFill="1" applyBorder="1" applyAlignment="1">
      <alignment horizontal="left" vertical="center" shrinkToFit="1"/>
    </xf>
    <xf numFmtId="0" fontId="46" fillId="0" borderId="28" xfId="0" applyNumberFormat="1" applyFont="1" applyFill="1" applyBorder="1" applyAlignment="1">
      <alignment horizontal="left" vertical="center" shrinkToFit="1"/>
    </xf>
    <xf numFmtId="0" fontId="46" fillId="0" borderId="52" xfId="0" applyNumberFormat="1" applyFont="1" applyFill="1" applyBorder="1" applyAlignment="1">
      <alignment horizontal="left" vertical="center" shrinkToFit="1"/>
    </xf>
    <xf numFmtId="0" fontId="46" fillId="0" borderId="10" xfId="0" applyNumberFormat="1" applyFont="1" applyFill="1" applyBorder="1" applyAlignment="1">
      <alignment horizontal="left" vertical="center" shrinkToFit="1"/>
    </xf>
    <xf numFmtId="0" fontId="46" fillId="0" borderId="31" xfId="0" applyNumberFormat="1" applyFont="1" applyFill="1" applyBorder="1" applyAlignment="1">
      <alignment horizontal="left" vertical="center" shrinkToFit="1"/>
    </xf>
    <xf numFmtId="0" fontId="46" fillId="0" borderId="27" xfId="0" applyNumberFormat="1" applyFont="1" applyFill="1" applyBorder="1" applyAlignment="1">
      <alignment horizontal="left" vertical="center" shrinkToFit="1"/>
    </xf>
    <xf numFmtId="0" fontId="47" fillId="0" borderId="4" xfId="0" applyNumberFormat="1" applyFont="1" applyFill="1" applyBorder="1" applyAlignment="1">
      <alignment horizontal="center" vertical="center" shrinkToFit="1"/>
    </xf>
    <xf numFmtId="0" fontId="46" fillId="0" borderId="3" xfId="0" applyNumberFormat="1" applyFont="1" applyFill="1" applyBorder="1" applyAlignment="1">
      <alignment horizontal="center" vertical="center" wrapText="1"/>
    </xf>
    <xf numFmtId="0" fontId="46" fillId="0" borderId="4" xfId="0" applyNumberFormat="1" applyFont="1" applyFill="1" applyBorder="1" applyAlignment="1">
      <alignment horizontal="center" vertical="center" wrapText="1"/>
    </xf>
    <xf numFmtId="0" fontId="46" fillId="0" borderId="3" xfId="0" applyNumberFormat="1" applyFont="1" applyFill="1" applyBorder="1" applyAlignment="1">
      <alignment horizontal="center" vertical="center" shrinkToFit="1"/>
    </xf>
    <xf numFmtId="0" fontId="46" fillId="0" borderId="4" xfId="0" applyFont="1" applyBorder="1">
      <alignment vertical="center"/>
    </xf>
    <xf numFmtId="0" fontId="46" fillId="0" borderId="5" xfId="0" applyFont="1" applyBorder="1">
      <alignment vertical="center"/>
    </xf>
    <xf numFmtId="49" fontId="46" fillId="0" borderId="4" xfId="0" applyNumberFormat="1" applyFont="1" applyFill="1" applyBorder="1" applyAlignment="1">
      <alignment horizontal="center" vertical="center" shrinkToFit="1"/>
    </xf>
    <xf numFmtId="49" fontId="46" fillId="0" borderId="5" xfId="0" applyNumberFormat="1" applyFont="1" applyFill="1" applyBorder="1" applyAlignment="1">
      <alignment horizontal="center" vertical="center" shrinkToFit="1"/>
    </xf>
    <xf numFmtId="0" fontId="46" fillId="0" borderId="5" xfId="0" applyNumberFormat="1" applyFont="1" applyFill="1" applyBorder="1" applyAlignment="1">
      <alignment horizontal="center" vertical="center" shrinkToFit="1"/>
    </xf>
    <xf numFmtId="0" fontId="46" fillId="0" borderId="0" xfId="0" applyFont="1" applyBorder="1" applyAlignment="1">
      <alignment horizontal="left" vertical="center"/>
    </xf>
    <xf numFmtId="0" fontId="46" fillId="0" borderId="4" xfId="0" applyNumberFormat="1" applyFont="1" applyFill="1" applyBorder="1" applyAlignment="1">
      <alignment horizontal="center" vertical="center" shrinkToFit="1"/>
    </xf>
    <xf numFmtId="0" fontId="0" fillId="0" borderId="15" xfId="0" applyFont="1" applyBorder="1" applyAlignment="1">
      <alignment horizontal="center" vertical="center"/>
    </xf>
    <xf numFmtId="0" fontId="47" fillId="0" borderId="8" xfId="0" applyNumberFormat="1" applyFont="1" applyFill="1" applyBorder="1" applyAlignment="1">
      <alignment horizontal="center" vertical="center" shrinkToFit="1"/>
    </xf>
    <xf numFmtId="0" fontId="47" fillId="0" borderId="27" xfId="0" applyNumberFormat="1" applyFont="1" applyFill="1" applyBorder="1" applyAlignment="1">
      <alignment horizontal="left" vertical="center" shrinkToFit="1"/>
    </xf>
    <xf numFmtId="0" fontId="46" fillId="0" borderId="20" xfId="0" applyFont="1" applyBorder="1" applyAlignment="1">
      <alignment horizontal="left" vertical="center"/>
    </xf>
    <xf numFmtId="0" fontId="47" fillId="0" borderId="5" xfId="0" applyFont="1" applyFill="1" applyBorder="1" applyAlignment="1">
      <alignment horizontal="center" vertical="center" shrinkToFit="1"/>
    </xf>
    <xf numFmtId="0" fontId="70" fillId="0" borderId="0" xfId="0" applyFont="1" applyBorder="1" applyAlignment="1">
      <alignment vertical="center"/>
    </xf>
    <xf numFmtId="0" fontId="46" fillId="0" borderId="3" xfId="0" applyFont="1" applyBorder="1" applyAlignment="1">
      <alignment horizontal="center" vertical="center"/>
    </xf>
    <xf numFmtId="0" fontId="46" fillId="0" borderId="4" xfId="0" applyFont="1" applyBorder="1" applyAlignment="1">
      <alignment horizontal="center" vertical="center"/>
    </xf>
    <xf numFmtId="0" fontId="46" fillId="0" borderId="5" xfId="0" applyFont="1" applyBorder="1" applyAlignment="1">
      <alignment horizontal="center" vertical="center"/>
    </xf>
    <xf numFmtId="0" fontId="46" fillId="0" borderId="3" xfId="0" applyFont="1" applyBorder="1" applyAlignment="1">
      <alignment horizontal="center" vertical="center"/>
    </xf>
    <xf numFmtId="0" fontId="46" fillId="0" borderId="6" xfId="0" applyFont="1" applyBorder="1" applyAlignment="1">
      <alignment horizontal="center" vertical="center"/>
    </xf>
    <xf numFmtId="0" fontId="37" fillId="0" borderId="4" xfId="89" applyBorder="1" applyAlignment="1" applyProtection="1">
      <alignment horizontal="center" vertical="center"/>
    </xf>
    <xf numFmtId="0" fontId="37" fillId="0" borderId="5" xfId="89" applyBorder="1" applyAlignment="1" applyProtection="1">
      <alignment horizontal="center" vertical="center"/>
    </xf>
    <xf numFmtId="49" fontId="46" fillId="0" borderId="9" xfId="0" applyNumberFormat="1" applyFont="1" applyBorder="1" applyAlignment="1">
      <alignment horizontal="center" vertical="center" readingOrder="1"/>
    </xf>
    <xf numFmtId="0" fontId="37" fillId="0" borderId="3" xfId="89" applyBorder="1" applyAlignment="1" applyProtection="1">
      <alignment horizontal="center" vertical="center"/>
    </xf>
    <xf numFmtId="0" fontId="46" fillId="0" borderId="2" xfId="0" applyFont="1" applyFill="1" applyBorder="1" applyAlignment="1">
      <alignment horizontal="center" vertical="center"/>
    </xf>
    <xf numFmtId="0" fontId="46" fillId="0" borderId="3" xfId="0" applyFont="1" applyFill="1" applyBorder="1" applyAlignment="1">
      <alignment horizontal="center" vertical="center" wrapText="1"/>
    </xf>
    <xf numFmtId="0" fontId="46" fillId="0" borderId="8"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47" fillId="0" borderId="3" xfId="0" applyFont="1" applyFill="1" applyBorder="1" applyAlignment="1">
      <alignment horizontal="center" vertical="center" wrapText="1" shrinkToFit="1"/>
    </xf>
    <xf numFmtId="0" fontId="47" fillId="0" borderId="2" xfId="0" applyFont="1" applyFill="1" applyBorder="1" applyAlignment="1">
      <alignment horizontal="center" vertical="center" shrinkToFit="1"/>
    </xf>
    <xf numFmtId="0" fontId="46" fillId="0" borderId="4" xfId="0" applyFont="1" applyFill="1" applyBorder="1" applyAlignment="1">
      <alignment horizontal="center" vertical="center"/>
    </xf>
    <xf numFmtId="0" fontId="46" fillId="0" borderId="5" xfId="0" applyFont="1" applyFill="1" applyBorder="1" applyAlignment="1">
      <alignment horizontal="center" vertical="center"/>
    </xf>
    <xf numFmtId="0" fontId="37" fillId="0" borderId="50" xfId="89" applyBorder="1" applyAlignment="1" applyProtection="1">
      <alignment horizontal="center" vertical="center"/>
    </xf>
    <xf numFmtId="0" fontId="37" fillId="0" borderId="2" xfId="89" applyBorder="1" applyAlignment="1" applyProtection="1">
      <alignment horizontal="center" vertical="center" wrapText="1"/>
    </xf>
    <xf numFmtId="0" fontId="47" fillId="0" borderId="5" xfId="0" applyFont="1" applyFill="1" applyBorder="1" applyAlignment="1">
      <alignment horizontal="center" vertical="center" shrinkToFit="1"/>
    </xf>
    <xf numFmtId="0" fontId="46" fillId="0" borderId="6" xfId="0" applyFont="1" applyBorder="1" applyAlignment="1">
      <alignment vertical="center" shrinkToFit="1"/>
    </xf>
    <xf numFmtId="0" fontId="46" fillId="0" borderId="6" xfId="0" applyFont="1" applyBorder="1" applyAlignment="1">
      <alignment horizontal="left" vertical="center"/>
    </xf>
    <xf numFmtId="14" fontId="8" fillId="0" borderId="0" xfId="0" applyNumberFormat="1" applyFont="1">
      <alignment vertical="center"/>
    </xf>
    <xf numFmtId="0" fontId="46" fillId="33" borderId="16" xfId="0" applyNumberFormat="1" applyFont="1" applyFill="1" applyBorder="1" applyAlignment="1">
      <alignment horizontal="center" vertical="center" wrapText="1" shrinkToFit="1"/>
    </xf>
    <xf numFmtId="0" fontId="46" fillId="33" borderId="4" xfId="0" applyNumberFormat="1" applyFont="1" applyFill="1" applyBorder="1" applyAlignment="1">
      <alignment horizontal="center" vertical="center" shrinkToFit="1"/>
    </xf>
    <xf numFmtId="0" fontId="46" fillId="33" borderId="4" xfId="0" applyFont="1" applyFill="1" applyBorder="1" applyAlignment="1">
      <alignment vertical="center" wrapText="1"/>
    </xf>
    <xf numFmtId="0" fontId="46" fillId="33" borderId="5" xfId="0" applyNumberFormat="1" applyFont="1" applyFill="1" applyBorder="1" applyAlignment="1">
      <alignment horizontal="center" vertical="center" shrinkToFit="1"/>
    </xf>
    <xf numFmtId="0" fontId="46" fillId="33" borderId="5" xfId="0" applyFont="1" applyFill="1" applyBorder="1" applyAlignment="1">
      <alignment vertical="center" wrapText="1"/>
    </xf>
    <xf numFmtId="0" fontId="50" fillId="33" borderId="16" xfId="0" applyNumberFormat="1" applyFont="1" applyFill="1" applyBorder="1" applyAlignment="1">
      <alignment horizontal="center" vertical="center" shrinkToFit="1"/>
    </xf>
    <xf numFmtId="0" fontId="75" fillId="0" borderId="5" xfId="0" applyFont="1" applyFill="1" applyBorder="1" applyAlignment="1">
      <alignment horizontal="center" vertical="center"/>
    </xf>
    <xf numFmtId="0" fontId="46" fillId="0" borderId="5" xfId="0" applyFont="1" applyBorder="1" applyAlignment="1">
      <alignment horizontal="center" vertical="center"/>
    </xf>
    <xf numFmtId="0" fontId="37" fillId="0" borderId="2" xfId="89" applyBorder="1" applyAlignment="1" applyProtection="1">
      <alignment horizontal="center" vertical="center"/>
    </xf>
    <xf numFmtId="0" fontId="47" fillId="0" borderId="2" xfId="0" applyFont="1" applyFill="1" applyBorder="1" applyAlignment="1">
      <alignment horizontal="center" vertical="center" shrinkToFit="1"/>
    </xf>
    <xf numFmtId="0" fontId="41" fillId="0" borderId="2" xfId="0" applyFont="1" applyFill="1" applyBorder="1" applyAlignment="1">
      <alignment horizontal="center" vertical="center" shrinkToFit="1"/>
    </xf>
    <xf numFmtId="0" fontId="43" fillId="0" borderId="2" xfId="0" applyFont="1" applyFill="1" applyBorder="1" applyAlignment="1">
      <alignment horizontal="center" vertical="center" textRotation="90" shrinkToFit="1"/>
    </xf>
    <xf numFmtId="0" fontId="41" fillId="0" borderId="2" xfId="0" applyFont="1" applyFill="1" applyBorder="1" applyAlignment="1">
      <alignment horizontal="center" vertical="center" textRotation="90" shrinkToFit="1"/>
    </xf>
    <xf numFmtId="0" fontId="37" fillId="0" borderId="9" xfId="89" applyBorder="1" applyAlignment="1" applyProtection="1">
      <alignment horizontal="center" vertical="center"/>
    </xf>
    <xf numFmtId="49" fontId="46" fillId="0" borderId="9" xfId="0" applyNumberFormat="1" applyFont="1" applyBorder="1" applyAlignment="1">
      <alignment horizontal="center" vertical="center" wrapText="1" readingOrder="1"/>
    </xf>
    <xf numFmtId="0" fontId="46" fillId="0" borderId="2" xfId="0" applyFont="1" applyBorder="1" applyAlignment="1">
      <alignment horizontal="center" vertical="center" wrapText="1"/>
    </xf>
    <xf numFmtId="0" fontId="46" fillId="0" borderId="6" xfId="0" applyFont="1" applyFill="1" applyBorder="1" applyAlignment="1">
      <alignment horizontal="left" vertical="center" shrinkToFit="1"/>
    </xf>
    <xf numFmtId="0" fontId="37" fillId="0" borderId="3" xfId="89" applyBorder="1" applyAlignment="1" applyProtection="1">
      <alignment horizontal="center" vertical="center"/>
    </xf>
    <xf numFmtId="0" fontId="46" fillId="0" borderId="2" xfId="0" applyFont="1" applyFill="1" applyBorder="1" applyAlignment="1">
      <alignment horizontal="center" vertical="center"/>
    </xf>
    <xf numFmtId="0" fontId="46" fillId="0" borderId="3" xfId="0" applyFont="1" applyFill="1" applyBorder="1" applyAlignment="1">
      <alignment horizontal="center" vertical="center" wrapText="1"/>
    </xf>
    <xf numFmtId="0" fontId="46" fillId="0" borderId="8"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47" fillId="0" borderId="3" xfId="0" applyFont="1" applyBorder="1" applyAlignment="1">
      <alignment horizontal="center" vertical="center" wrapText="1" shrinkToFit="1"/>
    </xf>
    <xf numFmtId="0" fontId="43" fillId="0" borderId="2" xfId="0" applyFont="1" applyFill="1" applyBorder="1" applyAlignment="1">
      <alignment horizontal="center" vertical="center" shrinkToFit="1"/>
    </xf>
    <xf numFmtId="0" fontId="47" fillId="0" borderId="2" xfId="0" applyFont="1" applyFill="1" applyBorder="1" applyAlignment="1">
      <alignment horizontal="center" vertical="center" shrinkToFit="1"/>
    </xf>
    <xf numFmtId="0" fontId="50" fillId="0" borderId="2" xfId="0" applyFont="1" applyFill="1" applyBorder="1" applyAlignment="1">
      <alignment horizontal="center" vertical="center" shrinkToFit="1"/>
    </xf>
    <xf numFmtId="0" fontId="46" fillId="0" borderId="4" xfId="0" applyFont="1" applyFill="1" applyBorder="1" applyAlignment="1">
      <alignment horizontal="center" vertical="center"/>
    </xf>
    <xf numFmtId="0" fontId="46" fillId="0" borderId="5" xfId="0" applyFont="1" applyFill="1" applyBorder="1" applyAlignment="1">
      <alignment horizontal="center" vertical="center"/>
    </xf>
    <xf numFmtId="0" fontId="47" fillId="0" borderId="6" xfId="0" applyFont="1" applyFill="1" applyBorder="1" applyAlignment="1">
      <alignment horizontal="center" vertical="center" shrinkToFit="1"/>
    </xf>
    <xf numFmtId="0" fontId="47" fillId="0" borderId="3" xfId="0" applyFont="1" applyFill="1" applyBorder="1" applyAlignment="1">
      <alignment horizontal="center" vertical="center" shrinkToFit="1"/>
    </xf>
    <xf numFmtId="0" fontId="47" fillId="0" borderId="5" xfId="0" applyFont="1" applyFill="1" applyBorder="1" applyAlignment="1">
      <alignment horizontal="center" vertical="center" shrinkToFit="1"/>
    </xf>
    <xf numFmtId="49" fontId="46" fillId="0" borderId="25" xfId="0" applyNumberFormat="1" applyFont="1" applyFill="1" applyBorder="1" applyAlignment="1">
      <alignment horizontal="left" vertical="center"/>
    </xf>
    <xf numFmtId="49" fontId="46" fillId="0" borderId="26" xfId="0" applyNumberFormat="1" applyFont="1" applyFill="1" applyBorder="1" applyAlignment="1">
      <alignment horizontal="left" vertical="center"/>
    </xf>
    <xf numFmtId="49" fontId="46" fillId="0" borderId="21" xfId="0" applyNumberFormat="1" applyFont="1" applyFill="1" applyBorder="1" applyAlignment="1">
      <alignment horizontal="left" vertical="center"/>
    </xf>
    <xf numFmtId="0" fontId="46" fillId="0" borderId="3" xfId="0" applyFont="1" applyFill="1" applyBorder="1" applyAlignment="1">
      <alignment horizontal="center" vertical="center"/>
    </xf>
    <xf numFmtId="0" fontId="47" fillId="0" borderId="3" xfId="0" applyNumberFormat="1" applyFont="1" applyFill="1" applyBorder="1" applyAlignment="1">
      <alignment horizontal="center" vertical="center" shrinkToFit="1"/>
    </xf>
    <xf numFmtId="0" fontId="47" fillId="0" borderId="9" xfId="0" applyNumberFormat="1" applyFont="1" applyFill="1" applyBorder="1" applyAlignment="1">
      <alignment horizontal="center" vertical="center" shrinkToFit="1"/>
    </xf>
    <xf numFmtId="0" fontId="47" fillId="0" borderId="51" xfId="0" applyNumberFormat="1" applyFont="1" applyFill="1" applyBorder="1" applyAlignment="1">
      <alignment horizontal="left" vertical="center" shrinkToFit="1"/>
    </xf>
    <xf numFmtId="0" fontId="47" fillId="0" borderId="27" xfId="0" applyNumberFormat="1" applyFont="1" applyFill="1" applyBorder="1" applyAlignment="1">
      <alignment horizontal="left" vertical="center" shrinkToFit="1"/>
    </xf>
    <xf numFmtId="0" fontId="37" fillId="0" borderId="0" xfId="89" applyBorder="1" applyAlignment="1" applyProtection="1">
      <alignment horizontal="left" vertical="center"/>
    </xf>
    <xf numFmtId="0" fontId="37" fillId="0" borderId="7" xfId="89" applyFill="1" applyBorder="1" applyAlignment="1" applyProtection="1">
      <alignment horizontal="center" vertical="center" shrinkToFit="1"/>
    </xf>
    <xf numFmtId="0" fontId="47" fillId="0" borderId="3"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7" fillId="0" borderId="9" xfId="0" applyNumberFormat="1" applyFont="1" applyFill="1" applyBorder="1" applyAlignment="1">
      <alignment horizontal="center" vertical="center" shrinkToFit="1"/>
    </xf>
    <xf numFmtId="0" fontId="0" fillId="0" borderId="0" xfId="0" applyBorder="1" applyAlignment="1">
      <alignment horizontal="center" vertical="center"/>
    </xf>
    <xf numFmtId="0" fontId="47" fillId="0" borderId="51" xfId="0" applyNumberFormat="1" applyFont="1" applyFill="1" applyBorder="1" applyAlignment="1">
      <alignment horizontal="left" vertical="center" shrinkToFit="1"/>
    </xf>
    <xf numFmtId="0" fontId="47" fillId="0" borderId="28" xfId="0" applyNumberFormat="1" applyFont="1" applyFill="1" applyBorder="1" applyAlignment="1">
      <alignment horizontal="left" vertical="center" shrinkToFit="1"/>
    </xf>
    <xf numFmtId="0" fontId="47" fillId="0" borderId="52" xfId="0" applyNumberFormat="1" applyFont="1" applyFill="1" applyBorder="1" applyAlignment="1">
      <alignment horizontal="left" vertical="center" shrinkToFit="1"/>
    </xf>
    <xf numFmtId="0" fontId="46" fillId="0" borderId="27" xfId="0" applyNumberFormat="1" applyFont="1" applyFill="1" applyBorder="1" applyAlignment="1">
      <alignment horizontal="left" vertical="center" shrinkToFit="1"/>
    </xf>
    <xf numFmtId="0" fontId="46" fillId="0" borderId="28" xfId="0" applyNumberFormat="1" applyFont="1" applyFill="1" applyBorder="1" applyAlignment="1">
      <alignment horizontal="left" vertical="center" shrinkToFit="1"/>
    </xf>
    <xf numFmtId="0" fontId="46" fillId="0" borderId="52" xfId="0" applyNumberFormat="1" applyFont="1" applyFill="1" applyBorder="1" applyAlignment="1">
      <alignment horizontal="left" vertical="center" shrinkToFit="1"/>
    </xf>
    <xf numFmtId="0" fontId="46" fillId="0" borderId="10" xfId="0" applyNumberFormat="1" applyFont="1" applyFill="1" applyBorder="1" applyAlignment="1">
      <alignment horizontal="left" vertical="center" shrinkToFit="1"/>
    </xf>
    <xf numFmtId="0" fontId="47" fillId="0" borderId="4" xfId="0" applyNumberFormat="1" applyFont="1" applyFill="1" applyBorder="1" applyAlignment="1">
      <alignment horizontal="center" vertical="center" shrinkToFit="1"/>
    </xf>
    <xf numFmtId="0" fontId="47" fillId="0" borderId="23" xfId="0" applyNumberFormat="1" applyFont="1" applyFill="1" applyBorder="1" applyAlignment="1">
      <alignment horizontal="center" vertical="center" shrinkToFit="1"/>
    </xf>
    <xf numFmtId="0" fontId="47" fillId="0" borderId="8" xfId="0" applyNumberFormat="1" applyFont="1" applyFill="1" applyBorder="1" applyAlignment="1">
      <alignment horizontal="center" vertical="center" shrinkToFit="1"/>
    </xf>
    <xf numFmtId="0" fontId="47" fillId="0" borderId="27" xfId="0" applyNumberFormat="1" applyFont="1" applyFill="1" applyBorder="1" applyAlignment="1">
      <alignment horizontal="left" vertical="center" shrinkToFit="1"/>
    </xf>
    <xf numFmtId="0" fontId="47" fillId="0" borderId="31" xfId="0" applyNumberFormat="1" applyFont="1" applyFill="1" applyBorder="1" applyAlignment="1">
      <alignment horizontal="left" vertical="center" shrinkToFit="1"/>
    </xf>
    <xf numFmtId="0" fontId="47" fillId="0" borderId="53" xfId="0" applyNumberFormat="1" applyFont="1" applyFill="1" applyBorder="1" applyAlignment="1">
      <alignment horizontal="left" vertical="center" shrinkToFit="1"/>
    </xf>
    <xf numFmtId="0" fontId="47" fillId="0" borderId="23" xfId="0" applyNumberFormat="1" applyFont="1" applyBorder="1" applyAlignment="1">
      <alignment horizontal="left" vertical="top" wrapText="1" shrinkToFit="1"/>
    </xf>
    <xf numFmtId="0" fontId="37" fillId="0" borderId="23" xfId="89" applyFill="1" applyBorder="1" applyAlignment="1" applyProtection="1">
      <alignment horizontal="center" vertical="center" shrinkToFit="1"/>
    </xf>
    <xf numFmtId="0" fontId="47" fillId="33" borderId="19" xfId="0" applyNumberFormat="1" applyFont="1" applyFill="1" applyBorder="1" applyAlignment="1">
      <alignment horizontal="center" vertical="center" shrinkToFit="1"/>
    </xf>
    <xf numFmtId="0" fontId="47" fillId="33" borderId="76" xfId="0" applyNumberFormat="1" applyFont="1" applyFill="1" applyBorder="1" applyAlignment="1">
      <alignment horizontal="left" vertical="center" shrinkToFit="1"/>
    </xf>
    <xf numFmtId="0" fontId="47" fillId="33" borderId="77" xfId="0" applyNumberFormat="1" applyFont="1" applyFill="1" applyBorder="1" applyAlignment="1">
      <alignment horizontal="left" vertical="center" shrinkToFit="1"/>
    </xf>
    <xf numFmtId="0" fontId="50" fillId="33" borderId="19" xfId="0" applyFont="1" applyFill="1" applyBorder="1" applyAlignment="1">
      <alignment horizontal="center" vertical="center"/>
    </xf>
    <xf numFmtId="0" fontId="47" fillId="0" borderId="2" xfId="0" applyFont="1" applyBorder="1" applyAlignment="1">
      <alignment vertical="center" wrapText="1"/>
    </xf>
    <xf numFmtId="0" fontId="47" fillId="0" borderId="23" xfId="0" applyFont="1" applyBorder="1" applyAlignment="1">
      <alignment horizontal="center" vertical="center" wrapText="1"/>
    </xf>
    <xf numFmtId="0" fontId="47" fillId="0" borderId="13" xfId="0" applyNumberFormat="1" applyFont="1" applyFill="1" applyBorder="1" applyAlignment="1">
      <alignment horizontal="left" vertical="center" shrinkToFit="1"/>
    </xf>
    <xf numFmtId="0" fontId="47" fillId="0" borderId="0" xfId="0" applyNumberFormat="1" applyFont="1" applyFill="1" applyBorder="1" applyAlignment="1">
      <alignment horizontal="left" vertical="center" shrinkToFit="1"/>
    </xf>
    <xf numFmtId="0" fontId="47" fillId="0" borderId="23" xfId="0" applyNumberFormat="1" applyFont="1" applyBorder="1" applyAlignment="1">
      <alignment horizontal="center" vertical="center" shrinkToFit="1"/>
    </xf>
    <xf numFmtId="0" fontId="50" fillId="0" borderId="23" xfId="0" applyNumberFormat="1" applyFont="1" applyBorder="1" applyAlignment="1">
      <alignment vertical="center" shrinkToFit="1"/>
    </xf>
    <xf numFmtId="0" fontId="47" fillId="0" borderId="4" xfId="0" applyNumberFormat="1" applyFont="1" applyBorder="1" applyAlignment="1">
      <alignment horizontal="center" vertical="center" shrinkToFit="1"/>
    </xf>
    <xf numFmtId="0" fontId="47" fillId="0" borderId="3"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7" fillId="0" borderId="51" xfId="0" applyNumberFormat="1" applyFont="1" applyFill="1" applyBorder="1" applyAlignment="1">
      <alignment horizontal="left" vertical="center" shrinkToFit="1"/>
    </xf>
    <xf numFmtId="0" fontId="37" fillId="0" borderId="50" xfId="89" applyBorder="1" applyAlignment="1" applyProtection="1">
      <alignment horizontal="center" vertical="center"/>
    </xf>
    <xf numFmtId="0" fontId="47" fillId="0" borderId="27" xfId="0" applyNumberFormat="1" applyFont="1" applyFill="1" applyBorder="1" applyAlignment="1">
      <alignment horizontal="left" vertical="center" shrinkToFit="1"/>
    </xf>
    <xf numFmtId="0" fontId="47" fillId="0" borderId="31" xfId="0" applyNumberFormat="1" applyFont="1" applyFill="1" applyBorder="1" applyAlignment="1">
      <alignment horizontal="left" vertical="center" shrinkToFit="1"/>
    </xf>
    <xf numFmtId="0" fontId="47" fillId="0" borderId="53" xfId="0" applyNumberFormat="1" applyFont="1" applyFill="1" applyBorder="1" applyAlignment="1">
      <alignment horizontal="left" vertical="center" shrinkToFit="1"/>
    </xf>
    <xf numFmtId="0" fontId="46" fillId="33" borderId="4" xfId="0" applyFont="1" applyFill="1" applyBorder="1" applyAlignment="1">
      <alignment vertical="center" shrinkToFit="1"/>
    </xf>
    <xf numFmtId="0" fontId="46" fillId="33" borderId="28" xfId="0" applyFont="1" applyFill="1" applyBorder="1">
      <alignment vertical="center"/>
    </xf>
    <xf numFmtId="49" fontId="46" fillId="33" borderId="52" xfId="0" applyNumberFormat="1" applyFont="1" applyFill="1" applyBorder="1">
      <alignment vertical="center"/>
    </xf>
    <xf numFmtId="0" fontId="46" fillId="33" borderId="10" xfId="0" applyFont="1" applyFill="1" applyBorder="1">
      <alignment vertical="center"/>
    </xf>
    <xf numFmtId="0" fontId="46" fillId="33" borderId="5" xfId="0" applyFont="1" applyFill="1" applyBorder="1" applyAlignment="1">
      <alignment vertical="center" shrinkToFit="1"/>
    </xf>
    <xf numFmtId="0" fontId="46" fillId="33" borderId="31" xfId="0" applyFont="1" applyFill="1" applyBorder="1">
      <alignment vertical="center"/>
    </xf>
    <xf numFmtId="49" fontId="46" fillId="33" borderId="53" xfId="0" applyNumberFormat="1" applyFont="1" applyFill="1" applyBorder="1">
      <alignment vertical="center"/>
    </xf>
    <xf numFmtId="0" fontId="46" fillId="33" borderId="32" xfId="0" applyFont="1" applyFill="1" applyBorder="1">
      <alignment vertical="center"/>
    </xf>
    <xf numFmtId="0" fontId="46" fillId="33" borderId="5" xfId="0" applyFont="1" applyFill="1" applyBorder="1">
      <alignment vertical="center"/>
    </xf>
    <xf numFmtId="0" fontId="46" fillId="33" borderId="18" xfId="0" applyFont="1" applyFill="1" applyBorder="1">
      <alignment vertical="center"/>
    </xf>
    <xf numFmtId="0" fontId="46" fillId="33" borderId="3" xfId="0" applyFont="1" applyFill="1" applyBorder="1" applyAlignment="1">
      <alignment vertical="center" shrinkToFit="1"/>
    </xf>
    <xf numFmtId="0" fontId="46" fillId="33" borderId="12" xfId="0" applyFont="1" applyFill="1" applyBorder="1">
      <alignment vertical="center"/>
    </xf>
    <xf numFmtId="0" fontId="46" fillId="33" borderId="3" xfId="0" applyFont="1" applyFill="1" applyBorder="1">
      <alignment vertical="center"/>
    </xf>
    <xf numFmtId="0" fontId="46" fillId="33" borderId="17" xfId="0" applyFont="1" applyFill="1" applyBorder="1">
      <alignment vertical="center"/>
    </xf>
    <xf numFmtId="49" fontId="46" fillId="33" borderId="10" xfId="0" applyNumberFormat="1" applyFont="1" applyFill="1" applyBorder="1">
      <alignment vertical="center"/>
    </xf>
    <xf numFmtId="49" fontId="46" fillId="33" borderId="32" xfId="0" applyNumberFormat="1" applyFont="1" applyFill="1" applyBorder="1">
      <alignment vertical="center"/>
    </xf>
    <xf numFmtId="0" fontId="47" fillId="0" borderId="28" xfId="0" applyNumberFormat="1" applyFont="1" applyFill="1" applyBorder="1" applyAlignment="1">
      <alignment horizontal="left" vertical="center" shrinkToFit="1"/>
    </xf>
    <xf numFmtId="0" fontId="47" fillId="0" borderId="4" xfId="0" applyFont="1" applyBorder="1">
      <alignment vertical="center"/>
    </xf>
    <xf numFmtId="0" fontId="47" fillId="0" borderId="4" xfId="0" applyNumberFormat="1" applyFont="1" applyFill="1" applyBorder="1" applyAlignment="1">
      <alignment horizontal="center" vertical="center" shrinkToFit="1"/>
    </xf>
    <xf numFmtId="0" fontId="47" fillId="0" borderId="8" xfId="0" applyFont="1" applyFill="1" applyBorder="1" applyAlignment="1">
      <alignment horizontal="center" vertical="center" shrinkToFit="1"/>
    </xf>
    <xf numFmtId="0" fontId="47" fillId="0" borderId="3" xfId="0" applyNumberFormat="1" applyFont="1" applyFill="1" applyBorder="1" applyAlignment="1">
      <alignment horizontal="center" vertical="center" shrinkToFit="1"/>
    </xf>
    <xf numFmtId="0" fontId="47" fillId="0" borderId="28" xfId="0" applyNumberFormat="1" applyFont="1" applyFill="1" applyBorder="1" applyAlignment="1">
      <alignment horizontal="left" vertical="center" shrinkToFit="1"/>
    </xf>
    <xf numFmtId="0" fontId="47" fillId="0" borderId="4" xfId="0" applyFont="1" applyBorder="1">
      <alignment vertical="center"/>
    </xf>
    <xf numFmtId="0" fontId="47" fillId="0" borderId="4" xfId="0" applyNumberFormat="1" applyFont="1" applyFill="1" applyBorder="1" applyAlignment="1">
      <alignment horizontal="center" vertical="center" shrinkToFit="1"/>
    </xf>
    <xf numFmtId="0" fontId="58" fillId="25" borderId="7" xfId="0" applyFont="1" applyFill="1" applyBorder="1" applyAlignment="1">
      <alignment horizontal="center" vertical="center" wrapText="1"/>
    </xf>
    <xf numFmtId="0" fontId="71" fillId="25" borderId="23" xfId="0" applyNumberFormat="1" applyFont="1" applyFill="1" applyBorder="1" applyAlignment="1">
      <alignment horizontal="center" vertical="center" shrinkToFit="1"/>
    </xf>
    <xf numFmtId="0" fontId="47" fillId="0" borderId="27" xfId="0" applyNumberFormat="1" applyFont="1" applyFill="1" applyBorder="1" applyAlignment="1">
      <alignment horizontal="left" vertical="center" shrinkToFit="1"/>
    </xf>
    <xf numFmtId="0" fontId="47" fillId="0" borderId="3" xfId="0" applyFont="1" applyFill="1" applyBorder="1" applyAlignment="1">
      <alignment horizontal="center" vertical="center" shrinkToFit="1"/>
    </xf>
    <xf numFmtId="0" fontId="58" fillId="25" borderId="23" xfId="0" applyFont="1" applyFill="1" applyBorder="1">
      <alignment vertical="center"/>
    </xf>
    <xf numFmtId="0" fontId="59" fillId="25" borderId="23" xfId="0" applyNumberFormat="1" applyFont="1" applyFill="1" applyBorder="1" applyAlignment="1">
      <alignment horizontal="center" vertical="center" shrinkToFit="1"/>
    </xf>
    <xf numFmtId="0" fontId="58" fillId="25" borderId="23" xfId="0" applyNumberFormat="1" applyFont="1" applyFill="1" applyBorder="1" applyAlignment="1">
      <alignment horizontal="center" vertical="center" shrinkToFit="1"/>
    </xf>
    <xf numFmtId="0" fontId="58" fillId="25" borderId="13" xfId="0" applyNumberFormat="1" applyFont="1" applyFill="1" applyBorder="1" applyAlignment="1">
      <alignment horizontal="left" vertical="center" wrapText="1" shrinkToFit="1"/>
    </xf>
    <xf numFmtId="0" fontId="58" fillId="25" borderId="23" xfId="0" applyFont="1" applyFill="1" applyBorder="1" applyAlignment="1">
      <alignment horizontal="center" vertical="center" wrapText="1" shrinkToFit="1"/>
    </xf>
    <xf numFmtId="0" fontId="50" fillId="0" borderId="8" xfId="0" applyNumberFormat="1" applyFont="1" applyFill="1" applyBorder="1" applyAlignment="1">
      <alignment vertical="top" wrapText="1" shrinkToFit="1"/>
    </xf>
    <xf numFmtId="0" fontId="77" fillId="25" borderId="23" xfId="89" applyNumberFormat="1" applyFont="1" applyFill="1" applyBorder="1" applyAlignment="1" applyProtection="1">
      <alignment vertical="center" wrapText="1" shrinkToFit="1"/>
    </xf>
    <xf numFmtId="0" fontId="78" fillId="25" borderId="23" xfId="89" applyNumberFormat="1" applyFont="1" applyFill="1" applyBorder="1" applyAlignment="1" applyProtection="1">
      <alignment vertical="center" wrapText="1" shrinkToFit="1"/>
    </xf>
    <xf numFmtId="0" fontId="46" fillId="0" borderId="5" xfId="0" applyFont="1" applyBorder="1" applyAlignment="1">
      <alignment horizontal="center" vertical="center"/>
    </xf>
    <xf numFmtId="0" fontId="47" fillId="0" borderId="2" xfId="0" applyFont="1" applyFill="1" applyBorder="1" applyAlignment="1">
      <alignment horizontal="center" vertical="center" shrinkToFit="1"/>
    </xf>
    <xf numFmtId="0" fontId="41" fillId="0" borderId="2" xfId="0" applyFont="1" applyFill="1" applyBorder="1" applyAlignment="1">
      <alignment horizontal="center" vertical="center" wrapText="1"/>
    </xf>
    <xf numFmtId="0" fontId="37" fillId="0" borderId="2" xfId="89" applyBorder="1" applyAlignment="1" applyProtection="1">
      <alignment horizontal="center" vertical="center" shrinkToFit="1"/>
    </xf>
    <xf numFmtId="0" fontId="46" fillId="0" borderId="16" xfId="0" applyFont="1" applyFill="1" applyBorder="1" applyAlignment="1">
      <alignment horizontal="center" vertical="center"/>
    </xf>
    <xf numFmtId="0" fontId="48" fillId="0" borderId="17" xfId="0" applyFont="1" applyFill="1" applyBorder="1" applyAlignment="1">
      <alignment horizontal="center" vertical="center"/>
    </xf>
    <xf numFmtId="0" fontId="48" fillId="0" borderId="33" xfId="0" applyFont="1" applyFill="1" applyBorder="1" applyAlignment="1">
      <alignment horizontal="center" vertical="center"/>
    </xf>
    <xf numFmtId="0" fontId="46" fillId="29" borderId="16" xfId="0" applyFont="1" applyFill="1" applyBorder="1" applyAlignment="1">
      <alignment horizontal="center" vertical="center" shrinkToFit="1"/>
    </xf>
    <xf numFmtId="0" fontId="46" fillId="29" borderId="54" xfId="0" applyFont="1" applyFill="1" applyBorder="1">
      <alignment vertical="center"/>
    </xf>
    <xf numFmtId="49" fontId="46" fillId="29" borderId="55" xfId="0" applyNumberFormat="1" applyFont="1" applyFill="1" applyBorder="1">
      <alignment vertical="center"/>
    </xf>
    <xf numFmtId="49" fontId="46" fillId="29" borderId="46" xfId="0" applyNumberFormat="1" applyFont="1" applyFill="1" applyBorder="1">
      <alignment vertical="center"/>
    </xf>
    <xf numFmtId="0" fontId="46" fillId="29" borderId="18" xfId="0" applyFont="1" applyFill="1" applyBorder="1" applyAlignment="1">
      <alignment horizontal="center" vertical="center" shrinkToFit="1"/>
    </xf>
    <xf numFmtId="0" fontId="46" fillId="29" borderId="111" xfId="0" applyFont="1" applyFill="1" applyBorder="1">
      <alignment vertical="center"/>
    </xf>
    <xf numFmtId="49" fontId="46" fillId="29" borderId="112" xfId="0" applyNumberFormat="1" applyFont="1" applyFill="1" applyBorder="1">
      <alignment vertical="center"/>
    </xf>
    <xf numFmtId="49" fontId="46" fillId="29" borderId="113" xfId="0" applyNumberFormat="1" applyFont="1" applyFill="1" applyBorder="1">
      <alignment vertical="center"/>
    </xf>
    <xf numFmtId="49" fontId="46" fillId="0" borderId="9" xfId="0" applyNumberFormat="1" applyFont="1" applyBorder="1" applyAlignment="1">
      <alignment horizontal="center" vertical="center" readingOrder="1"/>
    </xf>
    <xf numFmtId="0" fontId="37" fillId="0" borderId="4" xfId="89" applyBorder="1" applyAlignment="1" applyProtection="1">
      <alignment horizontal="center" vertical="center"/>
    </xf>
    <xf numFmtId="0" fontId="37" fillId="0" borderId="5" xfId="89" applyBorder="1" applyAlignment="1" applyProtection="1">
      <alignment horizontal="center" vertical="center"/>
    </xf>
    <xf numFmtId="0" fontId="37" fillId="0" borderId="9" xfId="89" applyBorder="1" applyAlignment="1" applyProtection="1">
      <alignment horizontal="center" vertical="center"/>
    </xf>
    <xf numFmtId="49" fontId="46" fillId="0" borderId="27" xfId="0" applyNumberFormat="1" applyFont="1" applyFill="1" applyBorder="1" applyAlignment="1">
      <alignment horizontal="left" vertical="center" wrapText="1"/>
    </xf>
    <xf numFmtId="0" fontId="37" fillId="0" borderId="3" xfId="89" applyBorder="1" applyAlignment="1" applyProtection="1">
      <alignment horizontal="center" vertical="center"/>
    </xf>
    <xf numFmtId="0" fontId="46" fillId="0" borderId="2" xfId="0" applyFont="1" applyFill="1" applyBorder="1" applyAlignment="1">
      <alignment horizontal="center" vertical="center"/>
    </xf>
    <xf numFmtId="0" fontId="46" fillId="0" borderId="3" xfId="0" applyFont="1" applyFill="1" applyBorder="1" applyAlignment="1">
      <alignment horizontal="center" vertical="center" wrapText="1"/>
    </xf>
    <xf numFmtId="0" fontId="46" fillId="0" borderId="8"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43" fillId="0" borderId="2" xfId="0" applyFont="1" applyFill="1" applyBorder="1" applyAlignment="1">
      <alignment horizontal="center" vertical="center" shrinkToFit="1"/>
    </xf>
    <xf numFmtId="0" fontId="47" fillId="0" borderId="2" xfId="0" applyFont="1" applyFill="1" applyBorder="1" applyAlignment="1">
      <alignment horizontal="center" vertical="center" shrinkToFit="1"/>
    </xf>
    <xf numFmtId="0" fontId="47" fillId="0" borderId="3" xfId="0" applyFont="1" applyFill="1" applyBorder="1" applyAlignment="1">
      <alignment horizontal="center" vertical="center" wrapText="1" shrinkToFit="1"/>
    </xf>
    <xf numFmtId="0" fontId="50" fillId="0" borderId="2" xfId="0" applyFont="1" applyFill="1" applyBorder="1" applyAlignment="1">
      <alignment horizontal="center" vertical="center" shrinkToFit="1"/>
    </xf>
    <xf numFmtId="0" fontId="46" fillId="0" borderId="4" xfId="0" applyFont="1" applyFill="1" applyBorder="1" applyAlignment="1">
      <alignment horizontal="center" vertical="center"/>
    </xf>
    <xf numFmtId="0" fontId="46" fillId="0" borderId="5" xfId="0" applyFont="1" applyFill="1" applyBorder="1" applyAlignment="1">
      <alignment horizontal="center" vertical="center"/>
    </xf>
    <xf numFmtId="0" fontId="47" fillId="0" borderId="6" xfId="0" applyFont="1" applyFill="1" applyBorder="1" applyAlignment="1">
      <alignment horizontal="center" vertical="center" shrinkToFit="1"/>
    </xf>
    <xf numFmtId="0" fontId="37" fillId="0" borderId="2" xfId="89" applyBorder="1" applyAlignment="1" applyProtection="1">
      <alignment horizontal="center" vertical="center" wrapText="1"/>
    </xf>
    <xf numFmtId="0" fontId="47" fillId="0" borderId="3" xfId="0" applyFont="1" applyFill="1" applyBorder="1" applyAlignment="1">
      <alignment horizontal="center" vertical="center" shrinkToFit="1"/>
    </xf>
    <xf numFmtId="0" fontId="47" fillId="0" borderId="5" xfId="0" applyFont="1" applyFill="1" applyBorder="1" applyAlignment="1">
      <alignment horizontal="center" vertical="center" shrinkToFit="1"/>
    </xf>
    <xf numFmtId="0" fontId="46" fillId="0" borderId="5" xfId="0" applyFont="1" applyBorder="1" applyAlignment="1">
      <alignment horizontal="center" vertical="center"/>
    </xf>
    <xf numFmtId="49" fontId="46" fillId="0" borderId="25" xfId="0" applyNumberFormat="1" applyFont="1" applyFill="1" applyBorder="1" applyAlignment="1">
      <alignment horizontal="left" vertical="center"/>
    </xf>
    <xf numFmtId="0" fontId="46" fillId="0" borderId="19" xfId="0" applyFont="1" applyBorder="1">
      <alignment vertical="center"/>
    </xf>
    <xf numFmtId="0" fontId="37" fillId="0" borderId="9" xfId="89" applyBorder="1" applyAlignment="1" applyProtection="1">
      <alignment horizontal="center" vertical="center"/>
    </xf>
    <xf numFmtId="0" fontId="37" fillId="0" borderId="7" xfId="89" applyBorder="1" applyAlignment="1" applyProtection="1">
      <alignment horizontal="center" vertical="center"/>
    </xf>
    <xf numFmtId="0" fontId="37" fillId="0" borderId="4" xfId="89" applyBorder="1" applyAlignment="1" applyProtection="1">
      <alignment horizontal="center" vertical="center"/>
    </xf>
    <xf numFmtId="0" fontId="37" fillId="0" borderId="5" xfId="89" applyBorder="1" applyAlignment="1" applyProtection="1">
      <alignment horizontal="center" vertical="center"/>
    </xf>
    <xf numFmtId="49" fontId="46" fillId="0" borderId="27" xfId="0" applyNumberFormat="1" applyFont="1" applyFill="1" applyBorder="1" applyAlignment="1">
      <alignment horizontal="left" vertical="center" wrapText="1"/>
    </xf>
    <xf numFmtId="0" fontId="37" fillId="0" borderId="3" xfId="89" applyBorder="1" applyAlignment="1" applyProtection="1">
      <alignment horizontal="center" vertical="center"/>
    </xf>
    <xf numFmtId="0" fontId="46" fillId="0" borderId="2" xfId="0" applyFont="1" applyFill="1" applyBorder="1" applyAlignment="1">
      <alignment horizontal="center" vertical="center"/>
    </xf>
    <xf numFmtId="0" fontId="46" fillId="0" borderId="3" xfId="0" applyFont="1" applyFill="1" applyBorder="1" applyAlignment="1">
      <alignment horizontal="center" vertical="center" wrapText="1"/>
    </xf>
    <xf numFmtId="0" fontId="46" fillId="0" borderId="8"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43" fillId="0" borderId="2" xfId="0" applyFont="1" applyFill="1" applyBorder="1" applyAlignment="1">
      <alignment horizontal="center" vertical="center" shrinkToFit="1"/>
    </xf>
    <xf numFmtId="0" fontId="47" fillId="0" borderId="3" xfId="0" applyFont="1" applyFill="1" applyBorder="1" applyAlignment="1">
      <alignment horizontal="center" vertical="center" wrapText="1" shrinkToFit="1"/>
    </xf>
    <xf numFmtId="0" fontId="47" fillId="0" borderId="2" xfId="0" applyFont="1" applyFill="1" applyBorder="1" applyAlignment="1">
      <alignment horizontal="center" vertical="center" shrinkToFit="1"/>
    </xf>
    <xf numFmtId="0" fontId="50" fillId="0" borderId="2" xfId="0" applyFont="1" applyFill="1" applyBorder="1" applyAlignment="1">
      <alignment horizontal="center" vertical="center" shrinkToFit="1"/>
    </xf>
    <xf numFmtId="0" fontId="46" fillId="0" borderId="4" xfId="0" applyFont="1" applyFill="1" applyBorder="1" applyAlignment="1">
      <alignment horizontal="center" vertical="center"/>
    </xf>
    <xf numFmtId="0" fontId="46" fillId="0" borderId="5" xfId="0" applyFont="1" applyFill="1" applyBorder="1" applyAlignment="1">
      <alignment horizontal="center" vertical="center"/>
    </xf>
    <xf numFmtId="0" fontId="47" fillId="0" borderId="6" xfId="0" applyFont="1" applyFill="1" applyBorder="1" applyAlignment="1">
      <alignment horizontal="center" vertical="center" shrinkToFit="1"/>
    </xf>
    <xf numFmtId="0" fontId="37" fillId="0" borderId="2" xfId="89" applyBorder="1" applyAlignment="1" applyProtection="1">
      <alignment horizontal="center" vertical="center" wrapText="1"/>
    </xf>
    <xf numFmtId="0" fontId="47" fillId="0" borderId="3" xfId="0" applyFont="1" applyFill="1" applyBorder="1" applyAlignment="1">
      <alignment horizontal="center" vertical="center" shrinkToFit="1"/>
    </xf>
    <xf numFmtId="0" fontId="47" fillId="0" borderId="5" xfId="0" applyFont="1" applyFill="1" applyBorder="1" applyAlignment="1">
      <alignment horizontal="center" vertical="center" shrinkToFit="1"/>
    </xf>
    <xf numFmtId="0" fontId="46" fillId="0" borderId="5" xfId="0" applyFont="1" applyBorder="1" applyAlignment="1">
      <alignment horizontal="center" vertical="center"/>
    </xf>
    <xf numFmtId="49" fontId="46" fillId="0" borderId="25" xfId="0" applyNumberFormat="1" applyFont="1" applyFill="1" applyBorder="1" applyAlignment="1">
      <alignment horizontal="left" vertical="center"/>
    </xf>
    <xf numFmtId="0" fontId="46" fillId="0" borderId="3" xfId="0" applyFont="1" applyFill="1" applyBorder="1" applyAlignment="1">
      <alignment horizontal="center" vertical="center"/>
    </xf>
    <xf numFmtId="0" fontId="46" fillId="34" borderId="3" xfId="0" applyFont="1" applyFill="1" applyBorder="1">
      <alignment vertical="center"/>
    </xf>
    <xf numFmtId="0" fontId="50" fillId="34" borderId="3" xfId="0" applyFont="1" applyFill="1" applyBorder="1" applyAlignment="1">
      <alignment horizontal="center" vertical="center" shrinkToFit="1"/>
    </xf>
    <xf numFmtId="49" fontId="46" fillId="34" borderId="27" xfId="0" applyNumberFormat="1" applyFont="1" applyFill="1" applyBorder="1" applyAlignment="1">
      <alignment horizontal="left" vertical="center"/>
    </xf>
    <xf numFmtId="49" fontId="46" fillId="34" borderId="51" xfId="0" applyNumberFormat="1" applyFont="1" applyFill="1" applyBorder="1" applyAlignment="1">
      <alignment horizontal="left" vertical="center"/>
    </xf>
    <xf numFmtId="49" fontId="46" fillId="34" borderId="12" xfId="0" applyNumberFormat="1" applyFont="1" applyFill="1" applyBorder="1" applyAlignment="1">
      <alignment horizontal="left" vertical="center"/>
    </xf>
    <xf numFmtId="0" fontId="46" fillId="34" borderId="8" xfId="0" applyFont="1" applyFill="1" applyBorder="1">
      <alignment vertical="center"/>
    </xf>
    <xf numFmtId="0" fontId="50" fillId="34" borderId="4" xfId="0" applyFont="1" applyFill="1" applyBorder="1" applyAlignment="1">
      <alignment horizontal="center" vertical="center" shrinkToFit="1"/>
    </xf>
    <xf numFmtId="49" fontId="46" fillId="34" borderId="28" xfId="0" applyNumberFormat="1" applyFont="1" applyFill="1" applyBorder="1" applyAlignment="1">
      <alignment horizontal="left" vertical="center"/>
    </xf>
    <xf numFmtId="49" fontId="46" fillId="34" borderId="52" xfId="0" applyNumberFormat="1" applyFont="1" applyFill="1" applyBorder="1" applyAlignment="1">
      <alignment horizontal="left" vertical="center"/>
    </xf>
    <xf numFmtId="49" fontId="46" fillId="34" borderId="10" xfId="0" applyNumberFormat="1" applyFont="1" applyFill="1" applyBorder="1" applyAlignment="1">
      <alignment horizontal="left" vertical="center"/>
    </xf>
    <xf numFmtId="0" fontId="46" fillId="34" borderId="4" xfId="0" applyFont="1" applyFill="1" applyBorder="1">
      <alignment vertical="center"/>
    </xf>
    <xf numFmtId="0" fontId="46" fillId="34" borderId="5" xfId="0" applyFont="1" applyFill="1" applyBorder="1">
      <alignment vertical="center"/>
    </xf>
    <xf numFmtId="0" fontId="46" fillId="34" borderId="5" xfId="0" applyFont="1" applyFill="1" applyBorder="1" applyAlignment="1">
      <alignment horizontal="center" vertical="center"/>
    </xf>
    <xf numFmtId="49" fontId="46" fillId="34" borderId="31" xfId="0" applyNumberFormat="1" applyFont="1" applyFill="1" applyBorder="1" applyAlignment="1">
      <alignment horizontal="left" vertical="center"/>
    </xf>
    <xf numFmtId="49" fontId="46" fillId="34" borderId="53" xfId="0" applyNumberFormat="1" applyFont="1" applyFill="1" applyBorder="1" applyAlignment="1">
      <alignment horizontal="left" vertical="center"/>
    </xf>
    <xf numFmtId="49" fontId="46" fillId="34" borderId="32" xfId="0" applyNumberFormat="1" applyFont="1" applyFill="1" applyBorder="1" applyAlignment="1">
      <alignment horizontal="left" vertical="center"/>
    </xf>
    <xf numFmtId="0" fontId="79" fillId="0" borderId="3" xfId="0" applyFont="1" applyBorder="1" applyAlignment="1">
      <alignment vertical="center" wrapText="1"/>
    </xf>
    <xf numFmtId="0" fontId="80" fillId="0" borderId="0" xfId="0" applyFont="1">
      <alignment vertical="center"/>
    </xf>
    <xf numFmtId="0" fontId="80" fillId="0" borderId="0" xfId="0" applyFont="1" applyBorder="1" applyAlignment="1">
      <alignment vertical="center"/>
    </xf>
    <xf numFmtId="0" fontId="80" fillId="0" borderId="0" xfId="0" applyFont="1" applyAlignment="1">
      <alignment vertical="center"/>
    </xf>
    <xf numFmtId="0" fontId="70" fillId="0" borderId="58" xfId="0" applyFont="1" applyBorder="1" applyAlignment="1">
      <alignment horizontal="center" vertical="center"/>
    </xf>
    <xf numFmtId="0" fontId="70" fillId="0" borderId="60" xfId="0" applyFont="1" applyBorder="1" applyAlignment="1">
      <alignment horizontal="center" vertical="center"/>
    </xf>
    <xf numFmtId="0" fontId="70" fillId="0" borderId="108" xfId="0" applyFont="1" applyBorder="1" applyAlignment="1">
      <alignment horizontal="center" vertical="center"/>
    </xf>
    <xf numFmtId="0" fontId="70" fillId="0" borderId="68" xfId="0" applyFont="1" applyBorder="1" applyAlignment="1">
      <alignment horizontal="center" vertical="center"/>
    </xf>
    <xf numFmtId="0" fontId="70" fillId="0" borderId="109" xfId="0" applyFont="1" applyBorder="1" applyAlignment="1">
      <alignment horizontal="center" vertical="center"/>
    </xf>
    <xf numFmtId="0" fontId="70" fillId="0" borderId="110" xfId="0" applyFont="1" applyBorder="1" applyAlignment="1">
      <alignment horizontal="center" vertical="center"/>
    </xf>
    <xf numFmtId="0" fontId="70" fillId="0" borderId="101" xfId="0" applyFont="1" applyBorder="1" applyAlignment="1">
      <alignment horizontal="center" vertical="center"/>
    </xf>
    <xf numFmtId="0" fontId="70" fillId="0" borderId="102" xfId="0" applyFont="1" applyBorder="1" applyAlignment="1">
      <alignment horizontal="center" vertical="center"/>
    </xf>
    <xf numFmtId="0" fontId="70" fillId="0" borderId="105" xfId="0" applyFont="1" applyBorder="1" applyAlignment="1">
      <alignment horizontal="center" vertical="center"/>
    </xf>
    <xf numFmtId="0" fontId="70" fillId="0" borderId="106" xfId="0" applyFont="1" applyBorder="1" applyAlignment="1">
      <alignment horizontal="center" vertical="center"/>
    </xf>
    <xf numFmtId="0" fontId="7" fillId="0" borderId="0" xfId="84">
      <alignment vertical="center"/>
    </xf>
    <xf numFmtId="0" fontId="70" fillId="0" borderId="107" xfId="0" applyFont="1" applyBorder="1" applyAlignment="1">
      <alignment horizontal="center" vertical="center"/>
    </xf>
    <xf numFmtId="0" fontId="70" fillId="0" borderId="81" xfId="0" applyFont="1" applyBorder="1" applyAlignment="1">
      <alignment horizontal="center" vertical="center"/>
    </xf>
    <xf numFmtId="0" fontId="46" fillId="0" borderId="25" xfId="0" applyFont="1" applyFill="1" applyBorder="1" applyAlignment="1">
      <alignment horizontal="center" vertical="center" wrapText="1"/>
    </xf>
    <xf numFmtId="0" fontId="46" fillId="0" borderId="21" xfId="0" applyFont="1" applyFill="1" applyBorder="1" applyAlignment="1">
      <alignment horizontal="center" vertical="center" wrapText="1"/>
    </xf>
    <xf numFmtId="0" fontId="46" fillId="0" borderId="1" xfId="0" applyFont="1" applyFill="1" applyBorder="1" applyAlignment="1">
      <alignment horizontal="center" vertical="center" wrapText="1"/>
    </xf>
    <xf numFmtId="0" fontId="46" fillId="0" borderId="15" xfId="0" applyFont="1" applyFill="1" applyBorder="1" applyAlignment="1">
      <alignment horizontal="center" vertical="center" wrapText="1"/>
    </xf>
    <xf numFmtId="0" fontId="46" fillId="0" borderId="13" xfId="0" applyFont="1" applyFill="1" applyBorder="1" applyAlignment="1">
      <alignment horizontal="center" vertical="center" wrapText="1"/>
    </xf>
    <xf numFmtId="0" fontId="46" fillId="0" borderId="14" xfId="0" applyFont="1" applyFill="1" applyBorder="1" applyAlignment="1">
      <alignment horizontal="center" vertical="center" wrapText="1"/>
    </xf>
    <xf numFmtId="0" fontId="46" fillId="0" borderId="24" xfId="0" applyFont="1" applyFill="1" applyBorder="1" applyAlignment="1">
      <alignment horizontal="center" vertical="center" wrapText="1"/>
    </xf>
    <xf numFmtId="0" fontId="46" fillId="0" borderId="22" xfId="0" applyFont="1" applyFill="1" applyBorder="1" applyAlignment="1">
      <alignment horizontal="center" vertical="center" wrapText="1"/>
    </xf>
    <xf numFmtId="0" fontId="0" fillId="0" borderId="2" xfId="0" applyBorder="1" applyAlignment="1">
      <alignment horizontal="center" vertical="center"/>
    </xf>
    <xf numFmtId="0" fontId="46" fillId="0" borderId="2" xfId="0" applyFont="1" applyBorder="1" applyAlignment="1">
      <alignment horizontal="center" vertical="center" wrapText="1"/>
    </xf>
    <xf numFmtId="0" fontId="46" fillId="0" borderId="9" xfId="0" applyFont="1" applyBorder="1" applyAlignment="1">
      <alignment horizontal="center" vertical="center" wrapText="1"/>
    </xf>
    <xf numFmtId="0" fontId="46" fillId="0" borderId="23" xfId="0" applyFont="1" applyBorder="1" applyAlignment="1">
      <alignment horizontal="center" vertical="center" wrapText="1"/>
    </xf>
    <xf numFmtId="0" fontId="46" fillId="0" borderId="7" xfId="0" applyFont="1" applyBorder="1" applyAlignment="1">
      <alignment horizontal="center" vertical="center" wrapText="1"/>
    </xf>
    <xf numFmtId="0" fontId="46" fillId="0" borderId="15" xfId="0" applyFont="1" applyBorder="1" applyAlignment="1">
      <alignment horizontal="center" vertical="center"/>
    </xf>
    <xf numFmtId="0" fontId="46" fillId="0" borderId="14" xfId="0" applyFont="1" applyBorder="1" applyAlignment="1">
      <alignment horizontal="center" vertical="center"/>
    </xf>
    <xf numFmtId="0" fontId="46" fillId="0" borderId="22" xfId="0" applyFont="1" applyBorder="1" applyAlignment="1">
      <alignment horizontal="center" vertical="center"/>
    </xf>
    <xf numFmtId="49" fontId="40" fillId="30" borderId="25" xfId="0" applyNumberFormat="1" applyFont="1" applyFill="1" applyBorder="1" applyAlignment="1">
      <alignment horizontal="center" vertical="center" shrinkToFit="1"/>
    </xf>
    <xf numFmtId="49" fontId="40" fillId="30" borderId="26" xfId="0" applyNumberFormat="1" applyFont="1" applyFill="1" applyBorder="1" applyAlignment="1">
      <alignment horizontal="center" vertical="center" shrinkToFit="1"/>
    </xf>
    <xf numFmtId="49" fontId="40" fillId="30" borderId="21" xfId="0" applyNumberFormat="1" applyFont="1" applyFill="1" applyBorder="1" applyAlignment="1">
      <alignment horizontal="center" vertical="center" shrinkToFit="1"/>
    </xf>
    <xf numFmtId="0" fontId="40" fillId="2" borderId="25" xfId="0" applyFont="1" applyFill="1" applyBorder="1" applyAlignment="1">
      <alignment horizontal="center" vertical="center" shrinkToFit="1"/>
    </xf>
    <xf numFmtId="0" fontId="40" fillId="2" borderId="21" xfId="0" applyFont="1" applyFill="1" applyBorder="1" applyAlignment="1">
      <alignment horizontal="center" vertical="center" shrinkToFit="1"/>
    </xf>
    <xf numFmtId="0" fontId="46" fillId="30" borderId="2" xfId="0" applyFont="1" applyFill="1" applyBorder="1" applyAlignment="1">
      <alignment horizontal="center" vertical="center"/>
    </xf>
    <xf numFmtId="0" fontId="46" fillId="31" borderId="2" xfId="0" applyFont="1" applyFill="1" applyBorder="1" applyAlignment="1">
      <alignment horizontal="center" vertical="center"/>
    </xf>
    <xf numFmtId="0" fontId="46" fillId="32" borderId="2" xfId="0" applyFont="1" applyFill="1" applyBorder="1" applyAlignment="1">
      <alignment horizontal="center" vertical="center"/>
    </xf>
    <xf numFmtId="49" fontId="0" fillId="0" borderId="2" xfId="0" applyNumberFormat="1" applyBorder="1" applyAlignment="1">
      <alignment horizontal="center" vertical="center"/>
    </xf>
    <xf numFmtId="49" fontId="46" fillId="0" borderId="9" xfId="0" applyNumberFormat="1" applyFont="1" applyBorder="1" applyAlignment="1">
      <alignment horizontal="center" vertical="center" readingOrder="1"/>
    </xf>
    <xf numFmtId="49" fontId="46" fillId="0" borderId="23" xfId="0" applyNumberFormat="1" applyFont="1" applyBorder="1" applyAlignment="1">
      <alignment horizontal="center" vertical="center" readingOrder="1"/>
    </xf>
    <xf numFmtId="49" fontId="46" fillId="0" borderId="7" xfId="0" applyNumberFormat="1" applyFont="1" applyBorder="1" applyAlignment="1">
      <alignment horizontal="center" vertical="center" readingOrder="1"/>
    </xf>
    <xf numFmtId="0" fontId="40" fillId="30" borderId="9" xfId="0" applyFont="1" applyFill="1" applyBorder="1" applyAlignment="1">
      <alignment horizontal="center" vertical="center" shrinkToFit="1"/>
    </xf>
    <xf numFmtId="0" fontId="40" fillId="30" borderId="7" xfId="0" applyFont="1" applyFill="1" applyBorder="1" applyAlignment="1">
      <alignment horizontal="center" vertical="center" shrinkToFit="1"/>
    </xf>
    <xf numFmtId="49" fontId="46" fillId="0" borderId="9" xfId="0" applyNumberFormat="1" applyFont="1" applyBorder="1" applyAlignment="1">
      <alignment horizontal="center" vertical="center" wrapText="1" readingOrder="1"/>
    </xf>
    <xf numFmtId="49" fontId="46" fillId="0" borderId="2" xfId="0" applyNumberFormat="1" applyFont="1" applyBorder="1" applyAlignment="1">
      <alignment horizontal="center" vertical="center" wrapText="1"/>
    </xf>
    <xf numFmtId="49" fontId="46" fillId="0" borderId="2" xfId="0" applyNumberFormat="1" applyFont="1" applyBorder="1" applyAlignment="1">
      <alignment horizontal="center" vertical="center"/>
    </xf>
    <xf numFmtId="0" fontId="37" fillId="0" borderId="9" xfId="89" applyBorder="1" applyAlignment="1" applyProtection="1">
      <alignment horizontal="center" vertical="center"/>
    </xf>
    <xf numFmtId="0" fontId="37" fillId="0" borderId="23" xfId="89" applyBorder="1" applyAlignment="1" applyProtection="1">
      <alignment horizontal="center" vertical="center"/>
    </xf>
    <xf numFmtId="0" fontId="37" fillId="0" borderId="7" xfId="89" applyBorder="1" applyAlignment="1" applyProtection="1">
      <alignment horizontal="center" vertical="center"/>
    </xf>
    <xf numFmtId="49" fontId="46" fillId="29" borderId="54" xfId="0" applyNumberFormat="1" applyFont="1" applyFill="1" applyBorder="1" applyAlignment="1">
      <alignment horizontal="left" vertical="center"/>
    </xf>
    <xf numFmtId="49" fontId="46" fillId="29" borderId="55" xfId="0" applyNumberFormat="1" applyFont="1" applyFill="1" applyBorder="1" applyAlignment="1">
      <alignment horizontal="left" vertical="center"/>
    </xf>
    <xf numFmtId="49" fontId="46" fillId="29" borderId="46" xfId="0" applyNumberFormat="1" applyFont="1" applyFill="1" applyBorder="1" applyAlignment="1">
      <alignment horizontal="left" vertical="center"/>
    </xf>
    <xf numFmtId="0" fontId="46" fillId="29" borderId="54" xfId="0" applyFont="1" applyFill="1" applyBorder="1" applyAlignment="1">
      <alignment horizontal="left" vertical="center"/>
    </xf>
    <xf numFmtId="0" fontId="46" fillId="29" borderId="55" xfId="0" applyFont="1" applyFill="1" applyBorder="1" applyAlignment="1">
      <alignment horizontal="left" vertical="center"/>
    </xf>
    <xf numFmtId="0" fontId="46" fillId="29" borderId="46" xfId="0" applyFont="1" applyFill="1" applyBorder="1" applyAlignment="1">
      <alignment horizontal="left" vertical="center"/>
    </xf>
    <xf numFmtId="0" fontId="81" fillId="0" borderId="13" xfId="0" applyFont="1" applyBorder="1" applyAlignment="1">
      <alignment horizontal="left" vertical="center" wrapText="1"/>
    </xf>
    <xf numFmtId="0" fontId="81" fillId="0" borderId="0" xfId="0" applyFont="1" applyAlignment="1">
      <alignment horizontal="left" vertical="center" wrapText="1"/>
    </xf>
    <xf numFmtId="0" fontId="37" fillId="0" borderId="4" xfId="89" applyBorder="1" applyAlignment="1" applyProtection="1">
      <alignment horizontal="center" vertical="center"/>
    </xf>
    <xf numFmtId="0" fontId="37" fillId="0" borderId="5" xfId="89" applyBorder="1" applyAlignment="1" applyProtection="1">
      <alignment horizontal="center" vertical="center"/>
    </xf>
    <xf numFmtId="0" fontId="46" fillId="0" borderId="6" xfId="0" applyFont="1" applyFill="1" applyBorder="1" applyAlignment="1">
      <alignment horizontal="center" vertical="center" shrinkToFit="1"/>
    </xf>
    <xf numFmtId="0" fontId="46" fillId="0" borderId="7" xfId="0" applyFont="1" applyFill="1" applyBorder="1" applyAlignment="1">
      <alignment horizontal="center" vertical="center" shrinkToFit="1"/>
    </xf>
    <xf numFmtId="0" fontId="79" fillId="0" borderId="6" xfId="0" applyFont="1" applyBorder="1" applyAlignment="1">
      <alignment horizontal="left" vertical="center" wrapText="1"/>
    </xf>
    <xf numFmtId="0" fontId="79" fillId="0" borderId="7" xfId="0" applyFont="1" applyBorder="1" applyAlignment="1">
      <alignment horizontal="left" vertical="center" wrapText="1"/>
    </xf>
    <xf numFmtId="49" fontId="46" fillId="0" borderId="27" xfId="0" applyNumberFormat="1" applyFont="1" applyFill="1" applyBorder="1" applyAlignment="1">
      <alignment horizontal="left" vertical="center" wrapText="1"/>
    </xf>
    <xf numFmtId="49" fontId="46" fillId="0" borderId="51" xfId="0" applyNumberFormat="1" applyFont="1" applyFill="1" applyBorder="1" applyAlignment="1">
      <alignment horizontal="left" vertical="center" wrapText="1"/>
    </xf>
    <xf numFmtId="49" fontId="46" fillId="0" borderId="12" xfId="0" applyNumberFormat="1" applyFont="1" applyFill="1" applyBorder="1" applyAlignment="1">
      <alignment horizontal="left" vertical="center" wrapText="1"/>
    </xf>
    <xf numFmtId="0" fontId="47" fillId="0" borderId="6" xfId="0" applyFont="1" applyFill="1" applyBorder="1" applyAlignment="1">
      <alignment horizontal="center" vertical="center" wrapText="1" shrinkToFit="1"/>
    </xf>
    <xf numFmtId="0" fontId="47" fillId="0" borderId="7" xfId="0" applyFont="1" applyFill="1" applyBorder="1" applyAlignment="1">
      <alignment horizontal="center" vertical="center" wrapText="1" shrinkToFit="1"/>
    </xf>
    <xf numFmtId="0" fontId="46" fillId="34" borderId="15" xfId="0" applyFont="1" applyFill="1" applyBorder="1" applyAlignment="1">
      <alignment horizontal="center" vertical="center" wrapText="1"/>
    </xf>
    <xf numFmtId="0" fontId="46" fillId="34" borderId="14" xfId="0" applyFont="1" applyFill="1" applyBorder="1" applyAlignment="1">
      <alignment horizontal="center" vertical="center"/>
    </xf>
    <xf numFmtId="0" fontId="46" fillId="34" borderId="22" xfId="0" applyFont="1" applyFill="1" applyBorder="1" applyAlignment="1">
      <alignment horizontal="center" vertical="center"/>
    </xf>
    <xf numFmtId="0" fontId="37" fillId="34" borderId="9" xfId="89" applyFill="1" applyBorder="1" applyAlignment="1" applyProtection="1">
      <alignment horizontal="center" vertical="center"/>
    </xf>
    <xf numFmtId="0" fontId="37" fillId="34" borderId="23" xfId="89" applyFill="1" applyBorder="1" applyAlignment="1" applyProtection="1">
      <alignment horizontal="center" vertical="center"/>
    </xf>
    <xf numFmtId="0" fontId="37" fillId="34" borderId="7" xfId="89" applyFill="1" applyBorder="1" applyAlignment="1" applyProtection="1">
      <alignment horizontal="center" vertical="center"/>
    </xf>
    <xf numFmtId="49" fontId="46" fillId="0" borderId="9" xfId="0" applyNumberFormat="1" applyFont="1" applyBorder="1" applyAlignment="1">
      <alignment horizontal="center" vertical="center" wrapText="1"/>
    </xf>
    <xf numFmtId="49" fontId="46" fillId="0" borderId="23" xfId="0" applyNumberFormat="1" applyFont="1" applyBorder="1" applyAlignment="1">
      <alignment horizontal="center" vertical="center" wrapText="1"/>
    </xf>
    <xf numFmtId="49" fontId="46" fillId="0" borderId="7" xfId="0" applyNumberFormat="1" applyFont="1" applyBorder="1" applyAlignment="1">
      <alignment horizontal="center" vertical="center" wrapText="1"/>
    </xf>
    <xf numFmtId="0" fontId="46" fillId="0" borderId="15" xfId="0" applyFont="1" applyBorder="1" applyAlignment="1">
      <alignment horizontal="center" vertical="center" wrapText="1"/>
    </xf>
    <xf numFmtId="0" fontId="46" fillId="0" borderId="6" xfId="0" applyFont="1" applyFill="1" applyBorder="1" applyAlignment="1">
      <alignment horizontal="left" vertical="center" shrinkToFit="1"/>
    </xf>
    <xf numFmtId="0" fontId="46" fillId="0" borderId="7" xfId="0" applyFont="1" applyFill="1" applyBorder="1" applyAlignment="1">
      <alignment horizontal="left" vertical="center" shrinkToFit="1"/>
    </xf>
    <xf numFmtId="0" fontId="50" fillId="0" borderId="9" xfId="0" applyFont="1" applyFill="1" applyBorder="1" applyAlignment="1">
      <alignment horizontal="left" vertical="center" shrinkToFit="1"/>
    </xf>
    <xf numFmtId="0" fontId="50" fillId="0" borderId="7" xfId="0" applyFont="1" applyFill="1" applyBorder="1" applyAlignment="1">
      <alignment horizontal="left" vertical="center" shrinkToFit="1"/>
    </xf>
    <xf numFmtId="0" fontId="46" fillId="0" borderId="2" xfId="0" applyFont="1" applyFill="1" applyBorder="1" applyAlignment="1">
      <alignment horizontal="center" vertical="center" wrapText="1"/>
    </xf>
    <xf numFmtId="0" fontId="46" fillId="0" borderId="2" xfId="0" applyFont="1" applyFill="1" applyBorder="1" applyAlignment="1">
      <alignment horizontal="center" vertical="center"/>
    </xf>
    <xf numFmtId="0" fontId="46" fillId="0" borderId="25" xfId="0" applyNumberFormat="1" applyFont="1" applyFill="1" applyBorder="1" applyAlignment="1">
      <alignment horizontal="left" vertical="center"/>
    </xf>
    <xf numFmtId="0" fontId="46" fillId="0" borderId="26" xfId="0" applyNumberFormat="1" applyFont="1" applyFill="1" applyBorder="1" applyAlignment="1">
      <alignment horizontal="left" vertical="center"/>
    </xf>
    <xf numFmtId="0" fontId="46" fillId="0" borderId="21" xfId="0" applyNumberFormat="1" applyFont="1" applyFill="1" applyBorder="1" applyAlignment="1">
      <alignment horizontal="left" vertical="center"/>
    </xf>
    <xf numFmtId="0" fontId="46" fillId="0" borderId="1" xfId="0" applyFont="1" applyBorder="1" applyAlignment="1">
      <alignment horizontal="center" vertical="center" wrapText="1"/>
    </xf>
    <xf numFmtId="0" fontId="46" fillId="0" borderId="24" xfId="0" applyFont="1" applyBorder="1" applyAlignment="1">
      <alignment horizontal="center" vertical="center" wrapText="1"/>
    </xf>
    <xf numFmtId="0" fontId="46" fillId="0" borderId="22" xfId="0" applyFont="1" applyBorder="1" applyAlignment="1">
      <alignment horizontal="center" vertical="center" wrapText="1"/>
    </xf>
    <xf numFmtId="0" fontId="50" fillId="0" borderId="9" xfId="0" applyFont="1" applyFill="1" applyBorder="1" applyAlignment="1">
      <alignment horizontal="center" vertical="center"/>
    </xf>
    <xf numFmtId="0" fontId="50" fillId="0" borderId="7" xfId="0" applyFont="1" applyFill="1" applyBorder="1" applyAlignment="1">
      <alignment horizontal="center" vertical="center"/>
    </xf>
    <xf numFmtId="0" fontId="50" fillId="0" borderId="25" xfId="0" applyFont="1" applyFill="1" applyBorder="1" applyAlignment="1">
      <alignment horizontal="center" vertical="center"/>
    </xf>
    <xf numFmtId="0" fontId="50" fillId="0" borderId="26" xfId="0" applyFont="1" applyFill="1" applyBorder="1" applyAlignment="1">
      <alignment horizontal="center" vertical="center"/>
    </xf>
    <xf numFmtId="49" fontId="46" fillId="0" borderId="2" xfId="0" applyNumberFormat="1" applyFont="1" applyBorder="1" applyAlignment="1">
      <alignment horizontal="center" vertical="center" readingOrder="1"/>
    </xf>
    <xf numFmtId="0" fontId="37" fillId="0" borderId="3" xfId="89" applyBorder="1" applyAlignment="1" applyProtection="1">
      <alignment horizontal="center" vertical="center"/>
    </xf>
    <xf numFmtId="0" fontId="46" fillId="0" borderId="25" xfId="0" applyFont="1" applyFill="1" applyBorder="1" applyAlignment="1">
      <alignment horizontal="center" vertical="center"/>
    </xf>
    <xf numFmtId="0" fontId="46" fillId="0" borderId="21" xfId="0" applyFont="1" applyFill="1" applyBorder="1" applyAlignment="1">
      <alignment horizontal="center" vertical="center"/>
    </xf>
    <xf numFmtId="49" fontId="46" fillId="0" borderId="23" xfId="0" applyNumberFormat="1" applyFont="1" applyBorder="1" applyAlignment="1">
      <alignment horizontal="center" vertical="center" wrapText="1" readingOrder="1"/>
    </xf>
    <xf numFmtId="49" fontId="46" fillId="0" borderId="7" xfId="0" applyNumberFormat="1" applyFont="1" applyBorder="1" applyAlignment="1">
      <alignment horizontal="center" vertical="center" wrapText="1" readingOrder="1"/>
    </xf>
    <xf numFmtId="0" fontId="37" fillId="0" borderId="8" xfId="89" applyBorder="1" applyAlignment="1" applyProtection="1">
      <alignment horizontal="center" vertical="center"/>
    </xf>
    <xf numFmtId="0" fontId="46" fillId="0" borderId="9" xfId="0" applyFont="1" applyFill="1" applyBorder="1" applyAlignment="1">
      <alignment horizontal="center" vertical="center" wrapText="1"/>
    </xf>
    <xf numFmtId="0" fontId="46" fillId="0" borderId="7" xfId="0" applyFont="1" applyFill="1" applyBorder="1" applyAlignment="1">
      <alignment horizontal="center" vertical="center" wrapText="1"/>
    </xf>
    <xf numFmtId="0" fontId="46" fillId="0" borderId="23" xfId="0" applyFont="1" applyFill="1" applyBorder="1" applyAlignment="1">
      <alignment horizontal="center" vertical="center" shrinkToFit="1"/>
    </xf>
    <xf numFmtId="0" fontId="54" fillId="0" borderId="6" xfId="0" applyFont="1" applyBorder="1" applyAlignment="1">
      <alignment horizontal="left" vertical="center" wrapText="1"/>
    </xf>
    <xf numFmtId="0" fontId="46" fillId="0" borderId="7" xfId="0" applyFont="1" applyBorder="1" applyAlignment="1">
      <alignment horizontal="left" vertical="center" wrapText="1"/>
    </xf>
    <xf numFmtId="0" fontId="0" fillId="0" borderId="1" xfId="0" applyBorder="1" applyAlignment="1">
      <alignment horizontal="center" vertical="center"/>
    </xf>
    <xf numFmtId="0" fontId="0" fillId="0" borderId="20" xfId="0" applyBorder="1" applyAlignment="1">
      <alignment horizontal="center" vertical="center"/>
    </xf>
    <xf numFmtId="0" fontId="0" fillId="0" borderId="15" xfId="0" applyBorder="1" applyAlignment="1">
      <alignment horizontal="center" vertical="center"/>
    </xf>
    <xf numFmtId="0" fontId="0" fillId="0" borderId="24" xfId="0" applyBorder="1" applyAlignment="1">
      <alignment horizontal="center" vertical="center"/>
    </xf>
    <xf numFmtId="0" fontId="0" fillId="0" borderId="50" xfId="0" applyBorder="1" applyAlignment="1">
      <alignment horizontal="center" vertical="center"/>
    </xf>
    <xf numFmtId="0" fontId="0" fillId="0" borderId="22" xfId="0" applyBorder="1" applyAlignment="1">
      <alignment horizontal="center" vertical="center"/>
    </xf>
    <xf numFmtId="0" fontId="46" fillId="0" borderId="25" xfId="0" applyFont="1" applyBorder="1" applyAlignment="1">
      <alignment horizontal="center" vertical="center" wrapText="1"/>
    </xf>
    <xf numFmtId="0" fontId="46" fillId="0" borderId="21" xfId="0" applyFont="1" applyBorder="1" applyAlignment="1">
      <alignment horizontal="center" vertical="center" wrapText="1"/>
    </xf>
    <xf numFmtId="0" fontId="37" fillId="0" borderId="6" xfId="89" applyBorder="1" applyAlignment="1" applyProtection="1">
      <alignment horizontal="center" vertical="center"/>
    </xf>
    <xf numFmtId="0" fontId="79" fillId="0" borderId="13" xfId="0" applyFont="1" applyBorder="1" applyAlignment="1">
      <alignment horizontal="left" vertical="center" wrapText="1"/>
    </xf>
    <xf numFmtId="0" fontId="79" fillId="0" borderId="0" xfId="0" applyFont="1" applyAlignment="1">
      <alignment horizontal="left" vertical="center" wrapText="1"/>
    </xf>
    <xf numFmtId="0" fontId="38" fillId="0" borderId="1" xfId="0" applyFont="1" applyBorder="1" applyAlignment="1">
      <alignment horizontal="center" vertical="center" shrinkToFit="1"/>
    </xf>
    <xf numFmtId="0" fontId="38" fillId="0" borderId="20" xfId="0" applyFont="1" applyBorder="1" applyAlignment="1">
      <alignment horizontal="center" vertical="center" shrinkToFit="1"/>
    </xf>
    <xf numFmtId="0" fontId="38" fillId="0" borderId="15" xfId="0" applyFont="1" applyBorder="1" applyAlignment="1">
      <alignment horizontal="center" vertical="center" shrinkToFit="1"/>
    </xf>
    <xf numFmtId="49" fontId="42" fillId="0" borderId="2" xfId="0" applyNumberFormat="1" applyFont="1" applyFill="1" applyBorder="1" applyAlignment="1">
      <alignment horizontal="center" vertical="center" shrinkToFit="1"/>
    </xf>
    <xf numFmtId="0" fontId="46" fillId="30" borderId="25" xfId="0" applyFont="1" applyFill="1" applyBorder="1" applyAlignment="1">
      <alignment horizontal="center" vertical="center"/>
    </xf>
    <xf numFmtId="0" fontId="46" fillId="30" borderId="21" xfId="0" applyFont="1" applyFill="1" applyBorder="1" applyAlignment="1">
      <alignment horizontal="center" vertical="center"/>
    </xf>
    <xf numFmtId="0" fontId="37" fillId="0" borderId="9" xfId="89" applyBorder="1" applyAlignment="1" applyProtection="1">
      <alignment horizontal="center" vertical="center" wrapText="1"/>
    </xf>
    <xf numFmtId="0" fontId="37" fillId="0" borderId="7" xfId="89" applyBorder="1" applyAlignment="1" applyProtection="1">
      <alignment horizontal="center" vertical="center" wrapText="1"/>
    </xf>
    <xf numFmtId="0" fontId="37" fillId="0" borderId="3" xfId="89" applyBorder="1" applyAlignment="1" applyProtection="1">
      <alignment horizontal="center" vertical="center" wrapText="1"/>
    </xf>
    <xf numFmtId="0" fontId="37" fillId="0" borderId="4" xfId="89" applyBorder="1" applyAlignment="1" applyProtection="1">
      <alignment horizontal="center" vertical="center" wrapText="1"/>
    </xf>
    <xf numFmtId="0" fontId="37" fillId="0" borderId="50" xfId="89" applyBorder="1" applyAlignment="1" applyProtection="1">
      <alignment horizontal="left" vertical="center"/>
    </xf>
    <xf numFmtId="0" fontId="37" fillId="0" borderId="0" xfId="89" applyBorder="1" applyAlignment="1" applyProtection="1">
      <alignment horizontal="left" vertical="center"/>
    </xf>
    <xf numFmtId="0" fontId="46" fillId="0" borderId="3" xfId="0" applyFont="1" applyFill="1" applyBorder="1" applyAlignment="1">
      <alignment horizontal="center" vertical="center" wrapText="1"/>
    </xf>
    <xf numFmtId="0" fontId="46" fillId="0" borderId="8"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46" fillId="0" borderId="23" xfId="0" applyFont="1" applyFill="1" applyBorder="1" applyAlignment="1">
      <alignment horizontal="center" vertical="center" wrapText="1"/>
    </xf>
    <xf numFmtId="0" fontId="46" fillId="0" borderId="14" xfId="0" applyFont="1" applyBorder="1" applyAlignment="1">
      <alignment horizontal="center" vertical="center" wrapText="1"/>
    </xf>
    <xf numFmtId="0" fontId="47" fillId="0" borderId="2" xfId="0" applyFont="1" applyBorder="1" applyAlignment="1">
      <alignment horizontal="center" vertical="center"/>
    </xf>
    <xf numFmtId="0" fontId="47" fillId="0" borderId="3" xfId="0" applyFont="1" applyBorder="1" applyAlignment="1">
      <alignment horizontal="center" vertical="center" wrapText="1" shrinkToFit="1"/>
    </xf>
    <xf numFmtId="0" fontId="47" fillId="0" borderId="5" xfId="0" applyFont="1" applyBorder="1" applyAlignment="1">
      <alignment horizontal="center" vertical="center" shrinkToFit="1"/>
    </xf>
    <xf numFmtId="0" fontId="47" fillId="0" borderId="25" xfId="0" applyFont="1" applyBorder="1" applyAlignment="1">
      <alignment horizontal="center" vertical="center" shrinkToFit="1"/>
    </xf>
    <xf numFmtId="0" fontId="47" fillId="0" borderId="21" xfId="0" applyFont="1" applyBorder="1" applyAlignment="1">
      <alignment horizontal="center" vertical="center" shrinkToFit="1"/>
    </xf>
    <xf numFmtId="0" fontId="52" fillId="27" borderId="76" xfId="0" applyFont="1" applyFill="1" applyBorder="1" applyAlignment="1">
      <alignment horizontal="center" vertical="center" wrapText="1"/>
    </xf>
    <xf numFmtId="0" fontId="52" fillId="27" borderId="77" xfId="0" applyFont="1" applyFill="1" applyBorder="1" applyAlignment="1">
      <alignment horizontal="center" vertical="center" wrapText="1"/>
    </xf>
    <xf numFmtId="0" fontId="46" fillId="0" borderId="3" xfId="0" applyFont="1" applyBorder="1" applyAlignment="1">
      <alignment horizontal="center" vertical="center"/>
    </xf>
    <xf numFmtId="0" fontId="46" fillId="0" borderId="4" xfId="0" applyFont="1" applyBorder="1" applyAlignment="1">
      <alignment horizontal="center" vertical="center"/>
    </xf>
    <xf numFmtId="0" fontId="46" fillId="0" borderId="9" xfId="0" applyFont="1" applyBorder="1" applyAlignment="1">
      <alignment horizontal="center" vertical="center"/>
    </xf>
    <xf numFmtId="0" fontId="46" fillId="0" borderId="7" xfId="0" applyFont="1" applyBorder="1" applyAlignment="1">
      <alignment horizontal="center" vertical="center"/>
    </xf>
    <xf numFmtId="49" fontId="46" fillId="29" borderId="28" xfId="0" applyNumberFormat="1" applyFont="1" applyFill="1" applyBorder="1" applyAlignment="1">
      <alignment horizontal="left" vertical="center"/>
    </xf>
    <xf numFmtId="49" fontId="46" fillId="29" borderId="52" xfId="0" applyNumberFormat="1" applyFont="1" applyFill="1" applyBorder="1" applyAlignment="1">
      <alignment horizontal="left" vertical="center"/>
    </xf>
    <xf numFmtId="49" fontId="46" fillId="29" borderId="10" xfId="0" applyNumberFormat="1" applyFont="1" applyFill="1" applyBorder="1" applyAlignment="1">
      <alignment horizontal="left" vertical="center"/>
    </xf>
    <xf numFmtId="0" fontId="46" fillId="29" borderId="28" xfId="0" applyFont="1" applyFill="1" applyBorder="1" applyAlignment="1">
      <alignment horizontal="left" vertical="center"/>
    </xf>
    <xf numFmtId="0" fontId="46" fillId="29" borderId="52" xfId="0" applyFont="1" applyFill="1" applyBorder="1" applyAlignment="1">
      <alignment horizontal="left" vertical="center"/>
    </xf>
    <xf numFmtId="0" fontId="46" fillId="29" borderId="10" xfId="0" applyFont="1" applyFill="1" applyBorder="1" applyAlignment="1">
      <alignment horizontal="left" vertical="center"/>
    </xf>
    <xf numFmtId="49" fontId="46" fillId="29" borderId="31" xfId="0" applyNumberFormat="1" applyFont="1" applyFill="1" applyBorder="1" applyAlignment="1">
      <alignment horizontal="left" vertical="center"/>
    </xf>
    <xf numFmtId="49" fontId="46" fillId="29" borderId="53" xfId="0" applyNumberFormat="1" applyFont="1" applyFill="1" applyBorder="1" applyAlignment="1">
      <alignment horizontal="left" vertical="center"/>
    </xf>
    <xf numFmtId="49" fontId="46" fillId="29" borderId="32" xfId="0" applyNumberFormat="1" applyFont="1" applyFill="1" applyBorder="1" applyAlignment="1">
      <alignment horizontal="left" vertical="center"/>
    </xf>
    <xf numFmtId="0" fontId="37" fillId="0" borderId="9" xfId="89" applyFill="1" applyBorder="1" applyAlignment="1" applyProtection="1">
      <alignment horizontal="center" vertical="center" shrinkToFit="1"/>
    </xf>
    <xf numFmtId="0" fontId="37" fillId="0" borderId="7" xfId="89" applyFill="1" applyBorder="1" applyAlignment="1" applyProtection="1">
      <alignment horizontal="center" vertical="center" shrinkToFi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9" xfId="0" applyFont="1" applyBorder="1" applyAlignment="1">
      <alignment horizontal="left" vertical="center"/>
    </xf>
    <xf numFmtId="0" fontId="0" fillId="0" borderId="7" xfId="0" applyFont="1" applyBorder="1" applyAlignment="1">
      <alignment horizontal="left" vertical="center"/>
    </xf>
    <xf numFmtId="0" fontId="8" fillId="0" borderId="5" xfId="0" applyFont="1" applyBorder="1" applyAlignment="1">
      <alignment horizontal="left" vertical="center" wrapText="1"/>
    </xf>
    <xf numFmtId="0" fontId="43" fillId="0" borderId="2" xfId="0" applyFont="1" applyFill="1" applyBorder="1" applyAlignment="1">
      <alignment horizontal="center" vertical="center" shrinkToFit="1"/>
    </xf>
    <xf numFmtId="0" fontId="46" fillId="0" borderId="23" xfId="0" applyFont="1" applyBorder="1" applyAlignment="1">
      <alignment horizontal="center" vertical="center"/>
    </xf>
    <xf numFmtId="49" fontId="43" fillId="29" borderId="9" xfId="0" applyNumberFormat="1" applyFont="1" applyFill="1" applyBorder="1" applyAlignment="1">
      <alignment horizontal="center" vertical="center" shrinkToFit="1"/>
    </xf>
    <xf numFmtId="49" fontId="43" fillId="29" borderId="7" xfId="0" applyNumberFormat="1" applyFont="1" applyFill="1" applyBorder="1" applyAlignment="1">
      <alignment horizontal="center" vertical="center" shrinkToFit="1"/>
    </xf>
    <xf numFmtId="49" fontId="43" fillId="0" borderId="2" xfId="0" applyNumberFormat="1" applyFont="1" applyFill="1" applyBorder="1" applyAlignment="1">
      <alignment horizontal="center" vertical="center" shrinkToFit="1"/>
    </xf>
    <xf numFmtId="0" fontId="43" fillId="0" borderId="9" xfId="0" applyFont="1" applyFill="1" applyBorder="1" applyAlignment="1">
      <alignment horizontal="center" vertical="center" shrinkToFit="1"/>
    </xf>
    <xf numFmtId="0" fontId="43" fillId="0" borderId="23" xfId="0" applyFont="1" applyFill="1" applyBorder="1" applyAlignment="1">
      <alignment horizontal="center" vertical="center" shrinkToFit="1"/>
    </xf>
    <xf numFmtId="0" fontId="43" fillId="0" borderId="7" xfId="0" applyFont="1" applyFill="1" applyBorder="1" applyAlignment="1">
      <alignment horizontal="center" vertical="center" shrinkToFit="1"/>
    </xf>
    <xf numFmtId="0" fontId="46" fillId="29" borderId="9" xfId="0" applyFont="1" applyFill="1" applyBorder="1" applyAlignment="1">
      <alignment horizontal="center" vertical="center"/>
    </xf>
    <xf numFmtId="0" fontId="46" fillId="29" borderId="7" xfId="0" applyFont="1" applyFill="1" applyBorder="1" applyAlignment="1">
      <alignment horizontal="center" vertical="center"/>
    </xf>
    <xf numFmtId="0" fontId="46" fillId="0" borderId="2" xfId="0" applyFont="1" applyBorder="1" applyAlignment="1">
      <alignment horizontal="center" vertical="center"/>
    </xf>
    <xf numFmtId="0" fontId="50" fillId="0" borderId="1" xfId="0" applyFont="1" applyFill="1" applyBorder="1" applyAlignment="1">
      <alignment horizontal="center" vertical="center" shrinkToFit="1"/>
    </xf>
    <xf numFmtId="0" fontId="50" fillId="0" borderId="15" xfId="0" applyFont="1" applyFill="1" applyBorder="1" applyAlignment="1">
      <alignment horizontal="center" vertical="center" shrinkToFit="1"/>
    </xf>
    <xf numFmtId="0" fontId="50" fillId="0" borderId="24" xfId="0" applyFont="1" applyFill="1" applyBorder="1" applyAlignment="1">
      <alignment horizontal="center" vertical="center" shrinkToFit="1"/>
    </xf>
    <xf numFmtId="0" fontId="50" fillId="0" borderId="22" xfId="0" applyFont="1" applyFill="1" applyBorder="1" applyAlignment="1">
      <alignment horizontal="center" vertical="center" shrinkToFit="1"/>
    </xf>
    <xf numFmtId="0" fontId="37" fillId="0" borderId="2" xfId="89" applyBorder="1" applyAlignment="1" applyProtection="1">
      <alignment horizontal="center" vertical="center"/>
    </xf>
    <xf numFmtId="0" fontId="46" fillId="0" borderId="15" xfId="0" applyNumberFormat="1" applyFont="1" applyFill="1" applyBorder="1" applyAlignment="1">
      <alignment horizontal="center" vertical="center" shrinkToFit="1"/>
    </xf>
    <xf numFmtId="0" fontId="46" fillId="0" borderId="22" xfId="0" applyNumberFormat="1" applyFont="1" applyFill="1" applyBorder="1" applyAlignment="1">
      <alignment horizontal="center" vertical="center" shrinkToFit="1"/>
    </xf>
    <xf numFmtId="0" fontId="15" fillId="25" borderId="3" xfId="0" applyFont="1" applyFill="1" applyBorder="1" applyAlignment="1">
      <alignment horizontal="left" vertical="center" wrapText="1"/>
    </xf>
    <xf numFmtId="0" fontId="15" fillId="25" borderId="5" xfId="0" applyFont="1" applyFill="1" applyBorder="1" applyAlignment="1">
      <alignment horizontal="left" vertical="center"/>
    </xf>
    <xf numFmtId="0" fontId="46" fillId="0" borderId="9" xfId="0" applyNumberFormat="1" applyFont="1" applyFill="1" applyBorder="1" applyAlignment="1">
      <alignment horizontal="center" vertical="center" shrinkToFit="1"/>
    </xf>
    <xf numFmtId="0" fontId="46" fillId="0" borderId="23" xfId="0" applyFont="1" applyBorder="1">
      <alignment vertical="center"/>
    </xf>
    <xf numFmtId="0" fontId="46" fillId="0" borderId="7" xfId="0" applyFont="1" applyBorder="1">
      <alignment vertical="center"/>
    </xf>
    <xf numFmtId="0" fontId="47" fillId="0" borderId="3"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8" fillId="0" borderId="2" xfId="0" applyFont="1" applyBorder="1" applyAlignment="1">
      <alignment horizontal="left" vertical="center" wrapText="1"/>
    </xf>
    <xf numFmtId="0" fontId="9" fillId="0" borderId="2" xfId="0" applyFont="1" applyBorder="1" applyAlignment="1">
      <alignment horizontal="left" vertical="center" wrapText="1"/>
    </xf>
    <xf numFmtId="0" fontId="9" fillId="0" borderId="9" xfId="0" applyFont="1" applyBorder="1" applyAlignment="1">
      <alignment horizontal="left" vertical="center" wrapText="1"/>
    </xf>
    <xf numFmtId="0" fontId="47" fillId="0" borderId="9" xfId="0" applyNumberFormat="1" applyFont="1" applyFill="1" applyBorder="1" applyAlignment="1">
      <alignment horizontal="center" vertical="center" shrinkToFit="1"/>
    </xf>
    <xf numFmtId="0" fontId="47" fillId="0" borderId="7" xfId="0" applyNumberFormat="1" applyFont="1" applyFill="1" applyBorder="1" applyAlignment="1">
      <alignment horizontal="center" vertical="center" shrinkToFit="1"/>
    </xf>
    <xf numFmtId="0" fontId="4" fillId="0" borderId="0" xfId="0" applyNumberFormat="1" applyFont="1" applyBorder="1" applyAlignment="1">
      <alignment horizontal="left" vertical="top" wrapText="1" shrinkToFit="1"/>
    </xf>
    <xf numFmtId="0" fontId="37" fillId="0" borderId="4" xfId="89" applyBorder="1" applyAlignment="1" applyProtection="1">
      <alignment horizontal="center" vertical="center" shrinkToFit="1"/>
    </xf>
    <xf numFmtId="0" fontId="37" fillId="0" borderId="6" xfId="89" applyBorder="1" applyAlignment="1" applyProtection="1">
      <alignment horizontal="center" vertical="center" shrinkToFit="1"/>
    </xf>
    <xf numFmtId="0" fontId="47" fillId="0" borderId="9" xfId="0" applyFont="1" applyBorder="1" applyAlignment="1">
      <alignment horizontal="left" vertical="center" shrinkToFit="1"/>
    </xf>
    <xf numFmtId="0" fontId="47" fillId="0" borderId="8" xfId="0" applyFont="1" applyBorder="1" applyAlignment="1">
      <alignment horizontal="left" vertical="center" shrinkToFit="1"/>
    </xf>
    <xf numFmtId="0" fontId="47" fillId="0" borderId="31" xfId="0" applyNumberFormat="1" applyFont="1" applyFill="1" applyBorder="1" applyAlignment="1">
      <alignment horizontal="left" vertical="center" shrinkToFit="1"/>
    </xf>
    <xf numFmtId="0" fontId="47" fillId="0" borderId="53" xfId="0" applyNumberFormat="1" applyFont="1" applyFill="1" applyBorder="1" applyAlignment="1">
      <alignment horizontal="left" vertical="center" shrinkToFit="1"/>
    </xf>
    <xf numFmtId="0" fontId="47" fillId="0" borderId="32" xfId="0" applyNumberFormat="1" applyFont="1" applyFill="1" applyBorder="1" applyAlignment="1">
      <alignment horizontal="left" vertical="center" shrinkToFit="1"/>
    </xf>
    <xf numFmtId="0" fontId="8" fillId="0" borderId="9" xfId="0" applyFont="1" applyBorder="1" applyAlignment="1">
      <alignment horizontal="left" vertical="center" shrinkToFit="1"/>
    </xf>
    <xf numFmtId="0" fontId="8" fillId="0" borderId="8" xfId="0" applyFont="1" applyBorder="1" applyAlignment="1">
      <alignment horizontal="left" vertical="center" shrinkToFit="1"/>
    </xf>
    <xf numFmtId="0" fontId="8" fillId="25" borderId="6" xfId="0" applyFont="1" applyFill="1" applyBorder="1" applyAlignment="1">
      <alignment horizontal="left" vertical="center" wrapText="1" shrinkToFit="1"/>
    </xf>
    <xf numFmtId="0" fontId="8" fillId="25" borderId="7" xfId="0" applyFont="1" applyFill="1" applyBorder="1" applyAlignment="1">
      <alignment horizontal="left" vertical="center" wrapText="1" shrinkToFit="1"/>
    </xf>
    <xf numFmtId="0" fontId="37" fillId="0" borderId="9" xfId="89" applyBorder="1" applyAlignment="1" applyProtection="1">
      <alignment horizontal="center" vertical="center" shrinkToFit="1"/>
    </xf>
    <xf numFmtId="0" fontId="37" fillId="0" borderId="23" xfId="89" applyBorder="1" applyAlignment="1" applyProtection="1">
      <alignment horizontal="center" vertical="center" shrinkToFit="1"/>
    </xf>
    <xf numFmtId="0" fontId="37" fillId="0" borderId="7" xfId="89" applyBorder="1" applyAlignment="1" applyProtection="1">
      <alignment horizontal="center" vertical="center" shrinkToFit="1"/>
    </xf>
    <xf numFmtId="0" fontId="37" fillId="0" borderId="17" xfId="89" applyBorder="1" applyAlignment="1" applyProtection="1">
      <alignment horizontal="center" vertical="center" shrinkToFit="1"/>
    </xf>
    <xf numFmtId="0" fontId="37" fillId="0" borderId="16" xfId="89" applyBorder="1" applyAlignment="1" applyProtection="1">
      <alignment horizontal="center" vertical="center" shrinkToFit="1"/>
    </xf>
    <xf numFmtId="0" fontId="8" fillId="29" borderId="76" xfId="0" applyFont="1" applyFill="1" applyBorder="1" applyAlignment="1">
      <alignment horizontal="center" vertical="center"/>
    </xf>
    <xf numFmtId="0" fontId="8" fillId="29" borderId="77" xfId="0" applyFont="1" applyFill="1" applyBorder="1" applyAlignment="1">
      <alignment horizontal="center" vertical="center"/>
    </xf>
    <xf numFmtId="0" fontId="8" fillId="29" borderId="95" xfId="0" applyFont="1" applyFill="1" applyBorder="1" applyAlignment="1">
      <alignment horizontal="center" vertical="center"/>
    </xf>
    <xf numFmtId="0" fontId="47" fillId="0" borderId="27" xfId="0" applyNumberFormat="1" applyFont="1" applyFill="1" applyBorder="1" applyAlignment="1">
      <alignment horizontal="left" vertical="center" wrapText="1" shrinkToFit="1"/>
    </xf>
    <xf numFmtId="0" fontId="47" fillId="0" borderId="51" xfId="0" applyNumberFormat="1" applyFont="1" applyFill="1" applyBorder="1" applyAlignment="1">
      <alignment horizontal="left" vertical="center" shrinkToFit="1"/>
    </xf>
    <xf numFmtId="0" fontId="47" fillId="0" borderId="12" xfId="0" applyNumberFormat="1" applyFont="1" applyFill="1" applyBorder="1" applyAlignment="1">
      <alignment horizontal="left" vertical="center" shrinkToFit="1"/>
    </xf>
    <xf numFmtId="0" fontId="47" fillId="0" borderId="28" xfId="0" applyNumberFormat="1" applyFont="1" applyFill="1" applyBorder="1" applyAlignment="1">
      <alignment horizontal="left" vertical="center" wrapText="1" shrinkToFit="1"/>
    </xf>
    <xf numFmtId="0" fontId="47" fillId="0" borderId="52" xfId="0" applyNumberFormat="1" applyFont="1" applyFill="1" applyBorder="1" applyAlignment="1">
      <alignment horizontal="left" vertical="center" wrapText="1" shrinkToFit="1"/>
    </xf>
    <xf numFmtId="0" fontId="47" fillId="0" borderId="10" xfId="0" applyNumberFormat="1" applyFont="1" applyFill="1" applyBorder="1" applyAlignment="1">
      <alignment horizontal="left" vertical="center" wrapText="1" shrinkToFit="1"/>
    </xf>
    <xf numFmtId="0" fontId="47" fillId="0" borderId="51" xfId="0" applyNumberFormat="1" applyFont="1" applyFill="1" applyBorder="1" applyAlignment="1">
      <alignment horizontal="left" vertical="center" wrapText="1" shrinkToFit="1"/>
    </xf>
    <xf numFmtId="0" fontId="47" fillId="0" borderId="12" xfId="0" applyNumberFormat="1" applyFont="1" applyFill="1" applyBorder="1" applyAlignment="1">
      <alignment horizontal="left" vertical="center" wrapText="1" shrinkToFit="1"/>
    </xf>
    <xf numFmtId="0" fontId="47" fillId="0" borderId="28" xfId="0" applyNumberFormat="1" applyFont="1" applyFill="1" applyBorder="1" applyAlignment="1">
      <alignment horizontal="left" vertical="center" shrinkToFit="1"/>
    </xf>
    <xf numFmtId="0" fontId="47" fillId="0" borderId="52" xfId="0" applyNumberFormat="1" applyFont="1" applyFill="1" applyBorder="1" applyAlignment="1">
      <alignment horizontal="left" vertical="center" shrinkToFit="1"/>
    </xf>
    <xf numFmtId="0" fontId="47" fillId="0" borderId="10" xfId="0" applyNumberFormat="1" applyFont="1" applyFill="1" applyBorder="1" applyAlignment="1">
      <alignment horizontal="left" vertical="center" shrinkToFit="1"/>
    </xf>
    <xf numFmtId="0" fontId="7" fillId="0" borderId="0" xfId="0" applyNumberFormat="1" applyFont="1" applyFill="1" applyBorder="1" applyAlignment="1">
      <alignment horizontal="center" vertical="center" shrinkToFit="1"/>
    </xf>
    <xf numFmtId="0" fontId="47" fillId="0" borderId="25" xfId="0" applyNumberFormat="1" applyFont="1" applyFill="1" applyBorder="1" applyAlignment="1">
      <alignment horizontal="left" vertical="center" wrapText="1" shrinkToFit="1"/>
    </xf>
    <xf numFmtId="0" fontId="47" fillId="0" borderId="26" xfId="0" applyNumberFormat="1" applyFont="1" applyFill="1" applyBorder="1" applyAlignment="1">
      <alignment horizontal="left" vertical="center" shrinkToFit="1"/>
    </xf>
    <xf numFmtId="0" fontId="47" fillId="0" borderId="21" xfId="0" applyNumberFormat="1" applyFont="1" applyFill="1" applyBorder="1" applyAlignment="1">
      <alignment horizontal="left" vertical="center" shrinkToFit="1"/>
    </xf>
    <xf numFmtId="0" fontId="9" fillId="0" borderId="0" xfId="0" applyFont="1" applyBorder="1" applyAlignment="1">
      <alignment horizontal="center" vertical="center"/>
    </xf>
    <xf numFmtId="0" fontId="0" fillId="0" borderId="0" xfId="0" applyNumberFormat="1" applyFill="1" applyBorder="1" applyAlignment="1">
      <alignment horizontal="center" vertical="center" wrapText="1"/>
    </xf>
    <xf numFmtId="0" fontId="0" fillId="0" borderId="0" xfId="0" applyBorder="1" applyAlignment="1">
      <alignment horizontal="center" vertical="center"/>
    </xf>
    <xf numFmtId="0" fontId="9" fillId="0" borderId="0" xfId="0" applyNumberFormat="1" applyFont="1" applyFill="1" applyBorder="1" applyAlignment="1">
      <alignment horizontal="center" vertical="center" wrapText="1" shrinkToFit="1"/>
    </xf>
    <xf numFmtId="0" fontId="9" fillId="0" borderId="0" xfId="0" applyNumberFormat="1" applyFont="1" applyFill="1" applyBorder="1" applyAlignment="1">
      <alignment horizontal="center" vertical="center" shrinkToFit="1"/>
    </xf>
    <xf numFmtId="0" fontId="9" fillId="0" borderId="0" xfId="0" applyFont="1" applyFill="1" applyBorder="1" applyAlignment="1">
      <alignment horizontal="center" vertical="center" shrinkToFit="1"/>
    </xf>
    <xf numFmtId="0" fontId="5" fillId="0" borderId="0" xfId="0" applyNumberFormat="1" applyFont="1" applyBorder="1" applyAlignment="1">
      <alignment horizontal="center" vertical="center" shrinkToFit="1"/>
    </xf>
    <xf numFmtId="0" fontId="47" fillId="0" borderId="1" xfId="0" applyFont="1" applyFill="1" applyBorder="1" applyAlignment="1">
      <alignment horizontal="center" vertical="center" wrapText="1" shrinkToFit="1"/>
    </xf>
    <xf numFmtId="0" fontId="47" fillId="0" borderId="15" xfId="0" applyFont="1" applyFill="1" applyBorder="1" applyAlignment="1">
      <alignment horizontal="center" vertical="center" wrapText="1" shrinkToFit="1"/>
    </xf>
    <xf numFmtId="0" fontId="47" fillId="0" borderId="13" xfId="0" applyFont="1" applyFill="1" applyBorder="1" applyAlignment="1">
      <alignment horizontal="center" vertical="center" wrapText="1" shrinkToFit="1"/>
    </xf>
    <xf numFmtId="0" fontId="47" fillId="0" borderId="14" xfId="0" applyFont="1" applyFill="1" applyBorder="1" applyAlignment="1">
      <alignment horizontal="center" vertical="center" wrapText="1" shrinkToFit="1"/>
    </xf>
    <xf numFmtId="0" fontId="47" fillId="0" borderId="24" xfId="0" applyFont="1" applyFill="1" applyBorder="1" applyAlignment="1">
      <alignment horizontal="center" vertical="center" wrapText="1" shrinkToFit="1"/>
    </xf>
    <xf numFmtId="0" fontId="47" fillId="0" borderId="22" xfId="0" applyFont="1" applyFill="1" applyBorder="1" applyAlignment="1">
      <alignment horizontal="center" vertical="center" wrapText="1" shrinkToFit="1"/>
    </xf>
    <xf numFmtId="0" fontId="47" fillId="0" borderId="1" xfId="0" applyFont="1" applyFill="1" applyBorder="1" applyAlignment="1">
      <alignment horizontal="center" vertical="center" shrinkToFit="1"/>
    </xf>
    <xf numFmtId="0" fontId="47" fillId="0" borderId="15" xfId="0" applyFont="1" applyFill="1" applyBorder="1" applyAlignment="1">
      <alignment horizontal="center" vertical="center" shrinkToFit="1"/>
    </xf>
    <xf numFmtId="0" fontId="47" fillId="0" borderId="25" xfId="0" applyNumberFormat="1" applyFont="1" applyFill="1" applyBorder="1" applyAlignment="1">
      <alignment horizontal="left" vertical="center" shrinkToFit="1"/>
    </xf>
    <xf numFmtId="0" fontId="47" fillId="0" borderId="25" xfId="0" applyFont="1" applyFill="1" applyBorder="1" applyAlignment="1">
      <alignment horizontal="center" vertical="center" shrinkToFit="1"/>
    </xf>
    <xf numFmtId="0" fontId="47" fillId="0" borderId="21" xfId="0" applyFont="1" applyFill="1" applyBorder="1" applyAlignment="1">
      <alignment horizontal="center" vertical="center" shrinkToFit="1"/>
    </xf>
    <xf numFmtId="0" fontId="41" fillId="0" borderId="9" xfId="0" applyFont="1" applyFill="1" applyBorder="1" applyAlignment="1">
      <alignment horizontal="center" vertical="center" wrapText="1"/>
    </xf>
    <xf numFmtId="0" fontId="41" fillId="0" borderId="23" xfId="0" applyFont="1" applyFill="1" applyBorder="1" applyAlignment="1">
      <alignment horizontal="center" vertical="center" wrapText="1"/>
    </xf>
    <xf numFmtId="0" fontId="41" fillId="0" borderId="7" xfId="0" applyFont="1" applyFill="1" applyBorder="1" applyAlignment="1">
      <alignment horizontal="center" vertical="center" wrapText="1"/>
    </xf>
    <xf numFmtId="0" fontId="41" fillId="0" borderId="2" xfId="0" applyFont="1" applyFill="1" applyBorder="1" applyAlignment="1">
      <alignment horizontal="center" vertical="center" wrapText="1"/>
    </xf>
    <xf numFmtId="0" fontId="47" fillId="0" borderId="2" xfId="0" applyFont="1" applyFill="1" applyBorder="1" applyAlignment="1">
      <alignment horizontal="center" vertical="center" shrinkToFit="1"/>
    </xf>
    <xf numFmtId="0" fontId="8" fillId="0" borderId="3" xfId="0" applyFont="1" applyBorder="1" applyAlignment="1">
      <alignment horizontal="left" vertical="center" shrinkToFit="1"/>
    </xf>
    <xf numFmtId="0" fontId="8" fillId="0" borderId="4" xfId="0" applyFont="1" applyBorder="1" applyAlignment="1">
      <alignment horizontal="left" vertical="center" shrinkToFit="1"/>
    </xf>
    <xf numFmtId="0" fontId="37" fillId="0" borderId="3" xfId="89" applyBorder="1" applyAlignment="1" applyProtection="1">
      <alignment horizontal="center" vertical="center" shrinkToFit="1"/>
    </xf>
    <xf numFmtId="0" fontId="37" fillId="0" borderId="5" xfId="89" applyBorder="1" applyAlignment="1" applyProtection="1">
      <alignment horizontal="center" vertical="center" shrinkToFit="1"/>
    </xf>
    <xf numFmtId="0" fontId="47" fillId="0" borderId="4" xfId="0" applyNumberFormat="1" applyFont="1" applyFill="1" applyBorder="1" applyAlignment="1">
      <alignment horizontal="left" vertical="center" wrapText="1" shrinkToFit="1"/>
    </xf>
    <xf numFmtId="0" fontId="47" fillId="0" borderId="4" xfId="0" applyNumberFormat="1" applyFont="1" applyFill="1" applyBorder="1" applyAlignment="1">
      <alignment horizontal="left" vertical="center" shrinkToFit="1"/>
    </xf>
    <xf numFmtId="0" fontId="8" fillId="25" borderId="4" xfId="0" applyFont="1" applyFill="1" applyBorder="1" applyAlignment="1">
      <alignment horizontal="left" vertical="center" wrapText="1" shrinkToFit="1"/>
    </xf>
    <xf numFmtId="0" fontId="8" fillId="25" borderId="5" xfId="0" applyFont="1" applyFill="1" applyBorder="1" applyAlignment="1">
      <alignment horizontal="left" vertical="center" shrinkToFit="1"/>
    </xf>
    <xf numFmtId="0" fontId="47" fillId="0" borderId="5" xfId="0" applyNumberFormat="1" applyFont="1" applyFill="1" applyBorder="1" applyAlignment="1">
      <alignment horizontal="left" vertical="center" shrinkToFit="1"/>
    </xf>
    <xf numFmtId="0" fontId="41" fillId="0" borderId="3" xfId="0" applyFont="1" applyFill="1" applyBorder="1" applyAlignment="1">
      <alignment horizontal="center" vertical="center" wrapText="1"/>
    </xf>
    <xf numFmtId="0" fontId="41" fillId="0" borderId="4" xfId="0" applyFont="1" applyFill="1" applyBorder="1" applyAlignment="1">
      <alignment horizontal="center" vertical="center" wrapText="1"/>
    </xf>
    <xf numFmtId="0" fontId="41" fillId="0" borderId="5" xfId="0" applyFont="1" applyFill="1" applyBorder="1" applyAlignment="1">
      <alignment horizontal="center" vertical="center" wrapText="1"/>
    </xf>
    <xf numFmtId="0" fontId="47" fillId="0" borderId="3" xfId="0" applyFont="1" applyFill="1" applyBorder="1" applyAlignment="1">
      <alignment horizontal="center" vertical="center" wrapText="1" shrinkToFit="1"/>
    </xf>
    <xf numFmtId="0" fontId="47" fillId="0" borderId="4" xfId="0" applyFont="1" applyFill="1" applyBorder="1" applyAlignment="1">
      <alignment horizontal="center" vertical="center" wrapText="1" shrinkToFit="1"/>
    </xf>
    <xf numFmtId="0" fontId="47" fillId="0" borderId="5" xfId="0" applyFont="1" applyFill="1" applyBorder="1" applyAlignment="1">
      <alignment horizontal="center" vertical="center" wrapText="1" shrinkToFit="1"/>
    </xf>
    <xf numFmtId="0" fontId="38" fillId="0" borderId="1" xfId="0" applyFont="1" applyBorder="1" applyAlignment="1">
      <alignment horizontal="left" vertical="top" shrinkToFit="1"/>
    </xf>
    <xf numFmtId="0" fontId="38" fillId="0" borderId="20" xfId="0" applyFont="1" applyBorder="1" applyAlignment="1">
      <alignment horizontal="left" vertical="top" shrinkToFit="1"/>
    </xf>
    <xf numFmtId="0" fontId="38" fillId="0" borderId="15" xfId="0" applyFont="1" applyBorder="1" applyAlignment="1">
      <alignment horizontal="left" vertical="top" shrinkToFit="1"/>
    </xf>
    <xf numFmtId="0" fontId="38" fillId="0" borderId="13" xfId="0" applyFont="1" applyBorder="1" applyAlignment="1">
      <alignment horizontal="left" vertical="top" shrinkToFit="1"/>
    </xf>
    <xf numFmtId="0" fontId="38" fillId="0" borderId="0" xfId="0" applyFont="1" applyBorder="1" applyAlignment="1">
      <alignment horizontal="left" vertical="top" shrinkToFit="1"/>
    </xf>
    <xf numFmtId="0" fontId="38" fillId="0" borderId="14" xfId="0" applyFont="1" applyBorder="1" applyAlignment="1">
      <alignment horizontal="left" vertical="top" shrinkToFit="1"/>
    </xf>
    <xf numFmtId="0" fontId="38" fillId="0" borderId="24" xfId="0" applyFont="1" applyBorder="1" applyAlignment="1">
      <alignment horizontal="left" vertical="top" shrinkToFit="1"/>
    </xf>
    <xf numFmtId="0" fontId="38" fillId="0" borderId="50" xfId="0" applyFont="1" applyBorder="1" applyAlignment="1">
      <alignment horizontal="left" vertical="top" shrinkToFit="1"/>
    </xf>
    <xf numFmtId="0" fontId="38" fillId="0" borderId="22" xfId="0" applyFont="1" applyBorder="1" applyAlignment="1">
      <alignment horizontal="left" vertical="top" shrinkToFit="1"/>
    </xf>
    <xf numFmtId="0" fontId="46" fillId="0" borderId="25" xfId="0" applyFont="1" applyBorder="1" applyAlignment="1">
      <alignment horizontal="center" vertical="center"/>
    </xf>
    <xf numFmtId="0" fontId="46" fillId="0" borderId="26" xfId="0" applyFont="1" applyBorder="1" applyAlignment="1">
      <alignment horizontal="center" vertical="center"/>
    </xf>
    <xf numFmtId="0" fontId="46" fillId="0" borderId="21" xfId="0" applyFont="1" applyBorder="1" applyAlignment="1">
      <alignment horizontal="center" vertical="center"/>
    </xf>
    <xf numFmtId="0" fontId="47" fillId="0" borderId="12" xfId="0" applyFont="1" applyFill="1" applyBorder="1" applyAlignment="1">
      <alignment horizontal="center" vertical="center" wrapText="1" shrinkToFit="1"/>
    </xf>
    <xf numFmtId="0" fontId="47" fillId="0" borderId="10" xfId="0" applyFont="1" applyFill="1" applyBorder="1" applyAlignment="1">
      <alignment horizontal="center" vertical="center" shrinkToFit="1"/>
    </xf>
    <xf numFmtId="0" fontId="47" fillId="0" borderId="29" xfId="0" applyFont="1" applyFill="1" applyBorder="1" applyAlignment="1">
      <alignment horizontal="center" vertical="center" shrinkToFit="1"/>
    </xf>
    <xf numFmtId="0" fontId="47" fillId="0" borderId="9" xfId="0" applyFont="1" applyFill="1" applyBorder="1" applyAlignment="1">
      <alignment horizontal="center" vertical="center" shrinkToFit="1"/>
    </xf>
    <xf numFmtId="0" fontId="47" fillId="0" borderId="23" xfId="0" applyFont="1" applyFill="1" applyBorder="1" applyAlignment="1">
      <alignment horizontal="center" vertical="center" shrinkToFit="1"/>
    </xf>
    <xf numFmtId="0" fontId="47" fillId="0" borderId="7" xfId="0" applyFont="1" applyFill="1" applyBorder="1" applyAlignment="1">
      <alignment horizontal="center" vertical="center" shrinkToFit="1"/>
    </xf>
    <xf numFmtId="0" fontId="32" fillId="0" borderId="25" xfId="0" applyFont="1" applyBorder="1" applyAlignment="1">
      <alignment horizontal="left" vertical="center" wrapText="1"/>
    </xf>
    <xf numFmtId="0" fontId="32" fillId="0" borderId="26" xfId="0" applyFont="1" applyBorder="1" applyAlignment="1">
      <alignment horizontal="left" vertical="center" wrapText="1"/>
    </xf>
    <xf numFmtId="0" fontId="32" fillId="0" borderId="21" xfId="0" applyFont="1" applyBorder="1" applyAlignment="1">
      <alignment horizontal="left" vertical="center" wrapText="1"/>
    </xf>
    <xf numFmtId="0" fontId="8" fillId="0" borderId="76" xfId="0" applyFont="1" applyBorder="1" applyAlignment="1">
      <alignment horizontal="center" vertical="center"/>
    </xf>
    <xf numFmtId="0" fontId="8" fillId="0" borderId="77" xfId="0" applyFont="1" applyBorder="1" applyAlignment="1">
      <alignment horizontal="center" vertical="center"/>
    </xf>
    <xf numFmtId="0" fontId="8" fillId="0" borderId="95" xfId="0" applyFont="1" applyBorder="1" applyAlignment="1">
      <alignment horizontal="center" vertical="center"/>
    </xf>
    <xf numFmtId="0" fontId="52" fillId="33" borderId="76" xfId="0" applyFont="1" applyFill="1" applyBorder="1" applyAlignment="1">
      <alignment horizontal="center" vertical="center" wrapText="1"/>
    </xf>
    <xf numFmtId="0" fontId="52" fillId="33" borderId="77" xfId="0" applyFont="1" applyFill="1" applyBorder="1" applyAlignment="1">
      <alignment horizontal="center" vertical="center" wrapText="1"/>
    </xf>
    <xf numFmtId="0" fontId="46" fillId="0" borderId="78" xfId="0" applyNumberFormat="1" applyFont="1" applyFill="1" applyBorder="1" applyAlignment="1">
      <alignment horizontal="left" vertical="center" shrinkToFit="1"/>
    </xf>
    <xf numFmtId="0" fontId="46" fillId="0" borderId="79" xfId="0" applyNumberFormat="1" applyFont="1" applyFill="1" applyBorder="1" applyAlignment="1">
      <alignment horizontal="left" vertical="center" shrinkToFit="1"/>
    </xf>
    <xf numFmtId="0" fontId="46" fillId="0" borderId="80" xfId="0" applyNumberFormat="1" applyFont="1" applyFill="1" applyBorder="1" applyAlignment="1">
      <alignment horizontal="left" vertical="center" shrinkToFit="1"/>
    </xf>
    <xf numFmtId="0" fontId="46" fillId="0" borderId="2" xfId="0" applyNumberFormat="1" applyFont="1" applyFill="1" applyBorder="1" applyAlignment="1">
      <alignment horizontal="center" vertical="center" wrapText="1"/>
    </xf>
    <xf numFmtId="0" fontId="46" fillId="0" borderId="2" xfId="0" applyNumberFormat="1" applyFont="1" applyFill="1" applyBorder="1" applyAlignment="1">
      <alignment horizontal="center" vertical="center" wrapText="1" shrinkToFit="1"/>
    </xf>
    <xf numFmtId="0" fontId="46" fillId="0" borderId="2" xfId="0" applyNumberFormat="1" applyFont="1" applyFill="1" applyBorder="1" applyAlignment="1">
      <alignment horizontal="center" vertical="center" shrinkToFit="1"/>
    </xf>
    <xf numFmtId="0" fontId="47" fillId="0" borderId="3" xfId="0" applyNumberFormat="1" applyFont="1" applyFill="1" applyBorder="1" applyAlignment="1">
      <alignment horizontal="center" vertical="center" wrapText="1" shrinkToFit="1"/>
    </xf>
    <xf numFmtId="0" fontId="47" fillId="0" borderId="4" xfId="0" applyFont="1" applyBorder="1">
      <alignment vertical="center"/>
    </xf>
    <xf numFmtId="0" fontId="47" fillId="0" borderId="5" xfId="0" applyFont="1" applyBorder="1">
      <alignment vertical="center"/>
    </xf>
    <xf numFmtId="0" fontId="46" fillId="0" borderId="3" xfId="0" applyNumberFormat="1" applyFont="1" applyFill="1" applyBorder="1" applyAlignment="1">
      <alignment horizontal="center" vertical="center" wrapText="1" shrinkToFit="1"/>
    </xf>
    <xf numFmtId="0" fontId="46" fillId="0" borderId="4" xfId="0" applyNumberFormat="1" applyFont="1" applyFill="1" applyBorder="1" applyAlignment="1">
      <alignment horizontal="center" vertical="center" wrapText="1" shrinkToFit="1"/>
    </xf>
    <xf numFmtId="0" fontId="46" fillId="0" borderId="5" xfId="0" applyNumberFormat="1" applyFont="1" applyFill="1" applyBorder="1" applyAlignment="1">
      <alignment horizontal="center" vertical="center" wrapText="1" shrinkToFit="1"/>
    </xf>
    <xf numFmtId="0" fontId="46" fillId="0" borderId="2" xfId="0" applyNumberFormat="1" applyFont="1" applyBorder="1" applyAlignment="1">
      <alignment horizontal="center" vertical="center" wrapText="1" shrinkToFit="1"/>
    </xf>
    <xf numFmtId="0" fontId="46" fillId="33" borderId="28" xfId="0" applyNumberFormat="1" applyFont="1" applyFill="1" applyBorder="1" applyAlignment="1">
      <alignment horizontal="left" vertical="center" shrinkToFit="1"/>
    </xf>
    <xf numFmtId="0" fontId="46" fillId="33" borderId="52" xfId="0" applyNumberFormat="1" applyFont="1" applyFill="1" applyBorder="1" applyAlignment="1">
      <alignment horizontal="left" vertical="center" shrinkToFit="1"/>
    </xf>
    <xf numFmtId="0" fontId="46" fillId="33" borderId="10" xfId="0" applyNumberFormat="1" applyFont="1" applyFill="1" applyBorder="1" applyAlignment="1">
      <alignment horizontal="left" vertical="center" shrinkToFit="1"/>
    </xf>
    <xf numFmtId="49" fontId="41" fillId="30" borderId="25" xfId="0" applyNumberFormat="1" applyFont="1" applyFill="1" applyBorder="1" applyAlignment="1">
      <alignment horizontal="center" vertical="center" shrinkToFit="1"/>
    </xf>
    <xf numFmtId="49" fontId="41" fillId="30" borderId="26" xfId="0" applyNumberFormat="1" applyFont="1" applyFill="1" applyBorder="1" applyAlignment="1">
      <alignment horizontal="center" vertical="center" shrinkToFit="1"/>
    </xf>
    <xf numFmtId="49" fontId="41" fillId="30" borderId="21" xfId="0" applyNumberFormat="1" applyFont="1" applyFill="1" applyBorder="1" applyAlignment="1">
      <alignment horizontal="center" vertical="center" shrinkToFit="1"/>
    </xf>
    <xf numFmtId="0" fontId="41" fillId="30" borderId="9" xfId="0" applyFont="1" applyFill="1" applyBorder="1" applyAlignment="1">
      <alignment horizontal="center" vertical="center" shrinkToFit="1"/>
    </xf>
    <xf numFmtId="0" fontId="41" fillId="30" borderId="7" xfId="0" applyFont="1" applyFill="1" applyBorder="1" applyAlignment="1">
      <alignment horizontal="center" vertical="center" shrinkToFit="1"/>
    </xf>
    <xf numFmtId="0" fontId="41" fillId="2" borderId="25" xfId="0" applyFont="1" applyFill="1" applyBorder="1" applyAlignment="1">
      <alignment horizontal="center" vertical="center" shrinkToFit="1"/>
    </xf>
    <xf numFmtId="0" fontId="41" fillId="2" borderId="21" xfId="0" applyFont="1" applyFill="1" applyBorder="1" applyAlignment="1">
      <alignment horizontal="center" vertical="center" shrinkToFit="1"/>
    </xf>
    <xf numFmtId="0" fontId="42" fillId="0" borderId="9" xfId="0" applyNumberFormat="1" applyFont="1" applyBorder="1" applyAlignment="1">
      <alignment horizontal="center" vertical="center" shrinkToFit="1"/>
    </xf>
    <xf numFmtId="0" fontId="42" fillId="0" borderId="23" xfId="0" applyNumberFormat="1" applyFont="1" applyBorder="1" applyAlignment="1">
      <alignment horizontal="center" vertical="center" shrinkToFit="1"/>
    </xf>
    <xf numFmtId="0" fontId="42" fillId="0" borderId="8" xfId="0" applyNumberFormat="1" applyFont="1" applyBorder="1" applyAlignment="1">
      <alignment horizontal="center" vertical="center" shrinkToFit="1"/>
    </xf>
    <xf numFmtId="0" fontId="42" fillId="0" borderId="9" xfId="0" applyFont="1" applyBorder="1" applyAlignment="1">
      <alignment horizontal="center" vertical="center"/>
    </xf>
    <xf numFmtId="0" fontId="42" fillId="0" borderId="7" xfId="0" applyFont="1" applyBorder="1" applyAlignment="1">
      <alignment horizontal="center" vertical="center"/>
    </xf>
    <xf numFmtId="0" fontId="46" fillId="0" borderId="0" xfId="0" applyNumberFormat="1" applyFont="1" applyFill="1" applyBorder="1" applyAlignment="1">
      <alignment horizontal="center" vertical="center" shrinkToFit="1"/>
    </xf>
    <xf numFmtId="0" fontId="46" fillId="0" borderId="6" xfId="0" applyFont="1" applyBorder="1" applyAlignment="1">
      <alignment horizontal="left" vertical="center" wrapText="1"/>
    </xf>
    <xf numFmtId="0" fontId="0" fillId="0" borderId="7" xfId="0" applyBorder="1" applyAlignment="1">
      <alignment horizontal="center" vertical="center"/>
    </xf>
    <xf numFmtId="0" fontId="46" fillId="33" borderId="31" xfId="0" applyNumberFormat="1" applyFont="1" applyFill="1" applyBorder="1" applyAlignment="1">
      <alignment horizontal="left" vertical="center" shrinkToFit="1"/>
    </xf>
    <xf numFmtId="0" fontId="46" fillId="33" borderId="53" xfId="0" applyNumberFormat="1" applyFont="1" applyFill="1" applyBorder="1" applyAlignment="1">
      <alignment horizontal="left" vertical="center" shrinkToFit="1"/>
    </xf>
    <xf numFmtId="0" fontId="46" fillId="33" borderId="32" xfId="0" applyNumberFormat="1" applyFont="1" applyFill="1" applyBorder="1" applyAlignment="1">
      <alignment horizontal="left" vertical="center" shrinkToFit="1"/>
    </xf>
    <xf numFmtId="0" fontId="8" fillId="0" borderId="0" xfId="0" applyFont="1" applyBorder="1" applyAlignment="1">
      <alignment horizontal="left" vertical="center" wrapText="1"/>
    </xf>
    <xf numFmtId="0" fontId="0" fillId="0" borderId="0" xfId="0" applyFont="1" applyBorder="1" applyAlignment="1">
      <alignment horizontal="left" vertical="center"/>
    </xf>
    <xf numFmtId="0" fontId="42" fillId="0" borderId="3" xfId="0" applyNumberFormat="1" applyFont="1" applyBorder="1" applyAlignment="1">
      <alignment horizontal="center" vertical="center" shrinkToFit="1"/>
    </xf>
    <xf numFmtId="0" fontId="42" fillId="0" borderId="4" xfId="0" applyNumberFormat="1" applyFont="1" applyBorder="1" applyAlignment="1">
      <alignment horizontal="center" vertical="center" shrinkToFit="1"/>
    </xf>
    <xf numFmtId="0" fontId="42" fillId="0" borderId="5" xfId="0" applyNumberFormat="1" applyFont="1" applyBorder="1" applyAlignment="1">
      <alignment horizontal="center" vertical="center" shrinkToFit="1"/>
    </xf>
    <xf numFmtId="0" fontId="49" fillId="0" borderId="2" xfId="89" applyFont="1" applyBorder="1" applyAlignment="1" applyProtection="1">
      <alignment horizontal="center" vertical="center"/>
    </xf>
    <xf numFmtId="0" fontId="47" fillId="0" borderId="2" xfId="0" applyFont="1" applyBorder="1" applyAlignment="1">
      <alignment horizontal="left" vertical="center" wrapText="1"/>
    </xf>
    <xf numFmtId="0" fontId="47" fillId="0" borderId="9" xfId="0" applyFont="1" applyBorder="1" applyAlignment="1">
      <alignment horizontal="left" vertical="center" wrapText="1"/>
    </xf>
    <xf numFmtId="0" fontId="46" fillId="0" borderId="27" xfId="0" applyNumberFormat="1" applyFont="1" applyFill="1" applyBorder="1" applyAlignment="1">
      <alignment horizontal="left" vertical="center" shrinkToFit="1"/>
    </xf>
    <xf numFmtId="0" fontId="46" fillId="0" borderId="51" xfId="0" applyNumberFormat="1" applyFont="1" applyFill="1" applyBorder="1" applyAlignment="1">
      <alignment horizontal="left" vertical="center" shrinkToFit="1"/>
    </xf>
    <xf numFmtId="0" fontId="46" fillId="0" borderId="12" xfId="0" applyNumberFormat="1" applyFont="1" applyFill="1" applyBorder="1" applyAlignment="1">
      <alignment horizontal="left" vertical="center" shrinkToFit="1"/>
    </xf>
    <xf numFmtId="0" fontId="46" fillId="0" borderId="28" xfId="0" applyNumberFormat="1" applyFont="1" applyFill="1" applyBorder="1" applyAlignment="1">
      <alignment horizontal="left" vertical="center" shrinkToFit="1"/>
    </xf>
    <xf numFmtId="0" fontId="46" fillId="0" borderId="52" xfId="0" applyNumberFormat="1" applyFont="1" applyFill="1" applyBorder="1" applyAlignment="1">
      <alignment horizontal="left" vertical="center" shrinkToFit="1"/>
    </xf>
    <xf numFmtId="0" fontId="46" fillId="0" borderId="10" xfId="0" applyNumberFormat="1" applyFont="1" applyFill="1" applyBorder="1" applyAlignment="1">
      <alignment horizontal="left" vertical="center" shrinkToFit="1"/>
    </xf>
    <xf numFmtId="0" fontId="50" fillId="0" borderId="2" xfId="0" applyFont="1" applyFill="1" applyBorder="1" applyAlignment="1">
      <alignment horizontal="center" vertical="center" shrinkToFit="1"/>
    </xf>
    <xf numFmtId="0" fontId="46" fillId="0" borderId="4" xfId="0" applyFont="1" applyFill="1" applyBorder="1" applyAlignment="1">
      <alignment horizontal="center" vertical="center"/>
    </xf>
    <xf numFmtId="0" fontId="46" fillId="0" borderId="5" xfId="0" applyFont="1" applyFill="1" applyBorder="1" applyAlignment="1">
      <alignment horizontal="center" vertical="center"/>
    </xf>
    <xf numFmtId="0" fontId="47" fillId="30" borderId="9" xfId="0" applyFont="1" applyFill="1" applyBorder="1" applyAlignment="1">
      <alignment horizontal="center" vertical="center" shrinkToFit="1"/>
    </xf>
    <xf numFmtId="0" fontId="47" fillId="30" borderId="7" xfId="0" applyFont="1" applyFill="1" applyBorder="1" applyAlignment="1">
      <alignment horizontal="center" vertical="center" shrinkToFit="1"/>
    </xf>
    <xf numFmtId="0" fontId="47" fillId="2" borderId="25" xfId="0" applyFont="1" applyFill="1" applyBorder="1" applyAlignment="1">
      <alignment horizontal="center" vertical="center" shrinkToFit="1"/>
    </xf>
    <xf numFmtId="0" fontId="47" fillId="2" borderId="21" xfId="0" applyFont="1" applyFill="1" applyBorder="1" applyAlignment="1">
      <alignment horizontal="center" vertical="center" shrinkToFit="1"/>
    </xf>
    <xf numFmtId="49" fontId="47" fillId="30" borderId="25" xfId="0" applyNumberFormat="1" applyFont="1" applyFill="1" applyBorder="1" applyAlignment="1">
      <alignment horizontal="center" vertical="center" shrinkToFit="1"/>
    </xf>
    <xf numFmtId="49" fontId="47" fillId="30" borderId="26" xfId="0" applyNumberFormat="1" applyFont="1" applyFill="1" applyBorder="1" applyAlignment="1">
      <alignment horizontal="center" vertical="center" shrinkToFit="1"/>
    </xf>
    <xf numFmtId="49" fontId="47" fillId="30" borderId="21" xfId="0" applyNumberFormat="1" applyFont="1" applyFill="1" applyBorder="1" applyAlignment="1">
      <alignment horizontal="center" vertical="center" shrinkToFit="1"/>
    </xf>
    <xf numFmtId="0" fontId="46" fillId="33" borderId="78" xfId="0" applyNumberFormat="1" applyFont="1" applyFill="1" applyBorder="1" applyAlignment="1">
      <alignment horizontal="left" vertical="center" shrinkToFit="1"/>
    </xf>
    <xf numFmtId="0" fontId="46" fillId="33" borderId="79" xfId="0" applyNumberFormat="1" applyFont="1" applyFill="1" applyBorder="1" applyAlignment="1">
      <alignment horizontal="left" vertical="center" shrinkToFit="1"/>
    </xf>
    <xf numFmtId="0" fontId="46" fillId="33" borderId="80" xfId="0" applyNumberFormat="1" applyFont="1" applyFill="1" applyBorder="1" applyAlignment="1">
      <alignment horizontal="left" vertical="center" shrinkToFit="1"/>
    </xf>
    <xf numFmtId="0" fontId="46" fillId="0" borderId="3" xfId="0" applyNumberFormat="1" applyFont="1" applyBorder="1" applyAlignment="1">
      <alignment horizontal="center" vertical="center" shrinkToFit="1"/>
    </xf>
    <xf numFmtId="0" fontId="46" fillId="0" borderId="4" xfId="0" applyNumberFormat="1" applyFont="1" applyBorder="1" applyAlignment="1">
      <alignment horizontal="center" vertical="center" shrinkToFit="1"/>
    </xf>
    <xf numFmtId="0" fontId="46" fillId="0" borderId="5" xfId="0" applyNumberFormat="1" applyFont="1" applyBorder="1" applyAlignment="1">
      <alignment horizontal="center" vertical="center" shrinkToFit="1"/>
    </xf>
    <xf numFmtId="49" fontId="46" fillId="33" borderId="28" xfId="0" applyNumberFormat="1" applyFont="1" applyFill="1" applyBorder="1" applyAlignment="1">
      <alignment horizontal="left" vertical="center"/>
    </xf>
    <xf numFmtId="49" fontId="46" fillId="33" borderId="52" xfId="0" applyNumberFormat="1" applyFont="1" applyFill="1" applyBorder="1" applyAlignment="1">
      <alignment horizontal="left" vertical="center"/>
    </xf>
    <xf numFmtId="49" fontId="46" fillId="33" borderId="10" xfId="0" applyNumberFormat="1" applyFont="1" applyFill="1" applyBorder="1" applyAlignment="1">
      <alignment horizontal="left" vertical="center"/>
    </xf>
    <xf numFmtId="0" fontId="46" fillId="33" borderId="28" xfId="0" applyFont="1" applyFill="1" applyBorder="1" applyAlignment="1">
      <alignment horizontal="left" vertical="center"/>
    </xf>
    <xf numFmtId="0" fontId="46" fillId="33" borderId="52" xfId="0" applyFont="1" applyFill="1" applyBorder="1" applyAlignment="1">
      <alignment horizontal="left" vertical="center"/>
    </xf>
    <xf numFmtId="0" fontId="46" fillId="33" borderId="10" xfId="0" applyFont="1" applyFill="1" applyBorder="1" applyAlignment="1">
      <alignment horizontal="left" vertical="center"/>
    </xf>
    <xf numFmtId="0" fontId="64" fillId="0" borderId="0" xfId="0" applyFont="1" applyBorder="1" applyAlignment="1">
      <alignment horizontal="left" vertical="center"/>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72" fillId="0" borderId="4" xfId="89" applyFont="1" applyFill="1" applyBorder="1" applyAlignment="1" applyProtection="1">
      <alignment horizontal="left" vertical="center"/>
    </xf>
    <xf numFmtId="0" fontId="72" fillId="0" borderId="5" xfId="89" applyFont="1" applyFill="1" applyBorder="1" applyAlignment="1" applyProtection="1">
      <alignment horizontal="left" vertical="center"/>
    </xf>
    <xf numFmtId="0" fontId="0" fillId="0" borderId="9" xfId="0" applyFont="1" applyBorder="1" applyAlignment="1">
      <alignment horizontal="center" vertical="center" wrapText="1"/>
    </xf>
    <xf numFmtId="0" fontId="0" fillId="0" borderId="23" xfId="0" applyFont="1" applyBorder="1" applyAlignment="1">
      <alignment horizontal="center" vertical="center" wrapText="1"/>
    </xf>
    <xf numFmtId="0" fontId="0" fillId="0" borderId="7" xfId="0" applyFont="1" applyBorder="1" applyAlignment="1">
      <alignment horizontal="center" vertical="center" wrapText="1"/>
    </xf>
    <xf numFmtId="0" fontId="46" fillId="0" borderId="9" xfId="0" applyNumberFormat="1" applyFont="1" applyBorder="1" applyAlignment="1">
      <alignment horizontal="center" vertical="center" wrapText="1" shrinkToFit="1"/>
    </xf>
    <xf numFmtId="0" fontId="46" fillId="0" borderId="23" xfId="0" applyNumberFormat="1" applyFont="1" applyBorder="1" applyAlignment="1">
      <alignment horizontal="center" vertical="center" wrapText="1" shrinkToFit="1"/>
    </xf>
    <xf numFmtId="0" fontId="46" fillId="0" borderId="9" xfId="0" applyFont="1" applyBorder="1" applyAlignment="1">
      <alignment horizontal="left" vertical="center" wrapText="1"/>
    </xf>
    <xf numFmtId="0" fontId="46" fillId="0" borderId="23" xfId="0" applyFont="1" applyBorder="1" applyAlignment="1">
      <alignment horizontal="left" vertical="center" wrapText="1"/>
    </xf>
    <xf numFmtId="0" fontId="45" fillId="0" borderId="9" xfId="0" applyFont="1" applyBorder="1" applyAlignment="1">
      <alignment horizontal="center" vertical="center"/>
    </xf>
    <xf numFmtId="0" fontId="45" fillId="0" borderId="23" xfId="0" applyFont="1" applyBorder="1" applyAlignment="1">
      <alignment horizontal="center" vertical="center"/>
    </xf>
    <xf numFmtId="0" fontId="42" fillId="0" borderId="20" xfId="0" applyFont="1" applyBorder="1" applyAlignment="1">
      <alignment horizontal="left" vertical="center" wrapText="1"/>
    </xf>
    <xf numFmtId="0" fontId="46" fillId="32" borderId="25" xfId="0" applyFont="1" applyFill="1" applyBorder="1" applyAlignment="1">
      <alignment horizontal="center" vertical="center"/>
    </xf>
    <xf numFmtId="0" fontId="46" fillId="32" borderId="21" xfId="0" applyFont="1" applyFill="1" applyBorder="1" applyAlignment="1">
      <alignment horizontal="center" vertical="center"/>
    </xf>
    <xf numFmtId="0" fontId="46" fillId="31" borderId="25" xfId="0" applyFont="1" applyFill="1" applyBorder="1" applyAlignment="1">
      <alignment horizontal="center" vertical="center"/>
    </xf>
    <xf numFmtId="0" fontId="46" fillId="31" borderId="21" xfId="0" applyFont="1" applyFill="1" applyBorder="1" applyAlignment="1">
      <alignment horizontal="center" vertical="center"/>
    </xf>
    <xf numFmtId="49" fontId="46" fillId="0" borderId="3" xfId="0" applyNumberFormat="1" applyFont="1" applyFill="1" applyBorder="1" applyAlignment="1">
      <alignment horizontal="center" vertical="center" wrapText="1"/>
    </xf>
    <xf numFmtId="49" fontId="46" fillId="0" borderId="4" xfId="0" applyNumberFormat="1" applyFont="1" applyFill="1" applyBorder="1" applyAlignment="1">
      <alignment horizontal="center" vertical="center"/>
    </xf>
    <xf numFmtId="49" fontId="46" fillId="0" borderId="5" xfId="0" applyNumberFormat="1" applyFont="1" applyFill="1" applyBorder="1" applyAlignment="1">
      <alignment horizontal="center" vertical="center"/>
    </xf>
    <xf numFmtId="49" fontId="46" fillId="0" borderId="9" xfId="0" applyNumberFormat="1" applyFont="1" applyFill="1" applyBorder="1" applyAlignment="1">
      <alignment horizontal="center" vertical="center" wrapText="1"/>
    </xf>
    <xf numFmtId="49" fontId="46" fillId="0" borderId="23" xfId="0" applyNumberFormat="1" applyFont="1" applyFill="1" applyBorder="1" applyAlignment="1">
      <alignment horizontal="center" vertical="center"/>
    </xf>
    <xf numFmtId="49" fontId="46" fillId="0" borderId="7" xfId="0" applyNumberFormat="1" applyFont="1" applyFill="1" applyBorder="1" applyAlignment="1">
      <alignment horizontal="center" vertical="center"/>
    </xf>
    <xf numFmtId="0" fontId="47" fillId="0" borderId="9" xfId="0" applyNumberFormat="1" applyFont="1" applyFill="1" applyBorder="1" applyAlignment="1">
      <alignment horizontal="center" vertical="center" wrapText="1" shrinkToFit="1"/>
    </xf>
    <xf numFmtId="0" fontId="47" fillId="0" borderId="23" xfId="0" applyNumberFormat="1" applyFont="1" applyFill="1" applyBorder="1" applyAlignment="1">
      <alignment horizontal="center" vertical="center" wrapText="1" shrinkToFit="1"/>
    </xf>
    <xf numFmtId="0" fontId="47" fillId="0" borderId="7" xfId="0" applyNumberFormat="1" applyFont="1" applyFill="1" applyBorder="1" applyAlignment="1">
      <alignment horizontal="center" vertical="center" wrapText="1" shrinkToFit="1"/>
    </xf>
    <xf numFmtId="0" fontId="46" fillId="0" borderId="9" xfId="0" applyNumberFormat="1" applyFont="1" applyFill="1" applyBorder="1" applyAlignment="1">
      <alignment horizontal="center" vertical="center" wrapText="1"/>
    </xf>
    <xf numFmtId="0" fontId="46" fillId="0" borderId="23" xfId="0" applyNumberFormat="1" applyFont="1" applyFill="1" applyBorder="1" applyAlignment="1">
      <alignment horizontal="center" vertical="center" wrapText="1"/>
    </xf>
    <xf numFmtId="0" fontId="46" fillId="0" borderId="7" xfId="0" applyNumberFormat="1" applyFont="1" applyFill="1" applyBorder="1" applyAlignment="1">
      <alignment horizontal="center" vertical="center" wrapText="1"/>
    </xf>
    <xf numFmtId="0" fontId="50" fillId="0" borderId="9" xfId="0" applyFont="1" applyFill="1" applyBorder="1" applyAlignment="1">
      <alignment horizontal="center" vertical="center" shrinkToFit="1"/>
    </xf>
    <xf numFmtId="0" fontId="50" fillId="0" borderId="23" xfId="0" applyFont="1" applyFill="1" applyBorder="1" applyAlignment="1">
      <alignment horizontal="center" vertical="center" shrinkToFit="1"/>
    </xf>
    <xf numFmtId="0" fontId="50" fillId="0" borderId="7" xfId="0" applyFont="1" applyFill="1" applyBorder="1" applyAlignment="1">
      <alignment horizontal="center" vertical="center" shrinkToFit="1"/>
    </xf>
    <xf numFmtId="0" fontId="46" fillId="0" borderId="23" xfId="0" applyNumberFormat="1" applyFont="1" applyFill="1" applyBorder="1" applyAlignment="1">
      <alignment horizontal="center" vertical="center" shrinkToFit="1"/>
    </xf>
    <xf numFmtId="0" fontId="46" fillId="0" borderId="7" xfId="0" applyNumberFormat="1" applyFont="1" applyFill="1" applyBorder="1" applyAlignment="1">
      <alignment horizontal="center" vertical="center" shrinkToFit="1"/>
    </xf>
    <xf numFmtId="0" fontId="46" fillId="0" borderId="12" xfId="0" applyNumberFormat="1" applyFont="1" applyFill="1" applyBorder="1" applyAlignment="1">
      <alignment horizontal="center" vertical="center" wrapText="1" shrinkToFit="1"/>
    </xf>
    <xf numFmtId="0" fontId="46" fillId="0" borderId="32" xfId="0" applyNumberFormat="1" applyFont="1" applyFill="1" applyBorder="1" applyAlignment="1">
      <alignment horizontal="center" vertical="center" wrapText="1" shrinkToFit="1"/>
    </xf>
    <xf numFmtId="0" fontId="47" fillId="0" borderId="2" xfId="0" applyFont="1" applyBorder="1" applyAlignment="1">
      <alignment horizontal="center" vertical="center" wrapText="1"/>
    </xf>
    <xf numFmtId="0" fontId="47" fillId="0" borderId="9" xfId="0" applyFont="1" applyBorder="1" applyAlignment="1">
      <alignment horizontal="center" vertical="center" wrapText="1"/>
    </xf>
    <xf numFmtId="0" fontId="47" fillId="0" borderId="23" xfId="0" applyFont="1" applyBorder="1" applyAlignment="1">
      <alignment horizontal="center" vertical="center" wrapText="1"/>
    </xf>
    <xf numFmtId="0" fontId="47" fillId="0" borderId="7" xfId="0" applyFont="1" applyBorder="1" applyAlignment="1">
      <alignment horizontal="center" vertical="center" wrapText="1"/>
    </xf>
    <xf numFmtId="0" fontId="46" fillId="0" borderId="1" xfId="0" applyNumberFormat="1" applyFont="1" applyFill="1" applyBorder="1" applyAlignment="1">
      <alignment horizontal="center" vertical="center" wrapText="1"/>
    </xf>
    <xf numFmtId="0" fontId="46" fillId="0" borderId="15" xfId="0" applyNumberFormat="1" applyFont="1" applyFill="1" applyBorder="1" applyAlignment="1">
      <alignment horizontal="center" vertical="center" wrapText="1"/>
    </xf>
    <xf numFmtId="0" fontId="46" fillId="0" borderId="24" xfId="0" applyNumberFormat="1" applyFont="1" applyFill="1" applyBorder="1" applyAlignment="1">
      <alignment horizontal="center" vertical="center" wrapText="1"/>
    </xf>
    <xf numFmtId="0" fontId="46" fillId="0" borderId="22" xfId="0" applyNumberFormat="1" applyFont="1" applyFill="1" applyBorder="1" applyAlignment="1">
      <alignment horizontal="center" vertical="center" wrapText="1"/>
    </xf>
    <xf numFmtId="0" fontId="43" fillId="0" borderId="2" xfId="0" applyFont="1" applyFill="1" applyBorder="1" applyAlignment="1">
      <alignment horizontal="center" vertical="center" wrapText="1" shrinkToFit="1"/>
    </xf>
    <xf numFmtId="0" fontId="46" fillId="0" borderId="15" xfId="0" applyNumberFormat="1" applyFont="1" applyFill="1" applyBorder="1" applyAlignment="1">
      <alignment horizontal="center" vertical="center" wrapText="1" shrinkToFit="1"/>
    </xf>
    <xf numFmtId="0" fontId="46" fillId="0" borderId="14" xfId="0" applyFont="1" applyBorder="1">
      <alignment vertical="center"/>
    </xf>
    <xf numFmtId="0" fontId="46" fillId="0" borderId="22" xfId="0" applyFont="1" applyBorder="1">
      <alignment vertical="center"/>
    </xf>
    <xf numFmtId="0" fontId="46" fillId="0" borderId="76" xfId="0" applyFont="1" applyFill="1" applyBorder="1" applyAlignment="1">
      <alignment horizontal="center" vertical="center" shrinkToFit="1"/>
    </xf>
    <xf numFmtId="0" fontId="46" fillId="0" borderId="77" xfId="0" applyFont="1" applyFill="1" applyBorder="1" applyAlignment="1">
      <alignment horizontal="center" vertical="center" shrinkToFit="1"/>
    </xf>
    <xf numFmtId="0" fontId="46" fillId="0" borderId="95" xfId="0" applyFont="1" applyFill="1" applyBorder="1" applyAlignment="1">
      <alignment horizontal="center" vertical="center" shrinkToFit="1"/>
    </xf>
    <xf numFmtId="0" fontId="47" fillId="0" borderId="4" xfId="0" applyNumberFormat="1" applyFont="1" applyFill="1" applyBorder="1" applyAlignment="1">
      <alignment horizontal="center" vertical="center" shrinkToFit="1"/>
    </xf>
    <xf numFmtId="0" fontId="8" fillId="0" borderId="9"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7"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36" xfId="0" applyFont="1" applyBorder="1" applyAlignment="1">
      <alignment horizontal="center" vertical="center" wrapText="1"/>
    </xf>
    <xf numFmtId="0" fontId="42" fillId="0" borderId="2" xfId="0" applyFont="1" applyBorder="1" applyAlignment="1">
      <alignment horizontal="center" vertical="center"/>
    </xf>
    <xf numFmtId="0" fontId="64" fillId="0" borderId="15" xfId="0" applyFont="1" applyBorder="1" applyAlignment="1">
      <alignment horizontal="left" vertical="center" wrapText="1"/>
    </xf>
    <xf numFmtId="0" fontId="64" fillId="0" borderId="14" xfId="0" applyFont="1" applyBorder="1" applyAlignment="1">
      <alignment horizontal="left" vertical="center"/>
    </xf>
    <xf numFmtId="0" fontId="64" fillId="0" borderId="22" xfId="0" applyFont="1" applyBorder="1" applyAlignment="1">
      <alignment horizontal="left" vertical="center"/>
    </xf>
    <xf numFmtId="0" fontId="40" fillId="30" borderId="2" xfId="0" applyFont="1" applyFill="1" applyBorder="1" applyAlignment="1">
      <alignment horizontal="center" vertical="center" shrinkToFit="1"/>
    </xf>
    <xf numFmtId="0" fontId="0" fillId="0" borderId="4" xfId="0" applyFont="1" applyBorder="1" applyAlignment="1">
      <alignment horizontal="left" vertical="center" wrapText="1"/>
    </xf>
    <xf numFmtId="0" fontId="0" fillId="0" borderId="5" xfId="0" applyFont="1" applyBorder="1" applyAlignment="1">
      <alignment horizontal="left" vertical="center" wrapText="1"/>
    </xf>
    <xf numFmtId="0" fontId="0" fillId="0" borderId="5" xfId="0" applyFont="1" applyBorder="1" applyAlignment="1">
      <alignment horizontal="left" vertical="center"/>
    </xf>
    <xf numFmtId="0" fontId="45" fillId="0" borderId="6" xfId="0" applyFont="1" applyBorder="1" applyAlignment="1">
      <alignment horizontal="left" vertical="center"/>
    </xf>
    <xf numFmtId="0" fontId="45" fillId="0" borderId="8" xfId="0" applyFont="1" applyBorder="1" applyAlignment="1">
      <alignment horizontal="left" vertical="center"/>
    </xf>
    <xf numFmtId="0" fontId="46" fillId="0" borderId="25" xfId="0" applyNumberFormat="1" applyFont="1" applyFill="1" applyBorder="1" applyAlignment="1">
      <alignment horizontal="center" vertical="center" wrapText="1"/>
    </xf>
    <xf numFmtId="0" fontId="46" fillId="0" borderId="21" xfId="0" applyNumberFormat="1" applyFont="1" applyFill="1" applyBorder="1" applyAlignment="1">
      <alignment horizontal="center" vertical="center" wrapText="1"/>
    </xf>
    <xf numFmtId="0" fontId="46" fillId="27" borderId="33" xfId="0" applyFont="1" applyFill="1" applyBorder="1" applyAlignment="1">
      <alignment horizontal="center" vertical="center"/>
    </xf>
    <xf numFmtId="0" fontId="46" fillId="27" borderId="34" xfId="0" applyFont="1" applyFill="1" applyBorder="1" applyAlignment="1">
      <alignment horizontal="center" vertical="center"/>
    </xf>
    <xf numFmtId="0" fontId="46" fillId="27" borderId="35" xfId="0" applyFont="1" applyFill="1" applyBorder="1" applyAlignment="1">
      <alignment horizontal="center" vertical="center"/>
    </xf>
    <xf numFmtId="0" fontId="0" fillId="0" borderId="2" xfId="0" applyFont="1" applyBorder="1" applyAlignment="1">
      <alignment horizontal="center" vertical="center" wrapText="1"/>
    </xf>
    <xf numFmtId="0" fontId="46" fillId="27" borderId="33" xfId="0" applyNumberFormat="1" applyFont="1" applyFill="1" applyBorder="1" applyAlignment="1">
      <alignment horizontal="center" vertical="center" wrapText="1"/>
    </xf>
    <xf numFmtId="0" fontId="46" fillId="27" borderId="34" xfId="0" applyNumberFormat="1" applyFont="1" applyFill="1" applyBorder="1" applyAlignment="1">
      <alignment horizontal="center" vertical="center" wrapText="1"/>
    </xf>
    <xf numFmtId="0" fontId="46" fillId="27" borderId="36" xfId="0" applyNumberFormat="1" applyFont="1" applyFill="1" applyBorder="1" applyAlignment="1">
      <alignment horizontal="center" vertical="center" wrapText="1"/>
    </xf>
    <xf numFmtId="0" fontId="50" fillId="27" borderId="16" xfId="0" applyNumberFormat="1" applyFont="1" applyFill="1" applyBorder="1" applyAlignment="1">
      <alignment horizontal="center" vertical="center" shrinkToFit="1"/>
    </xf>
    <xf numFmtId="0" fontId="43" fillId="27" borderId="33" xfId="0" applyNumberFormat="1" applyFont="1" applyFill="1" applyBorder="1" applyAlignment="1">
      <alignment horizontal="center" vertical="center" shrinkToFit="1"/>
    </xf>
    <xf numFmtId="0" fontId="43" fillId="27" borderId="34" xfId="0" applyNumberFormat="1" applyFont="1" applyFill="1" applyBorder="1" applyAlignment="1">
      <alignment horizontal="center" vertical="center" shrinkToFit="1"/>
    </xf>
    <xf numFmtId="0" fontId="43" fillId="27" borderId="36" xfId="0" applyNumberFormat="1" applyFont="1" applyFill="1" applyBorder="1" applyAlignment="1">
      <alignment horizontal="center" vertical="center" shrinkToFit="1"/>
    </xf>
    <xf numFmtId="0" fontId="46" fillId="27" borderId="35" xfId="0" applyNumberFormat="1" applyFont="1" applyFill="1" applyBorder="1" applyAlignment="1">
      <alignment horizontal="center" vertical="center" wrapText="1"/>
    </xf>
    <xf numFmtId="0" fontId="47" fillId="0" borderId="15" xfId="0" applyNumberFormat="1" applyFont="1" applyFill="1" applyBorder="1" applyAlignment="1">
      <alignment horizontal="center" vertical="center" wrapText="1" shrinkToFit="1"/>
    </xf>
    <xf numFmtId="0" fontId="47" fillId="0" borderId="14" xfId="0" applyFont="1" applyBorder="1">
      <alignment vertical="center"/>
    </xf>
    <xf numFmtId="0" fontId="47" fillId="0" borderId="22" xfId="0" applyFont="1" applyBorder="1">
      <alignment vertical="center"/>
    </xf>
    <xf numFmtId="0" fontId="0" fillId="0" borderId="4" xfId="0" applyNumberFormat="1" applyFont="1" applyBorder="1" applyAlignment="1">
      <alignment horizontal="left" vertical="top" shrinkToFit="1"/>
    </xf>
    <xf numFmtId="0" fontId="0" fillId="0" borderId="5" xfId="0" applyNumberFormat="1" applyFont="1" applyBorder="1" applyAlignment="1">
      <alignment horizontal="left" vertical="top" shrinkToFit="1"/>
    </xf>
    <xf numFmtId="0" fontId="46" fillId="0" borderId="3" xfId="0" applyNumberFormat="1" applyFont="1" applyFill="1" applyBorder="1" applyAlignment="1">
      <alignment horizontal="center" vertical="center" wrapText="1"/>
    </xf>
    <xf numFmtId="0" fontId="46" fillId="0" borderId="4" xfId="0" applyNumberFormat="1" applyFont="1" applyFill="1" applyBorder="1" applyAlignment="1">
      <alignment horizontal="center" vertical="center" wrapText="1"/>
    </xf>
    <xf numFmtId="0" fontId="46" fillId="0" borderId="5" xfId="0" applyNumberFormat="1" applyFont="1" applyFill="1" applyBorder="1" applyAlignment="1">
      <alignment horizontal="center" vertical="center" wrapText="1"/>
    </xf>
    <xf numFmtId="0" fontId="50" fillId="27" borderId="18" xfId="0" applyNumberFormat="1" applyFont="1" applyFill="1" applyBorder="1" applyAlignment="1">
      <alignment horizontal="center" vertical="center" shrinkToFit="1"/>
    </xf>
    <xf numFmtId="0" fontId="6" fillId="27" borderId="33" xfId="0" applyNumberFormat="1" applyFont="1" applyFill="1" applyBorder="1" applyAlignment="1">
      <alignment horizontal="left" vertical="top" wrapText="1" shrinkToFit="1"/>
    </xf>
    <xf numFmtId="0" fontId="6" fillId="27" borderId="34" xfId="0" applyNumberFormat="1" applyFont="1" applyFill="1" applyBorder="1" applyAlignment="1">
      <alignment horizontal="left" vertical="top" wrapText="1" shrinkToFit="1"/>
    </xf>
    <xf numFmtId="0" fontId="6" fillId="27" borderId="35" xfId="0" applyNumberFormat="1" applyFont="1" applyFill="1" applyBorder="1" applyAlignment="1">
      <alignment horizontal="left" vertical="top" wrapText="1" shrinkToFit="1"/>
    </xf>
    <xf numFmtId="0" fontId="6" fillId="27" borderId="36" xfId="0" applyNumberFormat="1" applyFont="1" applyFill="1" applyBorder="1" applyAlignment="1">
      <alignment horizontal="left" vertical="top" wrapText="1" shrinkToFit="1"/>
    </xf>
    <xf numFmtId="0" fontId="42" fillId="0" borderId="9" xfId="0" applyNumberFormat="1" applyFont="1" applyBorder="1" applyAlignment="1">
      <alignment horizontal="center" vertical="center" wrapText="1"/>
    </xf>
    <xf numFmtId="0" fontId="42" fillId="0" borderId="23" xfId="0" applyNumberFormat="1" applyFont="1" applyBorder="1" applyAlignment="1">
      <alignment horizontal="center" vertical="center" wrapText="1"/>
    </xf>
    <xf numFmtId="0" fontId="42" fillId="0" borderId="7" xfId="0" applyNumberFormat="1" applyFont="1" applyBorder="1" applyAlignment="1">
      <alignment horizontal="center" vertical="center" wrapText="1"/>
    </xf>
    <xf numFmtId="0" fontId="46" fillId="0" borderId="9" xfId="0" applyNumberFormat="1" applyFont="1" applyFill="1" applyBorder="1" applyAlignment="1">
      <alignment horizontal="center" vertical="center" wrapText="1" shrinkToFit="1"/>
    </xf>
    <xf numFmtId="0" fontId="46" fillId="0" borderId="7" xfId="0" applyNumberFormat="1" applyFont="1" applyFill="1" applyBorder="1" applyAlignment="1">
      <alignment horizontal="center" vertical="center" wrapText="1" shrinkToFit="1"/>
    </xf>
    <xf numFmtId="0" fontId="46" fillId="0" borderId="8" xfId="0" applyFont="1" applyBorder="1" applyAlignment="1">
      <alignment horizontal="center" vertical="center" wrapText="1"/>
    </xf>
    <xf numFmtId="0" fontId="72" fillId="0" borderId="6" xfId="89" applyFont="1" applyFill="1" applyBorder="1" applyAlignment="1" applyProtection="1">
      <alignment horizontal="left" vertical="center"/>
    </xf>
    <xf numFmtId="0" fontId="72" fillId="0" borderId="23" xfId="89" applyFont="1" applyFill="1" applyBorder="1" applyAlignment="1" applyProtection="1">
      <alignment horizontal="left" vertical="center"/>
    </xf>
    <xf numFmtId="0" fontId="72" fillId="0" borderId="7" xfId="89" applyFont="1" applyFill="1" applyBorder="1" applyAlignment="1" applyProtection="1">
      <alignment horizontal="left" vertical="center"/>
    </xf>
    <xf numFmtId="0" fontId="50" fillId="0" borderId="9" xfId="0" quotePrefix="1" applyFont="1" applyFill="1" applyBorder="1" applyAlignment="1">
      <alignment horizontal="center" vertical="center" shrinkToFit="1"/>
    </xf>
    <xf numFmtId="0" fontId="47" fillId="0" borderId="23" xfId="0" applyNumberFormat="1" applyFont="1" applyFill="1" applyBorder="1" applyAlignment="1">
      <alignment horizontal="center" vertical="center" shrinkToFit="1"/>
    </xf>
    <xf numFmtId="0" fontId="46" fillId="0" borderId="7" xfId="0" applyNumberFormat="1" applyFont="1" applyBorder="1" applyAlignment="1">
      <alignment horizontal="center" vertical="center" wrapText="1" shrinkToFit="1"/>
    </xf>
    <xf numFmtId="0" fontId="37" fillId="0" borderId="15" xfId="89" applyBorder="1" applyAlignment="1" applyProtection="1">
      <alignment horizontal="center" vertical="center"/>
    </xf>
    <xf numFmtId="0" fontId="0" fillId="0" borderId="14" xfId="0" applyBorder="1" applyAlignment="1">
      <alignment horizontal="center" vertical="center"/>
    </xf>
    <xf numFmtId="0" fontId="43" fillId="0" borderId="9" xfId="0" applyFont="1" applyFill="1" applyBorder="1" applyAlignment="1">
      <alignment horizontal="center" vertical="center" wrapText="1" shrinkToFit="1"/>
    </xf>
    <xf numFmtId="0" fontId="11" fillId="27" borderId="6" xfId="0" applyNumberFormat="1" applyFont="1" applyFill="1" applyBorder="1" applyAlignment="1">
      <alignment horizontal="left" vertical="top" wrapText="1" shrinkToFit="1"/>
    </xf>
    <xf numFmtId="0" fontId="11" fillId="27" borderId="23" xfId="0" applyNumberFormat="1" applyFont="1" applyFill="1" applyBorder="1" applyAlignment="1">
      <alignment horizontal="left" vertical="top" wrapText="1" shrinkToFit="1"/>
    </xf>
    <xf numFmtId="0" fontId="11" fillId="27" borderId="7" xfId="0" applyNumberFormat="1" applyFont="1" applyFill="1" applyBorder="1" applyAlignment="1">
      <alignment horizontal="left" vertical="top" wrapText="1" shrinkToFit="1"/>
    </xf>
    <xf numFmtId="0" fontId="11" fillId="27" borderId="8" xfId="0" applyNumberFormat="1" applyFont="1" applyFill="1" applyBorder="1" applyAlignment="1">
      <alignment horizontal="left" vertical="top" wrapText="1" shrinkToFit="1"/>
    </xf>
    <xf numFmtId="0" fontId="67" fillId="0" borderId="1" xfId="0" applyFont="1" applyFill="1" applyBorder="1" applyAlignment="1">
      <alignment horizontal="center" vertical="center" shrinkToFit="1"/>
    </xf>
    <xf numFmtId="0" fontId="67" fillId="0" borderId="13" xfId="0" applyFont="1" applyFill="1" applyBorder="1" applyAlignment="1">
      <alignment horizontal="center" vertical="center" shrinkToFit="1"/>
    </xf>
    <xf numFmtId="0" fontId="67" fillId="0" borderId="24" xfId="0" applyFont="1" applyFill="1" applyBorder="1" applyAlignment="1">
      <alignment horizontal="center" vertical="center" shrinkToFit="1"/>
    </xf>
    <xf numFmtId="0" fontId="47" fillId="0" borderId="9" xfId="0" applyFont="1" applyFill="1" applyBorder="1" applyAlignment="1">
      <alignment horizontal="center" vertical="center" wrapText="1" shrinkToFit="1"/>
    </xf>
    <xf numFmtId="0" fontId="37" fillId="0" borderId="1" xfId="89" applyBorder="1" applyAlignment="1" applyProtection="1">
      <alignment horizontal="center" vertical="center"/>
    </xf>
    <xf numFmtId="0" fontId="37" fillId="0" borderId="20" xfId="89" applyBorder="1" applyAlignment="1" applyProtection="1">
      <alignment horizontal="center" vertical="center"/>
    </xf>
    <xf numFmtId="0" fontId="37" fillId="0" borderId="24" xfId="89" applyBorder="1" applyAlignment="1" applyProtection="1">
      <alignment horizontal="center" vertical="center"/>
    </xf>
    <xf numFmtId="0" fontId="37" fillId="0" borderId="50" xfId="89" applyBorder="1" applyAlignment="1" applyProtection="1">
      <alignment horizontal="center" vertical="center"/>
    </xf>
    <xf numFmtId="0" fontId="37" fillId="0" borderId="22" xfId="89" applyBorder="1" applyAlignment="1" applyProtection="1">
      <alignment horizontal="center" vertical="center"/>
    </xf>
    <xf numFmtId="0" fontId="32" fillId="0" borderId="0" xfId="0" applyFont="1" applyBorder="1" applyAlignment="1">
      <alignment horizontal="left" vertical="center" wrapText="1"/>
    </xf>
    <xf numFmtId="0" fontId="47" fillId="0" borderId="2" xfId="0" applyFont="1" applyFill="1" applyBorder="1" applyAlignment="1">
      <alignment horizontal="left" vertical="center"/>
    </xf>
    <xf numFmtId="0" fontId="47" fillId="25" borderId="4" xfId="0" applyFont="1" applyFill="1" applyBorder="1" applyAlignment="1">
      <alignment horizontal="left" vertical="center" wrapText="1" shrinkToFit="1"/>
    </xf>
    <xf numFmtId="0" fontId="47" fillId="25" borderId="5" xfId="0" applyFont="1" applyFill="1" applyBorder="1" applyAlignment="1">
      <alignment horizontal="left" vertical="center" shrinkToFit="1"/>
    </xf>
    <xf numFmtId="0" fontId="37" fillId="0" borderId="23" xfId="89" applyBorder="1" applyAlignment="1" applyProtection="1">
      <alignment horizontal="center" vertical="center" wrapText="1"/>
    </xf>
    <xf numFmtId="0" fontId="37" fillId="0" borderId="8" xfId="89" applyBorder="1" applyAlignment="1" applyProtection="1">
      <alignment horizontal="center" vertical="center" wrapText="1"/>
    </xf>
    <xf numFmtId="0" fontId="58" fillId="0" borderId="9" xfId="0" applyNumberFormat="1" applyFont="1" applyFill="1" applyBorder="1" applyAlignment="1">
      <alignment horizontal="center" vertical="center" wrapText="1" shrinkToFit="1"/>
    </xf>
    <xf numFmtId="0" fontId="58" fillId="0" borderId="8" xfId="0" applyNumberFormat="1" applyFont="1" applyFill="1" applyBorder="1" applyAlignment="1">
      <alignment horizontal="center" vertical="center" wrapText="1" shrinkToFit="1"/>
    </xf>
    <xf numFmtId="0" fontId="72" fillId="25" borderId="9" xfId="89" applyNumberFormat="1" applyFont="1" applyFill="1" applyBorder="1" applyAlignment="1" applyProtection="1">
      <alignment horizontal="left" vertical="center" wrapText="1" shrinkToFit="1"/>
    </xf>
    <xf numFmtId="0" fontId="72" fillId="25" borderId="23" xfId="89" applyNumberFormat="1" applyFont="1" applyFill="1" applyBorder="1" applyAlignment="1" applyProtection="1">
      <alignment horizontal="left" vertical="center" wrapText="1" shrinkToFit="1"/>
    </xf>
    <xf numFmtId="0" fontId="72" fillId="25" borderId="7" xfId="89" applyNumberFormat="1" applyFont="1" applyFill="1" applyBorder="1" applyAlignment="1" applyProtection="1">
      <alignment horizontal="left" vertical="center" wrapText="1" shrinkToFit="1"/>
    </xf>
    <xf numFmtId="0" fontId="47" fillId="0" borderId="6" xfId="0" applyNumberFormat="1" applyFont="1" applyFill="1" applyBorder="1" applyAlignment="1">
      <alignment horizontal="left" vertical="center" wrapText="1" shrinkToFit="1"/>
    </xf>
    <xf numFmtId="0" fontId="47" fillId="0" borderId="23" xfId="0" applyNumberFormat="1" applyFont="1" applyFill="1" applyBorder="1" applyAlignment="1">
      <alignment horizontal="left" vertical="center" wrapText="1" shrinkToFit="1"/>
    </xf>
    <xf numFmtId="0" fontId="47" fillId="0" borderId="7" xfId="0" applyNumberFormat="1" applyFont="1" applyFill="1" applyBorder="1" applyAlignment="1">
      <alignment horizontal="left" vertical="center" wrapText="1" shrinkToFit="1"/>
    </xf>
    <xf numFmtId="0" fontId="39" fillId="0" borderId="0" xfId="0" applyFont="1" applyBorder="1" applyAlignment="1">
      <alignment horizontal="left" vertical="center"/>
    </xf>
    <xf numFmtId="0" fontId="47" fillId="0" borderId="13" xfId="0" applyFont="1" applyFill="1" applyBorder="1" applyAlignment="1">
      <alignment horizontal="center" vertical="center" shrinkToFit="1"/>
    </xf>
    <xf numFmtId="0" fontId="47" fillId="0" borderId="14" xfId="0" applyFont="1" applyFill="1" applyBorder="1" applyAlignment="1">
      <alignment horizontal="center" vertical="center" shrinkToFit="1"/>
    </xf>
    <xf numFmtId="0" fontId="47" fillId="0" borderId="2" xfId="0" applyFont="1" applyFill="1" applyBorder="1" applyAlignment="1">
      <alignment horizontal="center" vertical="center" wrapText="1" shrinkToFit="1"/>
    </xf>
    <xf numFmtId="0" fontId="47" fillId="0" borderId="3" xfId="0" applyFont="1" applyFill="1" applyBorder="1" applyAlignment="1">
      <alignment horizontal="center" vertical="center" wrapText="1"/>
    </xf>
    <xf numFmtId="0" fontId="47" fillId="0" borderId="4" xfId="0" applyFont="1" applyFill="1" applyBorder="1" applyAlignment="1">
      <alignment horizontal="center" vertical="center" wrapText="1"/>
    </xf>
    <xf numFmtId="0" fontId="47" fillId="0" borderId="5" xfId="0" applyFont="1" applyFill="1" applyBorder="1" applyAlignment="1">
      <alignment horizontal="center" vertical="center" wrapText="1"/>
    </xf>
    <xf numFmtId="0" fontId="37" fillId="0" borderId="19" xfId="89" applyBorder="1" applyAlignment="1" applyProtection="1">
      <alignment horizontal="center" vertical="center" wrapText="1"/>
    </xf>
    <xf numFmtId="0" fontId="33" fillId="0" borderId="19" xfId="0" applyFont="1" applyBorder="1" applyAlignment="1">
      <alignment horizontal="center" vertical="center" wrapText="1"/>
    </xf>
    <xf numFmtId="0" fontId="58" fillId="0" borderId="3" xfId="0" applyFont="1" applyBorder="1" applyAlignment="1">
      <alignment horizontal="left" vertical="center" wrapText="1"/>
    </xf>
    <xf numFmtId="0" fontId="58" fillId="0" borderId="4" xfId="0" applyFont="1" applyBorder="1" applyAlignment="1">
      <alignment horizontal="left" vertical="center" wrapText="1"/>
    </xf>
    <xf numFmtId="0" fontId="58" fillId="0" borderId="5" xfId="0" applyFont="1" applyBorder="1" applyAlignment="1">
      <alignment horizontal="left" vertical="center" wrapText="1"/>
    </xf>
    <xf numFmtId="0" fontId="58" fillId="0" borderId="3" xfId="0" applyFont="1" applyFill="1" applyBorder="1" applyAlignment="1">
      <alignment horizontal="center" vertical="center" wrapText="1"/>
    </xf>
    <xf numFmtId="0" fontId="58" fillId="0" borderId="4" xfId="0" applyFont="1" applyFill="1" applyBorder="1" applyAlignment="1">
      <alignment horizontal="center" vertical="center" wrapText="1"/>
    </xf>
    <xf numFmtId="0" fontId="58" fillId="0" borderId="5" xfId="0" applyFont="1" applyFill="1" applyBorder="1" applyAlignment="1">
      <alignment horizontal="center" vertical="center" wrapText="1"/>
    </xf>
    <xf numFmtId="0" fontId="58" fillId="25" borderId="9" xfId="0" applyFont="1" applyFill="1" applyBorder="1" applyAlignment="1">
      <alignment horizontal="center" vertical="center" wrapText="1"/>
    </xf>
    <xf numFmtId="0" fontId="58" fillId="25" borderId="23" xfId="0" applyFont="1" applyFill="1" applyBorder="1" applyAlignment="1">
      <alignment horizontal="center" vertical="center" wrapText="1"/>
    </xf>
    <xf numFmtId="0" fontId="58" fillId="25" borderId="7" xfId="0" applyFont="1" applyFill="1" applyBorder="1" applyAlignment="1">
      <alignment horizontal="center" vertical="center" wrapText="1"/>
    </xf>
    <xf numFmtId="0" fontId="37" fillId="0" borderId="9" xfId="89" applyNumberFormat="1" applyFill="1" applyBorder="1" applyAlignment="1" applyProtection="1">
      <alignment horizontal="center" vertical="center" wrapText="1" shrinkToFit="1"/>
    </xf>
    <xf numFmtId="0" fontId="37" fillId="0" borderId="23" xfId="89" applyNumberFormat="1" applyFill="1" applyBorder="1" applyAlignment="1" applyProtection="1">
      <alignment horizontal="center" vertical="center" wrapText="1" shrinkToFit="1"/>
    </xf>
    <xf numFmtId="0" fontId="37" fillId="25" borderId="2" xfId="89" applyNumberFormat="1" applyFill="1" applyBorder="1" applyAlignment="1" applyProtection="1">
      <alignment horizontal="center" vertical="center" wrapText="1" shrinkToFit="1"/>
    </xf>
    <xf numFmtId="0" fontId="58" fillId="0" borderId="1" xfId="0" applyFont="1" applyFill="1" applyBorder="1" applyAlignment="1">
      <alignment horizontal="center" vertical="center" shrinkToFit="1"/>
    </xf>
    <xf numFmtId="0" fontId="58" fillId="0" borderId="15" xfId="0" applyFont="1" applyFill="1" applyBorder="1" applyAlignment="1">
      <alignment horizontal="center" vertical="center" shrinkToFit="1"/>
    </xf>
    <xf numFmtId="0" fontId="58" fillId="0" borderId="13" xfId="0" applyFont="1" applyFill="1" applyBorder="1" applyAlignment="1">
      <alignment horizontal="center" vertical="center" shrinkToFit="1"/>
    </xf>
    <xf numFmtId="0" fontId="58" fillId="0" borderId="14" xfId="0" applyFont="1" applyFill="1" applyBorder="1" applyAlignment="1">
      <alignment horizontal="center" vertical="center" shrinkToFit="1"/>
    </xf>
    <xf numFmtId="0" fontId="58" fillId="0" borderId="24" xfId="0" applyFont="1" applyFill="1" applyBorder="1" applyAlignment="1">
      <alignment horizontal="center" vertical="center" shrinkToFit="1"/>
    </xf>
    <xf numFmtId="0" fontId="58" fillId="0" borderId="22" xfId="0" applyFont="1" applyFill="1" applyBorder="1" applyAlignment="1">
      <alignment horizontal="center" vertical="center" shrinkToFit="1"/>
    </xf>
    <xf numFmtId="0" fontId="71" fillId="0" borderId="9" xfId="0" applyNumberFormat="1" applyFont="1" applyFill="1" applyBorder="1" applyAlignment="1">
      <alignment horizontal="center" vertical="center" shrinkToFit="1"/>
    </xf>
    <xf numFmtId="0" fontId="71" fillId="0" borderId="23" xfId="0" applyNumberFormat="1" applyFont="1" applyFill="1" applyBorder="1" applyAlignment="1">
      <alignment horizontal="center" vertical="center" shrinkToFit="1"/>
    </xf>
    <xf numFmtId="0" fontId="71" fillId="0" borderId="8" xfId="0" applyNumberFormat="1" applyFont="1" applyFill="1" applyBorder="1" applyAlignment="1">
      <alignment horizontal="center" vertical="center" shrinkToFit="1"/>
    </xf>
    <xf numFmtId="0" fontId="71" fillId="25" borderId="9" xfId="0" applyNumberFormat="1" applyFont="1" applyFill="1" applyBorder="1" applyAlignment="1">
      <alignment horizontal="center" vertical="center" shrinkToFit="1"/>
    </xf>
    <xf numFmtId="0" fontId="71" fillId="25" borderId="23" xfId="0" applyNumberFormat="1" applyFont="1" applyFill="1" applyBorder="1" applyAlignment="1">
      <alignment horizontal="center" vertical="center" shrinkToFit="1"/>
    </xf>
    <xf numFmtId="0" fontId="71" fillId="25" borderId="7" xfId="0" applyNumberFormat="1" applyFont="1" applyFill="1" applyBorder="1" applyAlignment="1">
      <alignment horizontal="center" vertical="center" shrinkToFit="1"/>
    </xf>
    <xf numFmtId="0" fontId="47" fillId="0" borderId="6" xfId="0" applyNumberFormat="1" applyFont="1" applyFill="1" applyBorder="1" applyAlignment="1">
      <alignment horizontal="center" vertical="center" shrinkToFit="1"/>
    </xf>
    <xf numFmtId="0" fontId="47" fillId="0" borderId="8" xfId="0" applyNumberFormat="1" applyFont="1" applyFill="1" applyBorder="1" applyAlignment="1">
      <alignment horizontal="center" vertical="center" shrinkToFit="1"/>
    </xf>
    <xf numFmtId="0" fontId="47" fillId="0" borderId="6" xfId="0" applyNumberFormat="1" applyFont="1" applyFill="1" applyBorder="1" applyAlignment="1">
      <alignment horizontal="center" vertical="center" wrapText="1" shrinkToFit="1"/>
    </xf>
    <xf numFmtId="0" fontId="47" fillId="0" borderId="8" xfId="0" applyNumberFormat="1" applyFont="1" applyFill="1" applyBorder="1" applyAlignment="1">
      <alignment horizontal="center" vertical="center" wrapText="1" shrinkToFit="1"/>
    </xf>
    <xf numFmtId="0" fontId="58" fillId="0" borderId="6" xfId="0" applyFont="1" applyFill="1" applyBorder="1" applyAlignment="1">
      <alignment horizontal="center" vertical="center" shrinkToFit="1"/>
    </xf>
    <xf numFmtId="0" fontId="58" fillId="0" borderId="23" xfId="0" applyFont="1" applyFill="1" applyBorder="1" applyAlignment="1">
      <alignment horizontal="center" vertical="center" shrinkToFit="1"/>
    </xf>
    <xf numFmtId="0" fontId="58" fillId="0" borderId="8" xfId="0" applyFont="1" applyFill="1" applyBorder="1" applyAlignment="1">
      <alignment horizontal="center" vertical="center" shrinkToFit="1"/>
    </xf>
    <xf numFmtId="0" fontId="47" fillId="0" borderId="30" xfId="0" applyNumberFormat="1" applyFont="1" applyFill="1" applyBorder="1" applyAlignment="1">
      <alignment horizontal="left" vertical="center" wrapText="1" shrinkToFit="1"/>
    </xf>
    <xf numFmtId="0" fontId="47" fillId="0" borderId="13" xfId="0" applyNumberFormat="1" applyFont="1" applyFill="1" applyBorder="1" applyAlignment="1">
      <alignment horizontal="left" vertical="center" wrapText="1" shrinkToFit="1"/>
    </xf>
    <xf numFmtId="0" fontId="47" fillId="0" borderId="24" xfId="0" applyNumberFormat="1" applyFont="1" applyFill="1" applyBorder="1" applyAlignment="1">
      <alignment horizontal="left" vertical="center" wrapText="1" shrinkToFit="1"/>
    </xf>
    <xf numFmtId="0" fontId="58" fillId="0" borderId="7" xfId="0" applyFont="1" applyFill="1" applyBorder="1" applyAlignment="1">
      <alignment horizontal="center" vertical="center" shrinkToFit="1"/>
    </xf>
    <xf numFmtId="0" fontId="50" fillId="0" borderId="25" xfId="0" applyFont="1" applyFill="1" applyBorder="1" applyAlignment="1">
      <alignment horizontal="center" vertical="center" shrinkToFit="1"/>
    </xf>
    <xf numFmtId="0" fontId="50" fillId="0" borderId="21" xfId="0" applyFont="1" applyFill="1" applyBorder="1" applyAlignment="1">
      <alignment horizontal="center" vertical="center" shrinkToFit="1"/>
    </xf>
    <xf numFmtId="0" fontId="47" fillId="0" borderId="8" xfId="0" applyNumberFormat="1" applyFont="1" applyFill="1" applyBorder="1" applyAlignment="1">
      <alignment horizontal="left" vertical="center" wrapText="1" shrinkToFit="1"/>
    </xf>
    <xf numFmtId="0" fontId="47" fillId="0" borderId="33" xfId="0" applyNumberFormat="1" applyFont="1" applyFill="1" applyBorder="1" applyAlignment="1">
      <alignment horizontal="center" vertical="center" shrinkToFit="1"/>
    </xf>
    <xf numFmtId="0" fontId="47" fillId="0" borderId="34" xfId="0" applyNumberFormat="1" applyFont="1" applyFill="1" applyBorder="1" applyAlignment="1">
      <alignment horizontal="center" vertical="center" shrinkToFit="1"/>
    </xf>
    <xf numFmtId="0" fontId="47" fillId="0" borderId="36" xfId="0" applyNumberFormat="1" applyFont="1" applyFill="1" applyBorder="1" applyAlignment="1">
      <alignment horizontal="center" vertical="center" shrinkToFit="1"/>
    </xf>
    <xf numFmtId="49" fontId="50" fillId="0" borderId="9" xfId="0" applyNumberFormat="1" applyFont="1" applyFill="1" applyBorder="1" applyAlignment="1">
      <alignment horizontal="center" vertical="center" shrinkToFit="1"/>
    </xf>
    <xf numFmtId="49" fontId="50" fillId="0" borderId="23" xfId="0" applyNumberFormat="1" applyFont="1" applyFill="1" applyBorder="1" applyAlignment="1">
      <alignment horizontal="center" vertical="center" shrinkToFit="1"/>
    </xf>
    <xf numFmtId="0" fontId="58" fillId="0" borderId="1" xfId="0" applyNumberFormat="1" applyFont="1" applyFill="1" applyBorder="1" applyAlignment="1">
      <alignment horizontal="left" vertical="center" wrapText="1" shrinkToFit="1"/>
    </xf>
    <xf numFmtId="0" fontId="58" fillId="0" borderId="47" xfId="0" applyNumberFormat="1" applyFont="1" applyFill="1" applyBorder="1" applyAlignment="1">
      <alignment horizontal="left" vertical="center" wrapText="1" shrinkToFit="1"/>
    </xf>
    <xf numFmtId="0" fontId="58" fillId="0" borderId="9" xfId="0" applyFont="1" applyFill="1" applyBorder="1" applyAlignment="1">
      <alignment horizontal="center" vertical="center" shrinkToFit="1"/>
    </xf>
    <xf numFmtId="0" fontId="58" fillId="0" borderId="9" xfId="0" applyFont="1" applyBorder="1" applyAlignment="1">
      <alignment horizontal="left" vertical="center" wrapText="1"/>
    </xf>
    <xf numFmtId="0" fontId="58" fillId="0" borderId="8" xfId="0" applyFont="1" applyBorder="1" applyAlignment="1">
      <alignment horizontal="left" vertical="center" wrapText="1"/>
    </xf>
    <xf numFmtId="0" fontId="47" fillId="0" borderId="35" xfId="0" applyNumberFormat="1" applyFont="1" applyFill="1" applyBorder="1" applyAlignment="1">
      <alignment horizontal="center" vertical="center" shrinkToFit="1"/>
    </xf>
    <xf numFmtId="49" fontId="58" fillId="25" borderId="26" xfId="0" applyNumberFormat="1" applyFont="1" applyFill="1" applyBorder="1" applyAlignment="1">
      <alignment horizontal="center" vertical="center" wrapText="1" shrinkToFit="1"/>
    </xf>
    <xf numFmtId="49" fontId="58" fillId="25" borderId="21" xfId="0" applyNumberFormat="1" applyFont="1" applyFill="1" applyBorder="1" applyAlignment="1">
      <alignment horizontal="center" vertical="center" wrapText="1" shrinkToFit="1"/>
    </xf>
    <xf numFmtId="0" fontId="58" fillId="0" borderId="9" xfId="0" applyFont="1" applyFill="1" applyBorder="1" applyAlignment="1">
      <alignment horizontal="center" vertical="center" wrapText="1" shrinkToFit="1"/>
    </xf>
    <xf numFmtId="0" fontId="58" fillId="0" borderId="23" xfId="0" applyFont="1" applyFill="1" applyBorder="1" applyAlignment="1">
      <alignment horizontal="center" vertical="center" wrapText="1" shrinkToFit="1"/>
    </xf>
    <xf numFmtId="0" fontId="58" fillId="0" borderId="7" xfId="0" applyFont="1" applyFill="1" applyBorder="1" applyAlignment="1">
      <alignment horizontal="center" vertical="center" wrapText="1" shrinkToFit="1"/>
    </xf>
    <xf numFmtId="0" fontId="58" fillId="0" borderId="9" xfId="0" applyFont="1" applyFill="1" applyBorder="1" applyAlignment="1">
      <alignment horizontal="center" vertical="center" wrapText="1"/>
    </xf>
    <xf numFmtId="0" fontId="58" fillId="0" borderId="23" xfId="0" applyFont="1" applyFill="1" applyBorder="1" applyAlignment="1">
      <alignment horizontal="center" vertical="center" wrapText="1"/>
    </xf>
    <xf numFmtId="0" fontId="58" fillId="0" borderId="7" xfId="0" applyFont="1" applyFill="1" applyBorder="1" applyAlignment="1">
      <alignment horizontal="center" vertical="center" wrapText="1"/>
    </xf>
    <xf numFmtId="0" fontId="47" fillId="0" borderId="9" xfId="0" applyFont="1" applyFill="1" applyBorder="1" applyAlignment="1">
      <alignment horizontal="center" vertical="center" wrapText="1"/>
    </xf>
    <xf numFmtId="0" fontId="47" fillId="0" borderId="23" xfId="0" applyFont="1" applyFill="1" applyBorder="1" applyAlignment="1">
      <alignment horizontal="center" vertical="center" wrapText="1"/>
    </xf>
    <xf numFmtId="49" fontId="50" fillId="0" borderId="9" xfId="0" applyNumberFormat="1" applyFont="1" applyFill="1" applyBorder="1" applyAlignment="1">
      <alignment horizontal="center" vertical="center" wrapText="1" shrinkToFit="1"/>
    </xf>
    <xf numFmtId="49" fontId="50" fillId="0" borderId="23" xfId="0" applyNumberFormat="1" applyFont="1" applyFill="1" applyBorder="1" applyAlignment="1">
      <alignment horizontal="center" vertical="center" wrapText="1" shrinkToFit="1"/>
    </xf>
    <xf numFmtId="49" fontId="50" fillId="0" borderId="7" xfId="0" applyNumberFormat="1" applyFont="1" applyFill="1" applyBorder="1" applyAlignment="1">
      <alignment horizontal="center" vertical="center" wrapText="1" shrinkToFit="1"/>
    </xf>
    <xf numFmtId="0" fontId="41" fillId="0" borderId="0" xfId="0" applyFont="1" applyAlignment="1">
      <alignment horizontal="left" vertical="center"/>
    </xf>
    <xf numFmtId="0" fontId="47" fillId="0" borderId="6" xfId="0" applyFont="1" applyFill="1" applyBorder="1" applyAlignment="1">
      <alignment horizontal="center" vertical="center" shrinkToFit="1"/>
    </xf>
    <xf numFmtId="0" fontId="47" fillId="0" borderId="8" xfId="0" applyFont="1" applyFill="1" applyBorder="1" applyAlignment="1">
      <alignment horizontal="center" vertical="center" shrinkToFit="1"/>
    </xf>
    <xf numFmtId="0" fontId="47" fillId="0" borderId="47" xfId="0" applyNumberFormat="1" applyFont="1" applyFill="1" applyBorder="1" applyAlignment="1">
      <alignment horizontal="left" vertical="center" wrapText="1" shrinkToFit="1"/>
    </xf>
    <xf numFmtId="0" fontId="47" fillId="0" borderId="6" xfId="0" applyNumberFormat="1" applyFont="1" applyFill="1" applyBorder="1" applyAlignment="1">
      <alignment vertical="center" wrapText="1" shrinkToFit="1"/>
    </xf>
    <xf numFmtId="0" fontId="47" fillId="0" borderId="23" xfId="0" applyNumberFormat="1" applyFont="1" applyFill="1" applyBorder="1" applyAlignment="1">
      <alignment vertical="center" wrapText="1" shrinkToFit="1"/>
    </xf>
    <xf numFmtId="0" fontId="47" fillId="0" borderId="8" xfId="0" applyNumberFormat="1" applyFont="1" applyFill="1" applyBorder="1" applyAlignment="1">
      <alignment vertical="center" wrapText="1" shrinkToFit="1"/>
    </xf>
    <xf numFmtId="49" fontId="47" fillId="0" borderId="30" xfId="0" applyNumberFormat="1" applyFont="1" applyFill="1" applyBorder="1" applyAlignment="1">
      <alignment horizontal="left" vertical="center" wrapText="1" shrinkToFit="1"/>
    </xf>
    <xf numFmtId="49" fontId="47" fillId="0" borderId="13" xfId="0" applyNumberFormat="1" applyFont="1" applyFill="1" applyBorder="1" applyAlignment="1">
      <alignment horizontal="left" vertical="center" wrapText="1" shrinkToFit="1"/>
    </xf>
    <xf numFmtId="0" fontId="60" fillId="0" borderId="6" xfId="0" applyNumberFormat="1" applyFont="1" applyFill="1" applyBorder="1" applyAlignment="1">
      <alignment horizontal="center" vertical="center" shrinkToFit="1"/>
    </xf>
    <xf numFmtId="0" fontId="60" fillId="0" borderId="23" xfId="0" applyNumberFormat="1" applyFont="1" applyFill="1" applyBorder="1" applyAlignment="1">
      <alignment horizontal="center" vertical="center" shrinkToFit="1"/>
    </xf>
    <xf numFmtId="0" fontId="60" fillId="0" borderId="8" xfId="0" applyNumberFormat="1" applyFont="1" applyFill="1" applyBorder="1" applyAlignment="1">
      <alignment horizontal="center" vertical="center" shrinkToFit="1"/>
    </xf>
    <xf numFmtId="0" fontId="50" fillId="0" borderId="33" xfId="0" applyNumberFormat="1" applyFont="1" applyFill="1" applyBorder="1" applyAlignment="1">
      <alignment horizontal="center" vertical="center" shrinkToFit="1"/>
    </xf>
    <xf numFmtId="0" fontId="50" fillId="0" borderId="34" xfId="0" applyNumberFormat="1" applyFont="1" applyFill="1" applyBorder="1" applyAlignment="1">
      <alignment horizontal="center" vertical="center" shrinkToFit="1"/>
    </xf>
    <xf numFmtId="0" fontId="47" fillId="0" borderId="6" xfId="0" applyFont="1" applyBorder="1" applyAlignment="1">
      <alignment horizontal="center" vertical="center"/>
    </xf>
    <xf numFmtId="0" fontId="47" fillId="0" borderId="23" xfId="0" applyFont="1" applyBorder="1" applyAlignment="1">
      <alignment horizontal="center" vertical="center"/>
    </xf>
    <xf numFmtId="0" fontId="47" fillId="0" borderId="7" xfId="0" applyFont="1" applyBorder="1" applyAlignment="1">
      <alignment horizontal="center" vertical="center"/>
    </xf>
    <xf numFmtId="0" fontId="34" fillId="0" borderId="6" xfId="0" applyFont="1" applyBorder="1" applyAlignment="1">
      <alignment horizontal="center" vertical="center" wrapText="1"/>
    </xf>
    <xf numFmtId="0" fontId="34" fillId="0" borderId="7" xfId="0" applyFont="1" applyBorder="1" applyAlignment="1">
      <alignment horizontal="center" vertical="center" wrapText="1"/>
    </xf>
    <xf numFmtId="0" fontId="41" fillId="0" borderId="20" xfId="0" applyFont="1" applyBorder="1" applyAlignment="1">
      <alignment horizontal="left" vertical="center"/>
    </xf>
    <xf numFmtId="0" fontId="58" fillId="0" borderId="28" xfId="0" applyFont="1" applyFill="1" applyBorder="1" applyAlignment="1">
      <alignment horizontal="center" vertical="center" shrinkToFit="1"/>
    </xf>
    <xf numFmtId="0" fontId="47" fillId="0" borderId="4" xfId="0" applyNumberFormat="1" applyFont="1" applyFill="1" applyBorder="1" applyAlignment="1">
      <alignment vertical="center" wrapText="1" shrinkToFit="1"/>
    </xf>
    <xf numFmtId="0" fontId="47" fillId="0" borderId="4" xfId="0" applyNumberFormat="1" applyFont="1" applyFill="1" applyBorder="1" applyAlignment="1">
      <alignment horizontal="center" vertical="center" wrapText="1" shrinkToFit="1"/>
    </xf>
    <xf numFmtId="0" fontId="58" fillId="0" borderId="31" xfId="0" applyFont="1" applyFill="1" applyBorder="1" applyAlignment="1">
      <alignment horizontal="center" vertical="center" shrinkToFit="1"/>
    </xf>
    <xf numFmtId="0" fontId="47" fillId="0" borderId="5" xfId="0" applyNumberFormat="1" applyFont="1" applyFill="1" applyBorder="1" applyAlignment="1">
      <alignment vertical="center" wrapText="1" shrinkToFit="1"/>
    </xf>
    <xf numFmtId="0" fontId="47" fillId="0" borderId="10" xfId="0" applyNumberFormat="1" applyFont="1" applyFill="1" applyBorder="1" applyAlignment="1">
      <alignment horizontal="center" vertical="center" shrinkToFit="1"/>
    </xf>
    <xf numFmtId="0" fontId="47" fillId="0" borderId="32" xfId="0" applyNumberFormat="1" applyFont="1" applyFill="1" applyBorder="1" applyAlignment="1">
      <alignment horizontal="center" vertical="center" shrinkToFit="1"/>
    </xf>
    <xf numFmtId="0" fontId="47" fillId="0" borderId="16" xfId="0" applyNumberFormat="1" applyFont="1" applyFill="1" applyBorder="1" applyAlignment="1">
      <alignment horizontal="center" vertical="center" shrinkToFit="1"/>
    </xf>
    <xf numFmtId="0" fontId="47" fillId="0" borderId="18" xfId="0" applyNumberFormat="1" applyFont="1" applyFill="1" applyBorder="1" applyAlignment="1">
      <alignment horizontal="center" vertical="center" shrinkToFit="1"/>
    </xf>
    <xf numFmtId="0" fontId="47" fillId="0" borderId="3" xfId="0" applyFont="1" applyBorder="1" applyAlignment="1">
      <alignment vertical="center" wrapText="1"/>
    </xf>
    <xf numFmtId="0" fontId="47" fillId="0" borderId="4" xfId="0" applyFont="1" applyBorder="1" applyAlignment="1">
      <alignment vertical="center" wrapText="1"/>
    </xf>
    <xf numFmtId="0" fontId="47" fillId="0" borderId="5" xfId="0" applyFont="1" applyBorder="1" applyAlignment="1">
      <alignment vertical="center" wrapText="1"/>
    </xf>
    <xf numFmtId="0" fontId="47" fillId="0" borderId="8" xfId="0" applyFont="1" applyBorder="1" applyAlignment="1">
      <alignment horizontal="center" vertical="center"/>
    </xf>
    <xf numFmtId="0" fontId="8" fillId="0" borderId="0" xfId="0" applyFont="1" applyAlignment="1">
      <alignment horizontal="center" vertical="center" wrapText="1"/>
    </xf>
    <xf numFmtId="0" fontId="9" fillId="0" borderId="0" xfId="0" applyFont="1" applyAlignment="1">
      <alignment horizontal="center" vertical="center"/>
    </xf>
    <xf numFmtId="0" fontId="37" fillId="0" borderId="2" xfId="89" applyNumberFormat="1" applyFill="1" applyBorder="1" applyAlignment="1" applyProtection="1">
      <alignment horizontal="center" vertical="center" wrapText="1" shrinkToFit="1"/>
    </xf>
    <xf numFmtId="0" fontId="47" fillId="0" borderId="5" xfId="0" applyNumberFormat="1" applyFont="1" applyFill="1" applyBorder="1" applyAlignment="1">
      <alignment horizontal="center" vertical="center" wrapText="1" shrinkToFit="1"/>
    </xf>
    <xf numFmtId="0" fontId="8" fillId="0" borderId="0" xfId="0" applyFont="1" applyAlignment="1">
      <alignment horizontal="left" vertical="top" wrapText="1"/>
    </xf>
    <xf numFmtId="0" fontId="72" fillId="25" borderId="9" xfId="89" applyNumberFormat="1" applyFont="1" applyFill="1" applyBorder="1" applyAlignment="1" applyProtection="1">
      <alignment vertical="center" wrapText="1" shrinkToFit="1"/>
    </xf>
    <xf numFmtId="0" fontId="72" fillId="25" borderId="23" xfId="89" applyNumberFormat="1" applyFont="1" applyFill="1" applyBorder="1" applyAlignment="1" applyProtection="1">
      <alignment vertical="center" wrapText="1" shrinkToFit="1"/>
    </xf>
    <xf numFmtId="0" fontId="72" fillId="25" borderId="7" xfId="89" applyNumberFormat="1" applyFont="1" applyFill="1" applyBorder="1" applyAlignment="1" applyProtection="1">
      <alignment vertical="center" wrapText="1" shrinkToFit="1"/>
    </xf>
    <xf numFmtId="0" fontId="50" fillId="0" borderId="6" xfId="0" applyNumberFormat="1" applyFont="1" applyFill="1" applyBorder="1" applyAlignment="1">
      <alignment horizontal="center" vertical="center" wrapText="1" shrinkToFit="1"/>
    </xf>
    <xf numFmtId="0" fontId="41" fillId="0" borderId="3" xfId="0" applyNumberFormat="1" applyFont="1" applyFill="1" applyBorder="1" applyAlignment="1">
      <alignment horizontal="center" vertical="center" wrapText="1" shrinkToFit="1"/>
    </xf>
    <xf numFmtId="0" fontId="41" fillId="0" borderId="4" xfId="0" applyNumberFormat="1" applyFont="1" applyFill="1" applyBorder="1" applyAlignment="1">
      <alignment horizontal="center" vertical="center" wrapText="1" shrinkToFit="1"/>
    </xf>
    <xf numFmtId="0" fontId="50" fillId="0" borderId="6" xfId="0" applyNumberFormat="1" applyFont="1" applyFill="1" applyBorder="1" applyAlignment="1">
      <alignment vertical="center" wrapText="1" shrinkToFit="1"/>
    </xf>
    <xf numFmtId="0" fontId="46" fillId="0" borderId="23" xfId="0" applyFont="1" applyBorder="1" applyAlignment="1">
      <alignment vertical="center"/>
    </xf>
    <xf numFmtId="0" fontId="41" fillId="0" borderId="9" xfId="0" applyFont="1" applyBorder="1" applyAlignment="1">
      <alignment horizontal="center" vertical="center"/>
    </xf>
    <xf numFmtId="0" fontId="41" fillId="0" borderId="23" xfId="0" applyFont="1" applyBorder="1" applyAlignment="1">
      <alignment horizontal="center" vertical="center"/>
    </xf>
    <xf numFmtId="0" fontId="41" fillId="0" borderId="8" xfId="0" applyFont="1" applyBorder="1" applyAlignment="1">
      <alignment horizontal="center" vertical="center"/>
    </xf>
    <xf numFmtId="0" fontId="47" fillId="0" borderId="24" xfId="0" applyFont="1" applyFill="1" applyBorder="1" applyAlignment="1">
      <alignment horizontal="center" vertical="center" shrinkToFit="1"/>
    </xf>
    <xf numFmtId="0" fontId="47" fillId="0" borderId="22" xfId="0" applyFont="1" applyFill="1" applyBorder="1" applyAlignment="1">
      <alignment horizontal="center" vertical="center" shrinkToFit="1"/>
    </xf>
    <xf numFmtId="0" fontId="47" fillId="0" borderId="7" xfId="0" applyFont="1" applyFill="1" applyBorder="1" applyAlignment="1">
      <alignment horizontal="center" vertical="center" wrapText="1"/>
    </xf>
    <xf numFmtId="49" fontId="50" fillId="0" borderId="2" xfId="0" applyNumberFormat="1" applyFont="1" applyFill="1" applyBorder="1" applyAlignment="1">
      <alignment horizontal="center" vertical="center" wrapText="1" shrinkToFit="1"/>
    </xf>
    <xf numFmtId="49" fontId="50" fillId="0" borderId="2" xfId="0" applyNumberFormat="1" applyFont="1" applyFill="1" applyBorder="1" applyAlignment="1">
      <alignment horizontal="center" vertical="center" shrinkToFit="1"/>
    </xf>
    <xf numFmtId="0" fontId="47" fillId="0" borderId="23" xfId="0" applyFont="1" applyFill="1" applyBorder="1" applyAlignment="1">
      <alignment horizontal="center" vertical="center" wrapText="1" shrinkToFit="1"/>
    </xf>
    <xf numFmtId="0" fontId="58" fillId="0" borderId="9" xfId="0" applyNumberFormat="1" applyFont="1" applyFill="1" applyBorder="1" applyAlignment="1">
      <alignment vertical="top" wrapText="1" shrinkToFit="1"/>
    </xf>
    <xf numFmtId="0" fontId="58" fillId="0" borderId="8" xfId="0" applyNumberFormat="1" applyFont="1" applyFill="1" applyBorder="1" applyAlignment="1">
      <alignment vertical="top" wrapText="1" shrinkToFit="1"/>
    </xf>
    <xf numFmtId="0" fontId="58" fillId="0" borderId="9" xfId="0" applyNumberFormat="1" applyFont="1" applyFill="1" applyBorder="1" applyAlignment="1">
      <alignment horizontal="center" vertical="top" wrapText="1" shrinkToFit="1"/>
    </xf>
    <xf numFmtId="0" fontId="58" fillId="0" borderId="8" xfId="0" applyNumberFormat="1" applyFont="1" applyFill="1" applyBorder="1" applyAlignment="1">
      <alignment horizontal="center" vertical="top" wrapText="1" shrinkToFit="1"/>
    </xf>
    <xf numFmtId="0" fontId="50" fillId="0" borderId="6" xfId="0" applyNumberFormat="1" applyFont="1" applyFill="1" applyBorder="1" applyAlignment="1">
      <alignment horizontal="center" vertical="center" shrinkToFit="1"/>
    </xf>
    <xf numFmtId="0" fontId="50" fillId="0" borderId="23" xfId="0" applyNumberFormat="1" applyFont="1" applyFill="1" applyBorder="1" applyAlignment="1">
      <alignment horizontal="center" vertical="center" shrinkToFit="1"/>
    </xf>
    <xf numFmtId="0" fontId="47" fillId="0" borderId="27" xfId="0" applyNumberFormat="1" applyFont="1" applyFill="1" applyBorder="1" applyAlignment="1">
      <alignment horizontal="left" vertical="center" shrinkToFit="1"/>
    </xf>
    <xf numFmtId="0" fontId="47" fillId="0" borderId="30" xfId="0" applyNumberFormat="1" applyFont="1" applyFill="1" applyBorder="1" applyAlignment="1">
      <alignment horizontal="left" vertical="center" shrinkToFit="1"/>
    </xf>
    <xf numFmtId="0" fontId="47" fillId="0" borderId="56" xfId="0" applyNumberFormat="1" applyFont="1" applyFill="1" applyBorder="1" applyAlignment="1">
      <alignment horizontal="left" vertical="center" shrinkToFit="1"/>
    </xf>
    <xf numFmtId="0" fontId="47" fillId="0" borderId="29" xfId="0" applyNumberFormat="1" applyFont="1" applyFill="1" applyBorder="1" applyAlignment="1">
      <alignment horizontal="left" vertical="center" shrinkToFit="1"/>
    </xf>
    <xf numFmtId="0" fontId="58" fillId="0" borderId="82" xfId="0" applyNumberFormat="1" applyFont="1" applyFill="1" applyBorder="1" applyAlignment="1">
      <alignment horizontal="center" vertical="center" shrinkToFit="1"/>
    </xf>
    <xf numFmtId="0" fontId="58" fillId="0" borderId="36" xfId="0" applyNumberFormat="1" applyFont="1" applyFill="1" applyBorder="1" applyAlignment="1">
      <alignment horizontal="center" vertical="center" shrinkToFit="1"/>
    </xf>
    <xf numFmtId="0" fontId="58" fillId="0" borderId="9" xfId="0" applyNumberFormat="1" applyFont="1" applyFill="1" applyBorder="1" applyAlignment="1">
      <alignment vertical="center" wrapText="1" shrinkToFit="1"/>
    </xf>
    <xf numFmtId="0" fontId="58" fillId="0" borderId="8" xfId="0" applyNumberFormat="1" applyFont="1" applyFill="1" applyBorder="1" applyAlignment="1">
      <alignment vertical="center" wrapText="1" shrinkToFit="1"/>
    </xf>
    <xf numFmtId="0" fontId="8" fillId="0" borderId="13" xfId="0" applyFont="1" applyBorder="1" applyAlignment="1">
      <alignment horizontal="center" vertical="center" wrapText="1"/>
    </xf>
    <xf numFmtId="0" fontId="9" fillId="0" borderId="13" xfId="0" applyFont="1" applyBorder="1" applyAlignment="1">
      <alignment horizontal="center" vertical="center"/>
    </xf>
    <xf numFmtId="0" fontId="41" fillId="0" borderId="9" xfId="0" applyNumberFormat="1" applyFont="1" applyFill="1" applyBorder="1" applyAlignment="1">
      <alignment horizontal="center" vertical="center" shrinkToFit="1"/>
    </xf>
    <xf numFmtId="0" fontId="41" fillId="0" borderId="23" xfId="0" applyNumberFormat="1" applyFont="1" applyFill="1" applyBorder="1" applyAlignment="1">
      <alignment horizontal="center" vertical="center" shrinkToFit="1"/>
    </xf>
    <xf numFmtId="0" fontId="41" fillId="0" borderId="8" xfId="0" applyNumberFormat="1" applyFont="1" applyFill="1" applyBorder="1" applyAlignment="1">
      <alignment horizontal="center" vertical="center" shrinkToFit="1"/>
    </xf>
    <xf numFmtId="0" fontId="37" fillId="0" borderId="2" xfId="89" applyBorder="1" applyAlignment="1" applyProtection="1">
      <alignment horizontal="center" vertical="center" wrapText="1"/>
    </xf>
    <xf numFmtId="0" fontId="37" fillId="0" borderId="2" xfId="89" applyBorder="1" applyAlignment="1" applyProtection="1">
      <alignment horizontal="center" vertical="center" shrinkToFit="1"/>
    </xf>
    <xf numFmtId="0" fontId="41" fillId="0" borderId="0" xfId="0" applyFont="1" applyBorder="1" applyAlignment="1">
      <alignment horizontal="left" vertical="center"/>
    </xf>
    <xf numFmtId="0" fontId="9" fillId="0" borderId="0" xfId="0" applyFont="1" applyBorder="1" applyAlignment="1">
      <alignment horizontal="left" vertical="center"/>
    </xf>
    <xf numFmtId="0" fontId="8" fillId="0" borderId="0" xfId="0" applyFont="1" applyBorder="1" applyAlignment="1">
      <alignment vertical="center"/>
    </xf>
    <xf numFmtId="0" fontId="9" fillId="0" borderId="0" xfId="0" applyFont="1" applyBorder="1" applyAlignment="1">
      <alignment vertical="center"/>
    </xf>
    <xf numFmtId="0" fontId="41" fillId="0" borderId="7" xfId="0" applyNumberFormat="1" applyFont="1" applyFill="1" applyBorder="1" applyAlignment="1">
      <alignment horizontal="center" vertical="center" shrinkToFit="1"/>
    </xf>
    <xf numFmtId="0" fontId="66" fillId="0" borderId="9" xfId="0" applyFont="1" applyBorder="1" applyAlignment="1">
      <alignment horizontal="center" vertical="center" wrapText="1"/>
    </xf>
    <xf numFmtId="0" fontId="66" fillId="0" borderId="23" xfId="0" applyFont="1" applyBorder="1" applyAlignment="1">
      <alignment horizontal="center" vertical="center" wrapText="1"/>
    </xf>
    <xf numFmtId="0" fontId="66" fillId="0" borderId="7" xfId="0" applyFont="1" applyBorder="1" applyAlignment="1">
      <alignment horizontal="center" vertical="center" wrapText="1"/>
    </xf>
    <xf numFmtId="0" fontId="47" fillId="0" borderId="23" xfId="0" applyFont="1" applyBorder="1" applyAlignment="1">
      <alignment horizontal="left" vertical="center" wrapText="1"/>
    </xf>
    <xf numFmtId="0" fontId="47" fillId="0" borderId="7" xfId="0" applyFont="1" applyBorder="1" applyAlignment="1">
      <alignment horizontal="left" vertical="center" wrapText="1"/>
    </xf>
    <xf numFmtId="0" fontId="41" fillId="0" borderId="3" xfId="0" applyFont="1" applyFill="1" applyBorder="1" applyAlignment="1">
      <alignment horizontal="center" vertical="center" shrinkToFit="1"/>
    </xf>
    <xf numFmtId="0" fontId="41" fillId="0" borderId="5" xfId="0" applyFont="1" applyFill="1" applyBorder="1" applyAlignment="1">
      <alignment horizontal="center" vertical="center" shrinkToFit="1"/>
    </xf>
    <xf numFmtId="0" fontId="37" fillId="0" borderId="17" xfId="89" applyBorder="1" applyAlignment="1" applyProtection="1">
      <alignment horizontal="center" vertical="center"/>
    </xf>
    <xf numFmtId="0" fontId="37" fillId="0" borderId="16" xfId="89" applyBorder="1" applyAlignment="1" applyProtection="1">
      <alignment horizontal="center" vertical="center"/>
    </xf>
    <xf numFmtId="0" fontId="37" fillId="0" borderId="18" xfId="89" applyBorder="1" applyAlignment="1" applyProtection="1">
      <alignment horizontal="center" vertical="center"/>
    </xf>
    <xf numFmtId="0" fontId="46" fillId="33" borderId="6" xfId="0" applyFont="1" applyFill="1" applyBorder="1" applyAlignment="1">
      <alignment horizontal="center" vertical="center"/>
    </xf>
    <xf numFmtId="0" fontId="46" fillId="33" borderId="7" xfId="0" applyFont="1" applyFill="1" applyBorder="1" applyAlignment="1">
      <alignment horizontal="center" vertical="center"/>
    </xf>
    <xf numFmtId="0" fontId="46" fillId="33" borderId="3" xfId="0" applyFont="1" applyFill="1" applyBorder="1" applyAlignment="1">
      <alignment horizontal="center" vertical="center"/>
    </xf>
    <xf numFmtId="0" fontId="46" fillId="33" borderId="4" xfId="0" applyFont="1" applyFill="1" applyBorder="1" applyAlignment="1">
      <alignment horizontal="center" vertical="center"/>
    </xf>
    <xf numFmtId="0" fontId="46" fillId="33" borderId="5" xfId="0" applyFont="1" applyFill="1" applyBorder="1" applyAlignment="1">
      <alignment horizontal="center" vertical="center"/>
    </xf>
    <xf numFmtId="0" fontId="37" fillId="0" borderId="33" xfId="89" applyBorder="1" applyAlignment="1" applyProtection="1">
      <alignment horizontal="center" vertical="center"/>
    </xf>
    <xf numFmtId="0" fontId="37" fillId="0" borderId="35" xfId="89" applyBorder="1" applyAlignment="1" applyProtection="1">
      <alignment horizontal="center" vertical="center"/>
    </xf>
    <xf numFmtId="0" fontId="46" fillId="0" borderId="27" xfId="0" applyFont="1" applyBorder="1" applyAlignment="1">
      <alignment horizontal="left" vertical="center"/>
    </xf>
    <xf numFmtId="0" fontId="46" fillId="0" borderId="51" xfId="0" applyFont="1" applyBorder="1" applyAlignment="1">
      <alignment horizontal="left" vertical="center"/>
    </xf>
    <xf numFmtId="0" fontId="46" fillId="0" borderId="12" xfId="0" applyFont="1" applyBorder="1" applyAlignment="1">
      <alignment horizontal="left" vertical="center"/>
    </xf>
    <xf numFmtId="0" fontId="46" fillId="0" borderId="20" xfId="0" applyFont="1" applyBorder="1" applyAlignment="1">
      <alignment horizontal="left" vertical="center"/>
    </xf>
    <xf numFmtId="0" fontId="41" fillId="0" borderId="2" xfId="0" applyFont="1" applyFill="1" applyBorder="1" applyAlignment="1">
      <alignment horizontal="center" vertical="center" shrinkToFit="1"/>
    </xf>
    <xf numFmtId="0" fontId="41" fillId="0" borderId="4" xfId="0" applyFont="1" applyFill="1" applyBorder="1" applyAlignment="1">
      <alignment horizontal="center" vertical="center" shrinkToFit="1"/>
    </xf>
    <xf numFmtId="0" fontId="47" fillId="0" borderId="3" xfId="0" applyFont="1" applyFill="1" applyBorder="1" applyAlignment="1">
      <alignment horizontal="center" vertical="center" shrinkToFit="1"/>
    </xf>
    <xf numFmtId="0" fontId="47" fillId="0" borderId="5" xfId="0" applyFont="1" applyFill="1" applyBorder="1" applyAlignment="1">
      <alignment horizontal="center" vertical="center" shrinkToFit="1"/>
    </xf>
    <xf numFmtId="0" fontId="46" fillId="0" borderId="1" xfId="0" applyFont="1" applyBorder="1" applyAlignment="1">
      <alignment horizontal="center" vertical="center"/>
    </xf>
    <xf numFmtId="0" fontId="46" fillId="0" borderId="13" xfId="0" applyFont="1" applyBorder="1" applyAlignment="1">
      <alignment horizontal="center" vertical="center"/>
    </xf>
    <xf numFmtId="0" fontId="46" fillId="0" borderId="24" xfId="0" applyFont="1" applyBorder="1" applyAlignment="1">
      <alignment horizontal="center" vertical="center"/>
    </xf>
    <xf numFmtId="0" fontId="46" fillId="0" borderId="5" xfId="0" applyFont="1" applyBorder="1" applyAlignment="1">
      <alignment horizontal="center" vertical="center"/>
    </xf>
    <xf numFmtId="49" fontId="41" fillId="0" borderId="9" xfId="0" applyNumberFormat="1" applyFont="1" applyFill="1" applyBorder="1" applyAlignment="1">
      <alignment horizontal="center" vertical="center"/>
    </xf>
    <xf numFmtId="49" fontId="41" fillId="0" borderId="23" xfId="0" applyNumberFormat="1" applyFont="1" applyFill="1" applyBorder="1" applyAlignment="1">
      <alignment horizontal="center" vertical="center"/>
    </xf>
    <xf numFmtId="49" fontId="41" fillId="0" borderId="7" xfId="0" applyNumberFormat="1" applyFont="1" applyFill="1" applyBorder="1" applyAlignment="1">
      <alignment horizontal="center" vertical="center"/>
    </xf>
    <xf numFmtId="49" fontId="46" fillId="0" borderId="28" xfId="0" applyNumberFormat="1" applyFont="1" applyBorder="1" applyAlignment="1">
      <alignment horizontal="left" vertical="center"/>
    </xf>
    <xf numFmtId="49" fontId="46" fillId="0" borderId="52" xfId="0" applyNumberFormat="1" applyFont="1" applyBorder="1" applyAlignment="1">
      <alignment horizontal="left" vertical="center"/>
    </xf>
    <xf numFmtId="49" fontId="46" fillId="0" borderId="10" xfId="0" applyNumberFormat="1" applyFont="1" applyBorder="1" applyAlignment="1">
      <alignment horizontal="left" vertical="center"/>
    </xf>
    <xf numFmtId="0" fontId="46" fillId="0" borderId="31" xfId="0" applyFont="1" applyBorder="1" applyAlignment="1">
      <alignment horizontal="left" vertical="center"/>
    </xf>
    <xf numFmtId="0" fontId="46" fillId="0" borderId="53" xfId="0" applyFont="1" applyBorder="1" applyAlignment="1">
      <alignment horizontal="left" vertical="center"/>
    </xf>
    <xf numFmtId="0" fontId="46" fillId="0" borderId="28" xfId="0" applyFont="1" applyBorder="1" applyAlignment="1">
      <alignment horizontal="left" vertical="center"/>
    </xf>
    <xf numFmtId="0" fontId="46" fillId="0" borderId="52" xfId="0" applyFont="1" applyBorder="1" applyAlignment="1">
      <alignment horizontal="left" vertical="center"/>
    </xf>
    <xf numFmtId="0" fontId="46" fillId="0" borderId="10" xfId="0" applyFont="1" applyBorder="1" applyAlignment="1">
      <alignment horizontal="left" vertical="center"/>
    </xf>
    <xf numFmtId="0" fontId="46" fillId="33" borderId="27" xfId="0" applyFont="1" applyFill="1" applyBorder="1" applyAlignment="1">
      <alignment horizontal="left" vertical="center"/>
    </xf>
    <xf numFmtId="0" fontId="46" fillId="33" borderId="51" xfId="0" applyFont="1" applyFill="1" applyBorder="1" applyAlignment="1">
      <alignment horizontal="left" vertical="center"/>
    </xf>
    <xf numFmtId="0" fontId="9" fillId="0" borderId="82" xfId="0" applyFont="1" applyBorder="1" applyAlignment="1">
      <alignment horizontal="center" vertical="center" wrapText="1"/>
    </xf>
    <xf numFmtId="0" fontId="9" fillId="0" borderId="35" xfId="0" applyFont="1" applyBorder="1" applyAlignment="1">
      <alignment horizontal="center" vertical="center" wrapText="1"/>
    </xf>
    <xf numFmtId="0" fontId="12" fillId="0" borderId="2" xfId="0" applyFont="1" applyBorder="1" applyAlignment="1">
      <alignment horizontal="center" vertical="center" wrapText="1"/>
    </xf>
    <xf numFmtId="0" fontId="8" fillId="0" borderId="9" xfId="0" applyFont="1" applyBorder="1" applyAlignment="1">
      <alignment horizontal="left" vertical="center" wrapText="1"/>
    </xf>
    <xf numFmtId="0" fontId="8" fillId="0" borderId="23" xfId="0" applyFont="1" applyBorder="1" applyAlignment="1">
      <alignment horizontal="left" vertical="center" wrapText="1"/>
    </xf>
    <xf numFmtId="0" fontId="8" fillId="0" borderId="7" xfId="0" applyFont="1" applyBorder="1" applyAlignment="1">
      <alignment horizontal="left" vertical="center" wrapText="1"/>
    </xf>
    <xf numFmtId="0" fontId="0" fillId="0" borderId="9" xfId="0" applyBorder="1" applyAlignment="1">
      <alignment horizontal="center" vertical="center" wrapText="1"/>
    </xf>
    <xf numFmtId="0" fontId="0" fillId="0" borderId="23" xfId="0" applyBorder="1" applyAlignment="1">
      <alignment horizontal="center" vertical="center" wrapText="1"/>
    </xf>
    <xf numFmtId="0" fontId="0" fillId="0" borderId="7" xfId="0" applyBorder="1" applyAlignment="1">
      <alignment horizontal="center" vertical="center" wrapText="1"/>
    </xf>
    <xf numFmtId="0" fontId="38" fillId="0" borderId="25" xfId="0" applyFont="1" applyBorder="1" applyAlignment="1">
      <alignment horizontal="center" vertical="center" shrinkToFit="1"/>
    </xf>
    <xf numFmtId="0" fontId="38" fillId="0" borderId="26" xfId="0" applyFont="1" applyBorder="1" applyAlignment="1">
      <alignment horizontal="center" vertical="center" shrinkToFit="1"/>
    </xf>
    <xf numFmtId="0" fontId="46" fillId="0" borderId="20" xfId="0" applyFont="1" applyFill="1" applyBorder="1" applyAlignment="1">
      <alignment horizontal="center" vertical="center"/>
    </xf>
    <xf numFmtId="0" fontId="46" fillId="0" borderId="0" xfId="0" applyFont="1" applyFill="1" applyBorder="1" applyAlignment="1">
      <alignment horizontal="center" vertical="center"/>
    </xf>
    <xf numFmtId="0" fontId="46" fillId="0" borderId="50" xfId="0" applyFont="1" applyFill="1" applyBorder="1" applyAlignment="1">
      <alignment horizontal="center" vertical="center"/>
    </xf>
    <xf numFmtId="0" fontId="0" fillId="0" borderId="3" xfId="0" applyFont="1" applyFill="1" applyBorder="1" applyAlignment="1">
      <alignment horizontal="left" vertical="center" wrapText="1"/>
    </xf>
    <xf numFmtId="0" fontId="0" fillId="0" borderId="5" xfId="0" applyFont="1" applyFill="1" applyBorder="1" applyAlignment="1">
      <alignment horizontal="left" vertical="center" wrapText="1"/>
    </xf>
    <xf numFmtId="0" fontId="0" fillId="0" borderId="3" xfId="0" applyBorder="1" applyAlignment="1">
      <alignment horizontal="left" vertical="center"/>
    </xf>
    <xf numFmtId="0" fontId="0" fillId="0" borderId="5" xfId="0" applyBorder="1" applyAlignment="1">
      <alignment horizontal="left" vertical="center"/>
    </xf>
    <xf numFmtId="0" fontId="47" fillId="0" borderId="2" xfId="0" applyNumberFormat="1" applyFont="1" applyFill="1" applyBorder="1" applyAlignment="1">
      <alignment horizontal="center" vertical="center" wrapText="1" shrinkToFit="1"/>
    </xf>
    <xf numFmtId="0" fontId="47" fillId="0" borderId="2" xfId="0" applyFont="1" applyFill="1" applyBorder="1" applyAlignment="1">
      <alignment horizontal="center" vertical="center"/>
    </xf>
    <xf numFmtId="0" fontId="46" fillId="0" borderId="23" xfId="0" applyNumberFormat="1" applyFont="1" applyFill="1" applyBorder="1" applyAlignment="1">
      <alignment horizontal="center" vertical="center" wrapText="1" shrinkToFit="1"/>
    </xf>
    <xf numFmtId="0" fontId="46" fillId="0" borderId="1" xfId="0" applyNumberFormat="1" applyFont="1" applyFill="1" applyBorder="1" applyAlignment="1">
      <alignment horizontal="center" vertical="center" wrapText="1" shrinkToFit="1"/>
    </xf>
    <xf numFmtId="0" fontId="46" fillId="0" borderId="24" xfId="0" applyNumberFormat="1" applyFont="1" applyFill="1" applyBorder="1" applyAlignment="1">
      <alignment horizontal="center" vertical="center" wrapText="1" shrinkToFit="1"/>
    </xf>
    <xf numFmtId="0" fontId="46" fillId="0" borderId="22" xfId="0" applyNumberFormat="1" applyFont="1" applyFill="1" applyBorder="1" applyAlignment="1">
      <alignment horizontal="center" vertical="center" wrapText="1" shrinkToFit="1"/>
    </xf>
    <xf numFmtId="0" fontId="47" fillId="0" borderId="9" xfId="0" applyFont="1" applyFill="1" applyBorder="1" applyAlignment="1">
      <alignment horizontal="center" vertical="center"/>
    </xf>
    <xf numFmtId="0" fontId="47" fillId="0" borderId="7" xfId="0" applyFont="1" applyFill="1" applyBorder="1" applyAlignment="1">
      <alignment horizontal="center" vertical="center"/>
    </xf>
    <xf numFmtId="0" fontId="46" fillId="0" borderId="25" xfId="0" applyNumberFormat="1" applyFont="1" applyFill="1" applyBorder="1" applyAlignment="1">
      <alignment horizontal="center" vertical="center" wrapText="1" shrinkToFit="1"/>
    </xf>
    <xf numFmtId="0" fontId="46" fillId="0" borderId="21" xfId="0" applyNumberFormat="1" applyFont="1" applyFill="1" applyBorder="1" applyAlignment="1">
      <alignment horizontal="center" vertical="center" wrapText="1" shrinkToFit="1"/>
    </xf>
    <xf numFmtId="0" fontId="42" fillId="0" borderId="0" xfId="0" applyFont="1" applyBorder="1" applyAlignment="1">
      <alignment horizontal="center" vertical="center"/>
    </xf>
    <xf numFmtId="0" fontId="46" fillId="29" borderId="76" xfId="0" applyNumberFormat="1" applyFont="1" applyFill="1" applyBorder="1" applyAlignment="1">
      <alignment horizontal="center" vertical="center" wrapText="1" shrinkToFit="1"/>
    </xf>
    <xf numFmtId="0" fontId="46" fillId="29" borderId="77" xfId="0" applyNumberFormat="1" applyFont="1" applyFill="1" applyBorder="1" applyAlignment="1">
      <alignment horizontal="center" vertical="center" wrapText="1" shrinkToFit="1"/>
    </xf>
    <xf numFmtId="0" fontId="46" fillId="29" borderId="95" xfId="0" applyNumberFormat="1" applyFont="1" applyFill="1" applyBorder="1" applyAlignment="1">
      <alignment horizontal="center" vertical="center" wrapText="1" shrinkToFit="1"/>
    </xf>
    <xf numFmtId="0" fontId="37" fillId="0" borderId="2" xfId="89" applyFill="1" applyBorder="1" applyAlignment="1" applyProtection="1">
      <alignment horizontal="center" vertical="center" wrapText="1"/>
    </xf>
    <xf numFmtId="0" fontId="12" fillId="0" borderId="2" xfId="0" applyFont="1" applyFill="1" applyBorder="1" applyAlignment="1">
      <alignment horizontal="center" vertical="center" wrapText="1"/>
    </xf>
    <xf numFmtId="0" fontId="46" fillId="0" borderId="26" xfId="0" applyFont="1" applyFill="1" applyBorder="1" applyAlignment="1">
      <alignment horizontal="center" vertical="center"/>
    </xf>
    <xf numFmtId="0" fontId="46" fillId="0" borderId="52" xfId="0" applyNumberFormat="1" applyFont="1" applyFill="1" applyBorder="1" applyAlignment="1">
      <alignment horizontal="center" vertical="center" shrinkToFit="1"/>
    </xf>
    <xf numFmtId="0" fontId="46" fillId="0" borderId="10" xfId="0" applyNumberFormat="1" applyFont="1" applyFill="1" applyBorder="1" applyAlignment="1">
      <alignment horizontal="center" vertical="center" shrinkToFit="1"/>
    </xf>
    <xf numFmtId="0" fontId="0" fillId="0" borderId="2" xfId="0" applyFont="1" applyFill="1" applyBorder="1" applyAlignment="1">
      <alignment horizontal="left" vertical="center" wrapText="1"/>
    </xf>
    <xf numFmtId="0" fontId="37" fillId="0" borderId="2" xfId="89" applyFill="1" applyBorder="1" applyAlignment="1" applyProtection="1">
      <alignment horizontal="center" vertical="center"/>
    </xf>
    <xf numFmtId="0" fontId="49" fillId="0" borderId="2" xfId="89" applyFont="1" applyFill="1" applyBorder="1" applyAlignment="1" applyProtection="1">
      <alignment horizontal="center" vertical="center"/>
    </xf>
    <xf numFmtId="0" fontId="0" fillId="0" borderId="4" xfId="0" applyNumberFormat="1" applyFont="1" applyFill="1" applyBorder="1" applyAlignment="1">
      <alignment horizontal="left" vertical="top" shrinkToFit="1"/>
    </xf>
    <xf numFmtId="0" fontId="0" fillId="0" borderId="5" xfId="0" applyNumberFormat="1" applyFont="1" applyFill="1" applyBorder="1" applyAlignment="1">
      <alignment horizontal="left" vertical="top" shrinkToFit="1"/>
    </xf>
    <xf numFmtId="0" fontId="37" fillId="0" borderId="9" xfId="89" applyFill="1" applyBorder="1" applyAlignment="1" applyProtection="1">
      <alignment horizontal="center" vertical="center"/>
    </xf>
    <xf numFmtId="0" fontId="37" fillId="0" borderId="23" xfId="89" applyFill="1" applyBorder="1" applyAlignment="1" applyProtection="1">
      <alignment horizontal="center" vertical="center"/>
    </xf>
    <xf numFmtId="0" fontId="47" fillId="0" borderId="23" xfId="0" applyFont="1" applyFill="1" applyBorder="1" applyAlignment="1">
      <alignment horizontal="center" vertical="center"/>
    </xf>
    <xf numFmtId="0" fontId="47" fillId="0" borderId="3" xfId="0" applyFont="1" applyFill="1" applyBorder="1" applyAlignment="1">
      <alignment horizontal="center" vertical="center"/>
    </xf>
    <xf numFmtId="0" fontId="47" fillId="0" borderId="4" xfId="0" applyFont="1" applyFill="1" applyBorder="1" applyAlignment="1">
      <alignment horizontal="center" vertical="center"/>
    </xf>
    <xf numFmtId="0" fontId="47" fillId="0" borderId="5" xfId="0" applyFont="1" applyFill="1" applyBorder="1" applyAlignment="1">
      <alignment horizontal="center" vertical="center"/>
    </xf>
    <xf numFmtId="0" fontId="46" fillId="0" borderId="3" xfId="0" applyFont="1" applyFill="1" applyBorder="1" applyAlignment="1">
      <alignment horizontal="center" vertical="center"/>
    </xf>
    <xf numFmtId="0" fontId="46" fillId="0" borderId="13" xfId="0" applyNumberFormat="1" applyFont="1" applyFill="1" applyBorder="1" applyAlignment="1">
      <alignment horizontal="center" vertical="center" wrapText="1" shrinkToFit="1"/>
    </xf>
    <xf numFmtId="0" fontId="46" fillId="0" borderId="14" xfId="0" applyNumberFormat="1" applyFont="1" applyFill="1" applyBorder="1" applyAlignment="1">
      <alignment horizontal="center" vertical="center" wrapText="1" shrinkToFit="1"/>
    </xf>
    <xf numFmtId="0" fontId="46" fillId="29" borderId="16" xfId="0" applyFont="1" applyFill="1" applyBorder="1" applyAlignment="1">
      <alignment horizontal="left" vertical="center"/>
    </xf>
    <xf numFmtId="0" fontId="47" fillId="29" borderId="6" xfId="0" applyNumberFormat="1" applyFont="1" applyFill="1" applyBorder="1" applyAlignment="1">
      <alignment horizontal="left" vertical="center" shrinkToFit="1"/>
    </xf>
    <xf numFmtId="0" fontId="47" fillId="29" borderId="8" xfId="0" applyNumberFormat="1" applyFont="1" applyFill="1" applyBorder="1" applyAlignment="1">
      <alignment horizontal="left" vertical="center" shrinkToFit="1"/>
    </xf>
    <xf numFmtId="0" fontId="0" fillId="0" borderId="9" xfId="0" applyFont="1" applyBorder="1" applyAlignment="1">
      <alignment horizontal="left" vertical="center" wrapText="1"/>
    </xf>
    <xf numFmtId="0" fontId="0" fillId="0" borderId="23" xfId="0" applyFont="1" applyBorder="1" applyAlignment="1">
      <alignment horizontal="left" vertical="center" wrapText="1"/>
    </xf>
    <xf numFmtId="0" fontId="0" fillId="0" borderId="7" xfId="0" applyFont="1" applyBorder="1" applyAlignment="1">
      <alignment horizontal="left" vertical="center" wrapText="1"/>
    </xf>
    <xf numFmtId="49" fontId="46" fillId="0" borderId="25" xfId="0" applyNumberFormat="1" applyFont="1" applyFill="1" applyBorder="1" applyAlignment="1">
      <alignment horizontal="left" vertical="center"/>
    </xf>
    <xf numFmtId="49" fontId="46" fillId="0" borderId="26" xfId="0" applyNumberFormat="1" applyFont="1" applyFill="1" applyBorder="1" applyAlignment="1">
      <alignment horizontal="left" vertical="center"/>
    </xf>
    <xf numFmtId="49" fontId="46" fillId="0" borderId="21" xfId="0" applyNumberFormat="1" applyFont="1" applyFill="1" applyBorder="1" applyAlignment="1">
      <alignment horizontal="left" vertical="center"/>
    </xf>
    <xf numFmtId="0" fontId="37" fillId="0" borderId="4" xfId="89" applyFill="1" applyBorder="1" applyAlignment="1" applyProtection="1">
      <alignment horizontal="center" vertical="center"/>
    </xf>
    <xf numFmtId="0" fontId="37" fillId="0" borderId="5" xfId="89" applyFill="1" applyBorder="1" applyAlignment="1" applyProtection="1">
      <alignment horizontal="center" vertical="center"/>
    </xf>
    <xf numFmtId="0" fontId="46" fillId="0" borderId="20" xfId="0" applyNumberFormat="1" applyFont="1" applyFill="1" applyBorder="1" applyAlignment="1">
      <alignment horizontal="left" vertical="center" wrapText="1" shrinkToFit="1"/>
    </xf>
    <xf numFmtId="0" fontId="46" fillId="0" borderId="2" xfId="0" applyNumberFormat="1" applyFont="1" applyFill="1" applyBorder="1" applyAlignment="1">
      <alignment horizontal="left" vertical="center" wrapText="1" shrinkToFit="1"/>
    </xf>
    <xf numFmtId="0" fontId="46" fillId="0" borderId="7" xfId="0" applyNumberFormat="1" applyFont="1" applyFill="1" applyBorder="1" applyAlignment="1">
      <alignment horizontal="left" vertical="center" wrapText="1" shrinkToFit="1"/>
    </xf>
    <xf numFmtId="0" fontId="37" fillId="0" borderId="3" xfId="89" applyFill="1" applyBorder="1" applyAlignment="1" applyProtection="1">
      <alignment horizontal="center" vertical="center"/>
    </xf>
    <xf numFmtId="0" fontId="64" fillId="0" borderId="8" xfId="0" applyFont="1" applyFill="1" applyBorder="1" applyAlignment="1">
      <alignment horizontal="left" vertical="center" wrapText="1"/>
    </xf>
    <xf numFmtId="0" fontId="64" fillId="0" borderId="4" xfId="0" applyFont="1" applyFill="1" applyBorder="1" applyAlignment="1">
      <alignment horizontal="left" vertical="center"/>
    </xf>
    <xf numFmtId="0" fontId="64" fillId="0" borderId="5" xfId="0" applyFont="1" applyFill="1" applyBorder="1" applyAlignment="1">
      <alignment horizontal="left" vertical="center"/>
    </xf>
    <xf numFmtId="0" fontId="37" fillId="0" borderId="8" xfId="89" applyFill="1" applyBorder="1" applyAlignment="1" applyProtection="1">
      <alignment horizontal="center" vertical="center"/>
    </xf>
    <xf numFmtId="0" fontId="49" fillId="0" borderId="9" xfId="89" applyFont="1" applyFill="1" applyBorder="1" applyAlignment="1" applyProtection="1">
      <alignment horizontal="center" vertical="center"/>
    </xf>
    <xf numFmtId="0" fontId="49" fillId="0" borderId="23" xfId="89" applyFont="1" applyFill="1" applyBorder="1" applyAlignment="1" applyProtection="1">
      <alignment horizontal="center" vertical="center"/>
    </xf>
    <xf numFmtId="0" fontId="49" fillId="0" borderId="7" xfId="89" applyFont="1" applyFill="1" applyBorder="1" applyAlignment="1" applyProtection="1">
      <alignment horizontal="center" vertical="center"/>
    </xf>
    <xf numFmtId="0" fontId="0" fillId="0" borderId="9" xfId="0" applyNumberFormat="1" applyFont="1" applyFill="1" applyBorder="1" applyAlignment="1">
      <alignment horizontal="center" vertical="center" wrapText="1" shrinkToFit="1"/>
    </xf>
    <xf numFmtId="0" fontId="0" fillId="0" borderId="23" xfId="0" applyNumberFormat="1" applyFont="1" applyFill="1" applyBorder="1" applyAlignment="1">
      <alignment horizontal="center" vertical="center" wrapText="1" shrinkToFit="1"/>
    </xf>
    <xf numFmtId="0" fontId="0" fillId="0" borderId="7" xfId="0" applyNumberFormat="1" applyFont="1" applyFill="1" applyBorder="1" applyAlignment="1">
      <alignment horizontal="center" vertical="center" wrapText="1" shrinkToFit="1"/>
    </xf>
    <xf numFmtId="0" fontId="0" fillId="0" borderId="9" xfId="0" applyFont="1" applyFill="1" applyBorder="1" applyAlignment="1">
      <alignment horizontal="center" vertical="center" wrapText="1"/>
    </xf>
    <xf numFmtId="0" fontId="0" fillId="0" borderId="23" xfId="0" applyFont="1" applyFill="1" applyBorder="1" applyAlignment="1">
      <alignment horizontal="center" vertical="center" wrapText="1"/>
    </xf>
    <xf numFmtId="0" fontId="0" fillId="0" borderId="7" xfId="0" applyFont="1" applyFill="1" applyBorder="1" applyAlignment="1">
      <alignment horizontal="center" vertical="center" wrapText="1"/>
    </xf>
    <xf numFmtId="0" fontId="45" fillId="0" borderId="9" xfId="0" applyFont="1" applyBorder="1" applyAlignment="1">
      <alignment horizontal="left" vertical="center"/>
    </xf>
    <xf numFmtId="0" fontId="45" fillId="0" borderId="23" xfId="0" applyFont="1" applyBorder="1" applyAlignment="1">
      <alignment horizontal="left" vertical="center"/>
    </xf>
    <xf numFmtId="0" fontId="45" fillId="0" borderId="7" xfId="0" applyFont="1" applyBorder="1" applyAlignment="1">
      <alignment horizontal="left" vertical="center"/>
    </xf>
    <xf numFmtId="0" fontId="0" fillId="29" borderId="6" xfId="0" applyFont="1" applyFill="1" applyBorder="1" applyAlignment="1">
      <alignment horizontal="left" vertical="center" wrapText="1"/>
    </xf>
    <xf numFmtId="0" fontId="0" fillId="29" borderId="23" xfId="0" applyFont="1" applyFill="1" applyBorder="1" applyAlignment="1">
      <alignment horizontal="left" vertical="center" wrapText="1"/>
    </xf>
    <xf numFmtId="0" fontId="0" fillId="0" borderId="6" xfId="0" applyFont="1" applyBorder="1" applyAlignment="1">
      <alignment horizontal="left" vertical="center"/>
    </xf>
    <xf numFmtId="0" fontId="0" fillId="0" borderId="8" xfId="0" applyFont="1" applyBorder="1" applyAlignment="1">
      <alignment horizontal="left" vertical="center"/>
    </xf>
    <xf numFmtId="0" fontId="0" fillId="0" borderId="6" xfId="0" applyFont="1" applyBorder="1" applyAlignment="1">
      <alignment horizontal="left" vertical="center" wrapText="1"/>
    </xf>
    <xf numFmtId="0" fontId="0" fillId="29" borderId="8" xfId="0" applyFont="1" applyFill="1" applyBorder="1" applyAlignment="1">
      <alignment horizontal="left" vertical="center" wrapText="1"/>
    </xf>
    <xf numFmtId="0" fontId="0" fillId="29" borderId="6" xfId="0" applyFont="1" applyFill="1" applyBorder="1" applyAlignment="1">
      <alignment horizontal="left" vertical="center"/>
    </xf>
    <xf numFmtId="0" fontId="0" fillId="29" borderId="23" xfId="0" applyFont="1" applyFill="1" applyBorder="1" applyAlignment="1">
      <alignment horizontal="left" vertical="center"/>
    </xf>
    <xf numFmtId="0" fontId="0" fillId="29" borderId="8" xfId="0" applyFont="1" applyFill="1" applyBorder="1" applyAlignment="1">
      <alignment horizontal="left" vertical="center"/>
    </xf>
    <xf numFmtId="0" fontId="65" fillId="0" borderId="20" xfId="0" applyFont="1" applyBorder="1" applyAlignment="1">
      <alignment horizontal="center" vertical="center"/>
    </xf>
    <xf numFmtId="0" fontId="46" fillId="0" borderId="23" xfId="0" applyFont="1" applyFill="1" applyBorder="1" applyAlignment="1">
      <alignment horizontal="center" vertical="center"/>
    </xf>
    <xf numFmtId="0" fontId="46" fillId="0" borderId="7" xfId="0" applyFont="1" applyFill="1" applyBorder="1" applyAlignment="1">
      <alignment horizontal="center" vertical="center"/>
    </xf>
    <xf numFmtId="0" fontId="8" fillId="0" borderId="3" xfId="0" applyFont="1" applyFill="1" applyBorder="1" applyAlignment="1">
      <alignment horizontal="left" vertical="center" wrapText="1"/>
    </xf>
    <xf numFmtId="0" fontId="8" fillId="0" borderId="23" xfId="0" applyFont="1" applyFill="1" applyBorder="1" applyAlignment="1">
      <alignment horizontal="left" vertical="center" wrapText="1"/>
    </xf>
    <xf numFmtId="0" fontId="8" fillId="0" borderId="5" xfId="0" applyFont="1" applyFill="1" applyBorder="1" applyAlignment="1">
      <alignment horizontal="left" vertical="center" wrapText="1"/>
    </xf>
    <xf numFmtId="0" fontId="47" fillId="29" borderId="4" xfId="0" applyNumberFormat="1" applyFont="1" applyFill="1" applyBorder="1" applyAlignment="1">
      <alignment horizontal="left" vertical="center" shrinkToFit="1"/>
    </xf>
    <xf numFmtId="0" fontId="0" fillId="0" borderId="9" xfId="0" applyNumberFormat="1" applyFont="1" applyFill="1" applyBorder="1" applyAlignment="1">
      <alignment horizontal="left" vertical="center" wrapText="1" shrinkToFit="1"/>
    </xf>
    <xf numFmtId="0" fontId="0" fillId="0" borderId="23" xfId="0" applyNumberFormat="1" applyFont="1" applyFill="1" applyBorder="1" applyAlignment="1">
      <alignment horizontal="left" vertical="center" wrapText="1" shrinkToFit="1"/>
    </xf>
    <xf numFmtId="0" fontId="0" fillId="0" borderId="7" xfId="0" applyNumberFormat="1" applyFont="1" applyFill="1" applyBorder="1" applyAlignment="1">
      <alignment horizontal="left" vertical="center" wrapText="1" shrinkToFit="1"/>
    </xf>
    <xf numFmtId="0" fontId="0" fillId="0" borderId="9" xfId="0" applyNumberFormat="1" applyFont="1" applyFill="1" applyBorder="1" applyAlignment="1">
      <alignment horizontal="left" vertical="center" shrinkToFit="1"/>
    </xf>
    <xf numFmtId="0" fontId="0" fillId="0" borderId="23" xfId="0" applyNumberFormat="1" applyFont="1" applyFill="1" applyBorder="1" applyAlignment="1">
      <alignment horizontal="left" vertical="center" shrinkToFit="1"/>
    </xf>
    <xf numFmtId="0" fontId="0" fillId="0" borderId="7" xfId="0" applyNumberFormat="1" applyFont="1" applyFill="1" applyBorder="1" applyAlignment="1">
      <alignment horizontal="left" vertical="center" shrinkToFit="1"/>
    </xf>
    <xf numFmtId="0" fontId="37" fillId="0" borderId="7" xfId="89" applyFill="1" applyBorder="1" applyAlignment="1" applyProtection="1">
      <alignment horizontal="center" vertical="center"/>
    </xf>
    <xf numFmtId="0" fontId="61" fillId="0" borderId="98" xfId="0" applyFont="1" applyBorder="1" applyAlignment="1">
      <alignment horizontal="center" vertical="center" wrapText="1"/>
    </xf>
    <xf numFmtId="0" fontId="61" fillId="0" borderId="99" xfId="0" applyFont="1" applyBorder="1" applyAlignment="1">
      <alignment horizontal="center" vertical="center" wrapText="1"/>
    </xf>
    <xf numFmtId="0" fontId="61" fillId="0" borderId="100" xfId="0" applyFont="1" applyBorder="1" applyAlignment="1">
      <alignment horizontal="center" vertical="center" wrapText="1"/>
    </xf>
    <xf numFmtId="0" fontId="43" fillId="0" borderId="33" xfId="0" applyNumberFormat="1" applyFont="1" applyFill="1" applyBorder="1" applyAlignment="1">
      <alignment horizontal="center" vertical="center" shrinkToFit="1"/>
    </xf>
    <xf numFmtId="0" fontId="43" fillId="0" borderId="34" xfId="0" applyNumberFormat="1" applyFont="1" applyFill="1" applyBorder="1" applyAlignment="1">
      <alignment horizontal="center" vertical="center" shrinkToFit="1"/>
    </xf>
    <xf numFmtId="0" fontId="43" fillId="0" borderId="36" xfId="0" applyNumberFormat="1" applyFont="1" applyFill="1" applyBorder="1" applyAlignment="1">
      <alignment horizontal="center" vertical="center" shrinkToFit="1"/>
    </xf>
    <xf numFmtId="0" fontId="43" fillId="2" borderId="59" xfId="0" applyNumberFormat="1" applyFont="1" applyFill="1" applyBorder="1" applyAlignment="1">
      <alignment horizontal="center" vertical="center" shrinkToFit="1"/>
    </xf>
    <xf numFmtId="0" fontId="43" fillId="2" borderId="61" xfId="0" applyNumberFormat="1" applyFont="1" applyFill="1" applyBorder="1" applyAlignment="1">
      <alignment horizontal="center" vertical="center" shrinkToFit="1"/>
    </xf>
    <xf numFmtId="0" fontId="43" fillId="2" borderId="62" xfId="0" applyNumberFormat="1" applyFont="1" applyFill="1" applyBorder="1" applyAlignment="1">
      <alignment horizontal="center" vertical="center" shrinkToFit="1"/>
    </xf>
    <xf numFmtId="0" fontId="62" fillId="0" borderId="0" xfId="0" applyNumberFormat="1" applyFont="1" applyFill="1" applyBorder="1" applyAlignment="1">
      <alignment horizontal="left" vertical="center" wrapText="1" shrinkToFit="1"/>
    </xf>
    <xf numFmtId="0" fontId="46" fillId="0" borderId="65" xfId="0" applyNumberFormat="1" applyFont="1" applyFill="1" applyBorder="1" applyAlignment="1">
      <alignment horizontal="center" vertical="center" wrapText="1" shrinkToFit="1"/>
    </xf>
    <xf numFmtId="0" fontId="46" fillId="0" borderId="68" xfId="0" applyNumberFormat="1" applyFont="1" applyFill="1" applyBorder="1" applyAlignment="1">
      <alignment horizontal="center" vertical="center" wrapText="1" shrinkToFit="1"/>
    </xf>
    <xf numFmtId="0" fontId="46" fillId="0" borderId="69" xfId="0" applyNumberFormat="1" applyFont="1" applyFill="1" applyBorder="1" applyAlignment="1">
      <alignment horizontal="center" vertical="center" wrapText="1"/>
    </xf>
    <xf numFmtId="0" fontId="37" fillId="0" borderId="67" xfId="89" applyBorder="1" applyAlignment="1" applyProtection="1">
      <alignment horizontal="center" vertical="center"/>
    </xf>
    <xf numFmtId="0" fontId="37" fillId="0" borderId="74" xfId="89" applyBorder="1" applyAlignment="1" applyProtection="1">
      <alignment horizontal="center" vertical="center"/>
    </xf>
    <xf numFmtId="0" fontId="42" fillId="0" borderId="0" xfId="0" applyNumberFormat="1" applyFont="1" applyFill="1" applyBorder="1" applyAlignment="1">
      <alignment horizontal="left" vertical="center" wrapText="1" shrinkToFit="1"/>
    </xf>
    <xf numFmtId="0" fontId="43" fillId="0" borderId="9" xfId="0" applyFont="1" applyFill="1" applyBorder="1" applyAlignment="1">
      <alignment horizontal="center" vertical="center" textRotation="90" shrinkToFit="1"/>
    </xf>
    <xf numFmtId="0" fontId="43" fillId="0" borderId="23" xfId="0" applyFont="1" applyFill="1" applyBorder="1" applyAlignment="1">
      <alignment horizontal="center" vertical="center" textRotation="90" shrinkToFit="1"/>
    </xf>
    <xf numFmtId="0" fontId="43" fillId="0" borderId="7" xfId="0" applyFont="1" applyFill="1" applyBorder="1" applyAlignment="1">
      <alignment horizontal="center" vertical="center" textRotation="90" shrinkToFit="1"/>
    </xf>
    <xf numFmtId="0" fontId="46" fillId="0" borderId="6" xfId="0" applyNumberFormat="1" applyFont="1" applyFill="1" applyBorder="1" applyAlignment="1">
      <alignment horizontal="center" vertical="center" shrinkToFit="1"/>
    </xf>
    <xf numFmtId="0" fontId="0" fillId="0" borderId="4" xfId="0" applyBorder="1" applyAlignment="1">
      <alignment horizontal="center" vertical="center"/>
    </xf>
    <xf numFmtId="0" fontId="46" fillId="0" borderId="6" xfId="0" applyNumberFormat="1" applyFont="1" applyFill="1" applyBorder="1" applyAlignment="1">
      <alignment horizontal="center" vertical="center" wrapText="1"/>
    </xf>
    <xf numFmtId="0" fontId="46" fillId="0" borderId="8" xfId="0" applyNumberFormat="1" applyFont="1" applyFill="1" applyBorder="1" applyAlignment="1">
      <alignment horizontal="center" vertical="center" wrapText="1"/>
    </xf>
    <xf numFmtId="0" fontId="50" fillId="0" borderId="8" xfId="0" applyNumberFormat="1" applyFont="1" applyFill="1" applyBorder="1" applyAlignment="1">
      <alignment horizontal="center" vertical="center" shrinkToFit="1"/>
    </xf>
    <xf numFmtId="0" fontId="43" fillId="0" borderId="6" xfId="0" applyNumberFormat="1" applyFont="1" applyFill="1" applyBorder="1" applyAlignment="1">
      <alignment horizontal="center" vertical="center" shrinkToFit="1"/>
    </xf>
    <xf numFmtId="0" fontId="43" fillId="0" borderId="23" xfId="0" applyNumberFormat="1" applyFont="1" applyFill="1" applyBorder="1" applyAlignment="1">
      <alignment horizontal="center" vertical="center" shrinkToFit="1"/>
    </xf>
    <xf numFmtId="0" fontId="43" fillId="0" borderId="8" xfId="0" applyNumberFormat="1" applyFont="1" applyFill="1" applyBorder="1" applyAlignment="1">
      <alignment horizontal="center" vertical="center" shrinkToFit="1"/>
    </xf>
    <xf numFmtId="0" fontId="6" fillId="0" borderId="6" xfId="0" applyNumberFormat="1" applyFont="1" applyBorder="1" applyAlignment="1">
      <alignment horizontal="left" vertical="center" wrapText="1" shrinkToFit="1"/>
    </xf>
    <xf numFmtId="0" fontId="6" fillId="0" borderId="23" xfId="0" applyNumberFormat="1" applyFont="1" applyBorder="1" applyAlignment="1">
      <alignment horizontal="left" vertical="center" wrapText="1" shrinkToFit="1"/>
    </xf>
    <xf numFmtId="0" fontId="6" fillId="0" borderId="8" xfId="0" applyNumberFormat="1" applyFont="1" applyBorder="1" applyAlignment="1">
      <alignment horizontal="left" vertical="center" wrapText="1" shrinkToFit="1"/>
    </xf>
    <xf numFmtId="0" fontId="46" fillId="0" borderId="6" xfId="0" applyNumberFormat="1" applyFont="1" applyFill="1" applyBorder="1" applyAlignment="1">
      <alignment horizontal="center" vertical="center" wrapText="1" shrinkToFit="1"/>
    </xf>
    <xf numFmtId="0" fontId="46" fillId="0" borderId="8" xfId="0" applyNumberFormat="1" applyFont="1" applyFill="1" applyBorder="1" applyAlignment="1">
      <alignment horizontal="center" vertical="center" wrapText="1" shrinkToFi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49" fontId="42" fillId="0" borderId="2" xfId="0" applyNumberFormat="1" applyFont="1" applyBorder="1" applyAlignment="1">
      <alignment horizontal="center" vertical="center"/>
    </xf>
  </cellXfs>
  <cellStyles count="90">
    <cellStyle name="20% - アクセント 1 2" xfId="2"/>
    <cellStyle name="20% - アクセント 1 2 2" xfId="3"/>
    <cellStyle name="20% - アクセント 1 3" xfId="4"/>
    <cellStyle name="20% - アクセント 2 2" xfId="5"/>
    <cellStyle name="20% - アクセント 2 2 2" xfId="6"/>
    <cellStyle name="20% - アクセント 2 3" xfId="7"/>
    <cellStyle name="20% - アクセント 3 2" xfId="8"/>
    <cellStyle name="20% - アクセント 3 2 2" xfId="9"/>
    <cellStyle name="20% - アクセント 3 3" xfId="10"/>
    <cellStyle name="20% - アクセント 4 2" xfId="11"/>
    <cellStyle name="20% - アクセント 4 2 2" xfId="12"/>
    <cellStyle name="20% - アクセント 4 3" xfId="13"/>
    <cellStyle name="20% - アクセント 5 2" xfId="14"/>
    <cellStyle name="20% - アクセント 5 2 2" xfId="15"/>
    <cellStyle name="20% - アクセント 5 3" xfId="16"/>
    <cellStyle name="20% - アクセント 6 2" xfId="17"/>
    <cellStyle name="20% - アクセント 6 2 2" xfId="18"/>
    <cellStyle name="20% - アクセント 6 3" xfId="19"/>
    <cellStyle name="40% - アクセント 1 2" xfId="20"/>
    <cellStyle name="40% - アクセント 1 2 2" xfId="21"/>
    <cellStyle name="40% - アクセント 1 3" xfId="22"/>
    <cellStyle name="40% - アクセント 2 2" xfId="23"/>
    <cellStyle name="40% - アクセント 2 2 2" xfId="24"/>
    <cellStyle name="40% - アクセント 2 3" xfId="25"/>
    <cellStyle name="40% - アクセント 3 2" xfId="26"/>
    <cellStyle name="40% - アクセント 3 2 2" xfId="27"/>
    <cellStyle name="40% - アクセント 3 3" xfId="28"/>
    <cellStyle name="40% - アクセント 4 2" xfId="29"/>
    <cellStyle name="40% - アクセント 4 2 2" xfId="30"/>
    <cellStyle name="40% - アクセント 4 3" xfId="31"/>
    <cellStyle name="40% - アクセント 5 2" xfId="32"/>
    <cellStyle name="40% - アクセント 5 2 2" xfId="33"/>
    <cellStyle name="40% - アクセント 5 3" xfId="34"/>
    <cellStyle name="40% - アクセント 6 2" xfId="35"/>
    <cellStyle name="40% - アクセント 6 2 2" xfId="36"/>
    <cellStyle name="40% - アクセント 6 3" xfId="37"/>
    <cellStyle name="60% - アクセント 1 2" xfId="38"/>
    <cellStyle name="60% - アクセント 2 2" xfId="39"/>
    <cellStyle name="60% - アクセント 3 2" xfId="40"/>
    <cellStyle name="60% - アクセント 4 2" xfId="41"/>
    <cellStyle name="60% - アクセント 5 2" xfId="42"/>
    <cellStyle name="60% - アクセント 6 2" xfId="43"/>
    <cellStyle name="Hyperlink" xfId="89" builtinId="8"/>
    <cellStyle name="Normal" xfId="0" builtinId="0"/>
    <cellStyle name="アクセント 1 2" xfId="44"/>
    <cellStyle name="アクセント 2 2" xfId="45"/>
    <cellStyle name="アクセント 3 2" xfId="46"/>
    <cellStyle name="アクセント 4 2" xfId="47"/>
    <cellStyle name="アクセント 5 2" xfId="48"/>
    <cellStyle name="アクセント 6 2" xfId="49"/>
    <cellStyle name="タイトル 2" xfId="50"/>
    <cellStyle name="チェック セル 2" xfId="51"/>
    <cellStyle name="どちらでもない 2" xfId="52"/>
    <cellStyle name="メモ 2" xfId="53"/>
    <cellStyle name="メモ 2 2" xfId="54"/>
    <cellStyle name="メモ 3" xfId="55"/>
    <cellStyle name="リンク セル 2" xfId="56"/>
    <cellStyle name="入力 2" xfId="68"/>
    <cellStyle name="出力 2" xfId="66"/>
    <cellStyle name="悪い 2" xfId="57"/>
    <cellStyle name="桁区切り [0.00] 2" xfId="60"/>
    <cellStyle name="標準 2" xfId="1"/>
    <cellStyle name="標準 2 10" xfId="69"/>
    <cellStyle name="標準 2 11" xfId="87"/>
    <cellStyle name="標準 2 2" xfId="70"/>
    <cellStyle name="標準 2 2 2" xfId="71"/>
    <cellStyle name="標準 2 2 2 2" xfId="72"/>
    <cellStyle name="標準 2 2 3" xfId="73"/>
    <cellStyle name="標準 2 2_RACE&amp;SLEEVE TOOLING LIST(20130426YAMAMOTO)" xfId="74"/>
    <cellStyle name="標準 2 3" xfId="75"/>
    <cellStyle name="標準 2 4" xfId="76"/>
    <cellStyle name="標準 2 5" xfId="77"/>
    <cellStyle name="標準 2 6" xfId="78"/>
    <cellStyle name="標準 2 7" xfId="79"/>
    <cellStyle name="標準 2 8" xfId="80"/>
    <cellStyle name="標準 2 9" xfId="81"/>
    <cellStyle name="標準 3" xfId="82"/>
    <cellStyle name="標準 3 2" xfId="83"/>
    <cellStyle name="標準 3 3" xfId="88"/>
    <cellStyle name="標準 4" xfId="84"/>
    <cellStyle name="標準 5" xfId="86"/>
    <cellStyle name="良い 2" xfId="85"/>
    <cellStyle name="見出し 1 2" xfId="61"/>
    <cellStyle name="見出し 2 2" xfId="62"/>
    <cellStyle name="見出し 3 2" xfId="63"/>
    <cellStyle name="見出し 4 2" xfId="64"/>
    <cellStyle name="計算 2" xfId="58"/>
    <cellStyle name="説明文 2" xfId="67"/>
    <cellStyle name="警告文 2" xfId="59"/>
    <cellStyle name="集計 2" xfId="65"/>
  </cellStyles>
  <dxfs count="517">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ont>
        <color rgb="FFFF0000"/>
      </font>
    </dxf>
  </dxfs>
  <tableStyles count="0" defaultTableStyle="TableStyleMedium9" defaultPivotStyle="PivotStyleLight16"/>
  <colors>
    <mruColors>
      <color rgb="FF0000FF"/>
      <color rgb="FFFF3232"/>
      <color rgb="FFFFFF64"/>
      <color rgb="FF66FFFF"/>
      <color rgb="FFFFFFCC"/>
      <color rgb="FFFFCCFF"/>
      <color rgb="FFEAEAEA"/>
      <color rgb="FFFF6464"/>
      <color rgb="FF4F6228"/>
      <color rgb="FFE1E1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8" Type="http://schemas.openxmlformats.org/officeDocument/2006/relationships/hyperlink" Target="#RACE2!A1"/><Relationship Id="rId13" Type="http://schemas.openxmlformats.org/officeDocument/2006/relationships/hyperlink" Target="#'BALL(5)'!Print_Area"/><Relationship Id="rId18" Type="http://schemas.openxmlformats.org/officeDocument/2006/relationships/hyperlink" Target="#'BALL(3)'!Print_Area"/><Relationship Id="rId26" Type="http://schemas.openxmlformats.org/officeDocument/2006/relationships/hyperlink" Target="#S_ROLLER_ASSY!Print_Area"/><Relationship Id="rId3" Type="http://schemas.openxmlformats.org/officeDocument/2006/relationships/hyperlink" Target="#RACE!A1"/><Relationship Id="rId21" Type="http://schemas.openxmlformats.org/officeDocument/2006/relationships/hyperlink" Target="#&#12508;&#12540;&#12523;&#20837;&#12426;RD!A1"/><Relationship Id="rId7" Type="http://schemas.openxmlformats.org/officeDocument/2006/relationships/hyperlink" Target="#'ABR BODY'!Print_Area"/><Relationship Id="rId12" Type="http://schemas.openxmlformats.org/officeDocument/2006/relationships/hyperlink" Target="#'SPH &#20013;&#22411;'!A1"/><Relationship Id="rId17" Type="http://schemas.openxmlformats.org/officeDocument/2006/relationships/hyperlink" Target="#&#12524;&#12471;&#12503;&#12525;&#12508;&#12487;&#12451;!A1"/><Relationship Id="rId25" Type="http://schemas.openxmlformats.org/officeDocument/2006/relationships/hyperlink" Target="#D_ROLLER_ASSY!Print_Area"/><Relationship Id="rId2" Type="http://schemas.openxmlformats.org/officeDocument/2006/relationships/hyperlink" Target="#'SPH(D&#8594;T)'!A1"/><Relationship Id="rId16" Type="http://schemas.openxmlformats.org/officeDocument/2006/relationships/hyperlink" Target="#'BALL(&#20869;&#24452;&#12395;TFE)'!A1"/><Relationship Id="rId20" Type="http://schemas.openxmlformats.org/officeDocument/2006/relationships/hyperlink" Target="#'SPH(DT)'!A1"/><Relationship Id="rId29" Type="http://schemas.openxmlformats.org/officeDocument/2006/relationships/hyperlink" Target="#'SLEEVE IDG'!Print_Area"/><Relationship Id="rId1" Type="http://schemas.openxmlformats.org/officeDocument/2006/relationships/hyperlink" Target="#'BALL(1)'!Print_Area"/><Relationship Id="rId6" Type="http://schemas.openxmlformats.org/officeDocument/2006/relationships/hyperlink" Target="#'F-BODY'!A1"/><Relationship Id="rId11" Type="http://schemas.openxmlformats.org/officeDocument/2006/relationships/hyperlink" Target="#JWAVE!A1"/><Relationship Id="rId24" Type="http://schemas.openxmlformats.org/officeDocument/2006/relationships/hyperlink" Target="(&#36039;&#26009;)kzw-Thai&#21152;&#24037;&#31561;&#21839;&#12356;&#21512;&#12431;&#12379;&#22238;&#31572;/20180327_THAI&#31227;&#31649;&#32232;&#33455;&#12508;&#12540;&#12523;.pdf" TargetMode="External"/><Relationship Id="rId5" Type="http://schemas.openxmlformats.org/officeDocument/2006/relationships/hyperlink" Target="#'M-BODY'!A1"/><Relationship Id="rId15" Type="http://schemas.openxmlformats.org/officeDocument/2006/relationships/hyperlink" Target="#'&#12524;&#12471;&#12503;&#12525;&#65293;'!A1"/><Relationship Id="rId23" Type="http://schemas.openxmlformats.org/officeDocument/2006/relationships/hyperlink" Target="#'LOCK NUT'!A1"/><Relationship Id="rId28" Type="http://schemas.openxmlformats.org/officeDocument/2006/relationships/hyperlink" Target="#'BOEING SLEEVE'!A1"/><Relationship Id="rId10" Type="http://schemas.openxmlformats.org/officeDocument/2006/relationships/hyperlink" Target="#'BALL(4)'!Print_Area"/><Relationship Id="rId19" Type="http://schemas.openxmlformats.org/officeDocument/2006/relationships/hyperlink" Target="#'SPH(D&#8594;DT)'!A1"/><Relationship Id="rId31" Type="http://schemas.openxmlformats.org/officeDocument/2006/relationships/hyperlink" Target="#'BALL(6)'!A1"/><Relationship Id="rId4" Type="http://schemas.openxmlformats.org/officeDocument/2006/relationships/hyperlink" Target="#'3PCS'!A1"/><Relationship Id="rId9" Type="http://schemas.openxmlformats.org/officeDocument/2006/relationships/hyperlink" Target="#'BALL(2)'!Print_Area"/><Relationship Id="rId14" Type="http://schemas.openxmlformats.org/officeDocument/2006/relationships/hyperlink" Target="#'INNER in BALL'!A1"/><Relationship Id="rId22" Type="http://schemas.openxmlformats.org/officeDocument/2006/relationships/hyperlink" Target="#'ROLLER PIN'!A1"/><Relationship Id="rId27" Type="http://schemas.openxmlformats.org/officeDocument/2006/relationships/hyperlink" Target="#SLEEVE!A1"/><Relationship Id="rId30" Type="http://schemas.openxmlformats.org/officeDocument/2006/relationships/hyperlink" Target="#'ROLLER BODY'!A1"/></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92148</xdr:colOff>
      <xdr:row>21</xdr:row>
      <xdr:rowOff>43213</xdr:rowOff>
    </xdr:from>
    <xdr:to>
      <xdr:col>3</xdr:col>
      <xdr:colOff>309617</xdr:colOff>
      <xdr:row>26</xdr:row>
      <xdr:rowOff>121478</xdr:rowOff>
    </xdr:to>
    <xdr:sp macro="" textlink="">
      <xdr:nvSpPr>
        <xdr:cNvPr id="2" name="角丸四角形 1">
          <a:hlinkClick xmlns:r="http://schemas.openxmlformats.org/officeDocument/2006/relationships" r:id="rId1"/>
        </xdr:cNvPr>
        <xdr:cNvSpPr>
          <a:spLocks noChangeAspect="1"/>
        </xdr:cNvSpPr>
      </xdr:nvSpPr>
      <xdr:spPr>
        <a:xfrm>
          <a:off x="633278" y="4217648"/>
          <a:ext cx="1564774" cy="906526"/>
        </a:xfrm>
        <a:prstGeom prst="roundRect">
          <a:avLst/>
        </a:prstGeom>
        <a:solidFill>
          <a:srgbClr val="66CCFF"/>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marL="0" marR="0" indent="0" algn="ctr" defTabSz="914400" eaLnBrk="1" fontAlgn="auto" latinLnBrk="0" hangingPunct="1">
            <a:lnSpc>
              <a:spcPct val="100000"/>
            </a:lnSpc>
            <a:spcBef>
              <a:spcPts val="0"/>
            </a:spcBef>
            <a:spcAft>
              <a:spcPts val="0"/>
            </a:spcAft>
            <a:buClrTx/>
            <a:buSzTx/>
            <a:buFontTx/>
            <a:buNone/>
            <a:tabLst/>
            <a:defRPr/>
          </a:pPr>
          <a:r>
            <a:rPr kumimoji="1" lang="en-US" altLang="ja-JP" sz="1200" b="0" cap="none" spc="0">
              <a:ln w="0">
                <a:noFill/>
              </a:ln>
              <a:solidFill>
                <a:schemeClr val="tx1"/>
              </a:solidFill>
              <a:effectLst/>
              <a:latin typeface="+mn-lt"/>
              <a:ea typeface="+mn-ea"/>
              <a:cs typeface="+mn-cs"/>
            </a:rPr>
            <a:t>1.STANDARD</a:t>
          </a:r>
          <a:endParaRPr kumimoji="1" lang="en-US" altLang="ja-JP" sz="1200" b="0" cap="none" spc="0">
            <a:ln w="0">
              <a:noFill/>
            </a:ln>
            <a:solidFill>
              <a:schemeClr val="tx1"/>
            </a:solidFill>
            <a:effectLst/>
          </a:endParaRPr>
        </a:p>
        <a:p>
          <a:pPr algn="ctr"/>
          <a:r>
            <a:rPr kumimoji="1" lang="en-US" altLang="ja-JP" sz="1100" b="0" cap="none" spc="0">
              <a:ln w="0">
                <a:noFill/>
              </a:ln>
              <a:solidFill>
                <a:schemeClr val="tx1"/>
              </a:solidFill>
              <a:effectLst/>
            </a:rPr>
            <a:t>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ID</a:t>
          </a:r>
        </a:p>
        <a:p>
          <a:pPr algn="ctr"/>
          <a:r>
            <a:rPr kumimoji="1" lang="en-US" altLang="ja-JP" sz="1000" b="0" cap="none" spc="0">
              <a:ln w="0">
                <a:noFill/>
              </a:ln>
              <a:solidFill>
                <a:schemeClr val="tx1"/>
              </a:solidFill>
              <a:effectLst/>
            </a:rPr>
            <a:t>ID</a:t>
          </a:r>
          <a:r>
            <a:rPr kumimoji="1" lang="ja-JP" altLang="en-US" sz="1000" b="0" cap="none" spc="0">
              <a:ln w="0">
                <a:noFill/>
              </a:ln>
              <a:solidFill>
                <a:schemeClr val="tx1"/>
              </a:solidFill>
              <a:effectLst/>
            </a:rPr>
            <a:t>＜</a:t>
          </a:r>
          <a:r>
            <a:rPr kumimoji="1" lang="en-US" altLang="ja-JP" sz="1000" b="0" cap="none" spc="0">
              <a:ln w="0">
                <a:noFill/>
              </a:ln>
              <a:solidFill>
                <a:schemeClr val="tx1"/>
              </a:solidFill>
              <a:effectLst/>
            </a:rPr>
            <a:t>Φ15.875</a:t>
          </a:r>
        </a:p>
      </xdr:txBody>
    </xdr:sp>
    <xdr:clientData/>
  </xdr:twoCellAnchor>
  <xdr:twoCellAnchor>
    <xdr:from>
      <xdr:col>10</xdr:col>
      <xdr:colOff>74527</xdr:colOff>
      <xdr:row>9</xdr:row>
      <xdr:rowOff>111748</xdr:rowOff>
    </xdr:from>
    <xdr:to>
      <xdr:col>14</xdr:col>
      <xdr:colOff>93870</xdr:colOff>
      <xdr:row>13</xdr:row>
      <xdr:rowOff>165652</xdr:rowOff>
    </xdr:to>
    <xdr:sp macro="" textlink="">
      <xdr:nvSpPr>
        <xdr:cNvPr id="5" name="角丸四角形 4">
          <a:hlinkClick xmlns:r="http://schemas.openxmlformats.org/officeDocument/2006/relationships" r:id="rId2"/>
        </xdr:cNvPr>
        <xdr:cNvSpPr>
          <a:spLocks noChangeAspect="1"/>
        </xdr:cNvSpPr>
      </xdr:nvSpPr>
      <xdr:spPr>
        <a:xfrm>
          <a:off x="6214701" y="2127183"/>
          <a:ext cx="2448908" cy="716512"/>
        </a:xfrm>
        <a:prstGeom prst="roundRect">
          <a:avLst/>
        </a:prstGeom>
        <a:solidFill>
          <a:srgbClr val="92D05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100" b="0" cap="none" spc="0">
              <a:ln w="0">
                <a:noFill/>
              </a:ln>
              <a:solidFill>
                <a:schemeClr val="tx1"/>
              </a:solidFill>
              <a:effectLst/>
            </a:rPr>
            <a:t>RACE 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40</a:t>
          </a:r>
        </a:p>
        <a:p>
          <a:pPr algn="ctr"/>
          <a:r>
            <a:rPr kumimoji="1" lang="en-US" altLang="ja-JP" sz="1100" b="0" cap="none" spc="0">
              <a:ln w="0">
                <a:noFill/>
              </a:ln>
              <a:solidFill>
                <a:schemeClr val="tx1"/>
              </a:solidFill>
              <a:effectLst/>
            </a:rPr>
            <a:t>SPHERICAL TURN  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TURN SPH. OD  </a:t>
          </a:r>
        </a:p>
        <a:p>
          <a:pPr algn="ctr"/>
          <a:r>
            <a:rPr kumimoji="1" lang="en-US" altLang="ja-JP" sz="1100" b="0" cap="none" spc="0">
              <a:ln w="0">
                <a:noFill/>
              </a:ln>
              <a:solidFill>
                <a:schemeClr val="tx1"/>
              </a:solidFill>
              <a:effectLst/>
            </a:rPr>
            <a:t>(D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T)</a:t>
          </a:r>
          <a:endParaRPr kumimoji="1" lang="en-US" altLang="ja-JP" sz="1100" b="0" cap="all" spc="0">
            <a:ln w="0">
              <a:noFill/>
            </a:ln>
            <a:solidFill>
              <a:schemeClr val="tx1"/>
            </a:solidFill>
            <a:effectLst/>
          </a:endParaRPr>
        </a:p>
      </xdr:txBody>
    </xdr:sp>
    <xdr:clientData/>
  </xdr:twoCellAnchor>
  <xdr:twoCellAnchor>
    <xdr:from>
      <xdr:col>3</xdr:col>
      <xdr:colOff>102476</xdr:colOff>
      <xdr:row>5</xdr:row>
      <xdr:rowOff>28737</xdr:rowOff>
    </xdr:from>
    <xdr:to>
      <xdr:col>4</xdr:col>
      <xdr:colOff>471710</xdr:colOff>
      <xdr:row>9</xdr:row>
      <xdr:rowOff>19211</xdr:rowOff>
    </xdr:to>
    <xdr:sp macro="" textlink="">
      <xdr:nvSpPr>
        <xdr:cNvPr id="8" name="角丸四角形 7">
          <a:hlinkClick xmlns:r="http://schemas.openxmlformats.org/officeDocument/2006/relationships" r:id="rId3"/>
        </xdr:cNvPr>
        <xdr:cNvSpPr>
          <a:spLocks noChangeAspect="1"/>
        </xdr:cNvSpPr>
      </xdr:nvSpPr>
      <xdr:spPr>
        <a:xfrm>
          <a:off x="1990911" y="1381563"/>
          <a:ext cx="976625" cy="653083"/>
        </a:xfrm>
        <a:prstGeom prst="roundRect">
          <a:avLst/>
        </a:prstGeom>
        <a:solidFill>
          <a:srgbClr val="E1E10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400" b="0" cap="none" spc="0">
              <a:ln w="0">
                <a:noFill/>
              </a:ln>
              <a:solidFill>
                <a:schemeClr val="tx1"/>
              </a:solidFill>
              <a:effectLst/>
            </a:rPr>
            <a:t>RACE1</a:t>
          </a:r>
        </a:p>
        <a:p>
          <a:pPr algn="ctr"/>
          <a:r>
            <a:rPr kumimoji="1" lang="en-US" altLang="ja-JP" sz="1400" b="0" cap="none" spc="0">
              <a:ln w="0">
                <a:noFill/>
              </a:ln>
              <a:solidFill>
                <a:schemeClr val="tx1"/>
              </a:solidFill>
              <a:effectLst/>
            </a:rPr>
            <a:t>No grind</a:t>
          </a:r>
        </a:p>
      </xdr:txBody>
    </xdr:sp>
    <xdr:clientData/>
  </xdr:twoCellAnchor>
  <xdr:twoCellAnchor>
    <xdr:from>
      <xdr:col>11</xdr:col>
      <xdr:colOff>56098</xdr:colOff>
      <xdr:row>21</xdr:row>
      <xdr:rowOff>22084</xdr:rowOff>
    </xdr:from>
    <xdr:to>
      <xdr:col>12</xdr:col>
      <xdr:colOff>588594</xdr:colOff>
      <xdr:row>23</xdr:row>
      <xdr:rowOff>104567</xdr:rowOff>
    </xdr:to>
    <xdr:sp macro="" textlink="">
      <xdr:nvSpPr>
        <xdr:cNvPr id="10" name="角丸四角形 9">
          <a:hlinkClick xmlns:r="http://schemas.openxmlformats.org/officeDocument/2006/relationships" r:id="rId4"/>
        </xdr:cNvPr>
        <xdr:cNvSpPr>
          <a:spLocks noChangeAspect="1"/>
        </xdr:cNvSpPr>
      </xdr:nvSpPr>
      <xdr:spPr>
        <a:xfrm>
          <a:off x="6803663" y="4196519"/>
          <a:ext cx="1139888" cy="413787"/>
        </a:xfrm>
        <a:prstGeom prst="roundRect">
          <a:avLst/>
        </a:prstGeom>
        <a:solidFill>
          <a:srgbClr val="FF505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600" b="0" cap="none" spc="0">
              <a:ln w="0">
                <a:noFill/>
              </a:ln>
              <a:solidFill>
                <a:schemeClr val="tx1"/>
              </a:solidFill>
              <a:effectLst/>
            </a:rPr>
            <a:t>3pcs</a:t>
          </a:r>
          <a:endParaRPr kumimoji="1" lang="en-US" altLang="ja-JP" sz="1600" b="1" cap="all" spc="0">
            <a:ln w="0">
              <a:noFill/>
            </a:ln>
            <a:solidFill>
              <a:schemeClr val="tx1"/>
            </a:solidFill>
            <a:effectLst/>
          </a:endParaRPr>
        </a:p>
      </xdr:txBody>
    </xdr:sp>
    <xdr:clientData/>
  </xdr:twoCellAnchor>
  <xdr:twoCellAnchor>
    <xdr:from>
      <xdr:col>1</xdr:col>
      <xdr:colOff>26920</xdr:colOff>
      <xdr:row>5</xdr:row>
      <xdr:rowOff>16564</xdr:rowOff>
    </xdr:from>
    <xdr:to>
      <xdr:col>2</xdr:col>
      <xdr:colOff>692288</xdr:colOff>
      <xdr:row>7</xdr:row>
      <xdr:rowOff>22085</xdr:rowOff>
    </xdr:to>
    <xdr:sp macro="" textlink="">
      <xdr:nvSpPr>
        <xdr:cNvPr id="9" name="角丸四角形 8">
          <a:hlinkClick xmlns:r="http://schemas.openxmlformats.org/officeDocument/2006/relationships" r:id="rId5"/>
        </xdr:cNvPr>
        <xdr:cNvSpPr>
          <a:spLocks noChangeAspect="1"/>
        </xdr:cNvSpPr>
      </xdr:nvSpPr>
      <xdr:spPr>
        <a:xfrm>
          <a:off x="614295" y="1032564"/>
          <a:ext cx="1427368" cy="354771"/>
        </a:xfrm>
        <a:prstGeom prst="roundRect">
          <a:avLst/>
        </a:prstGeom>
        <a:solidFill>
          <a:srgbClr val="FF9900"/>
        </a:solidFill>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kumimoji="1" lang="en-US" altLang="ja-JP" sz="1600" b="0" cap="none" spc="0">
              <a:ln w="0">
                <a:noFill/>
              </a:ln>
              <a:solidFill>
                <a:schemeClr val="tx1"/>
              </a:solidFill>
              <a:effectLst/>
            </a:rPr>
            <a:t>Male screw</a:t>
          </a:r>
        </a:p>
      </xdr:txBody>
    </xdr:sp>
    <xdr:clientData/>
  </xdr:twoCellAnchor>
  <xdr:twoCellAnchor>
    <xdr:from>
      <xdr:col>1</xdr:col>
      <xdr:colOff>1334</xdr:colOff>
      <xdr:row>7</xdr:row>
      <xdr:rowOff>50833</xdr:rowOff>
    </xdr:from>
    <xdr:to>
      <xdr:col>2</xdr:col>
      <xdr:colOff>684696</xdr:colOff>
      <xdr:row>9</xdr:row>
      <xdr:rowOff>95655</xdr:rowOff>
    </xdr:to>
    <xdr:sp macro="" textlink="">
      <xdr:nvSpPr>
        <xdr:cNvPr id="11" name="角丸四角形 10">
          <a:hlinkClick xmlns:r="http://schemas.openxmlformats.org/officeDocument/2006/relationships" r:id="rId6"/>
        </xdr:cNvPr>
        <xdr:cNvSpPr>
          <a:spLocks noChangeAspect="1"/>
        </xdr:cNvSpPr>
      </xdr:nvSpPr>
      <xdr:spPr>
        <a:xfrm>
          <a:off x="542464" y="1734963"/>
          <a:ext cx="1384623" cy="376127"/>
        </a:xfrm>
        <a:prstGeom prst="roundRect">
          <a:avLst/>
        </a:prstGeom>
        <a:solidFill>
          <a:srgbClr val="FF9900"/>
        </a:solidFill>
      </xdr:spPr>
      <xdr:style>
        <a:lnRef idx="0">
          <a:schemeClr val="accent1"/>
        </a:lnRef>
        <a:fillRef idx="3">
          <a:schemeClr val="accent1"/>
        </a:fillRef>
        <a:effectRef idx="3">
          <a:schemeClr val="accent1"/>
        </a:effectRef>
        <a:fontRef idx="minor">
          <a:schemeClr val="lt1"/>
        </a:fontRef>
      </xdr:style>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600" b="0" cap="none" spc="0">
              <a:ln w="0">
                <a:noFill/>
              </a:ln>
              <a:solidFill>
                <a:schemeClr val="tx1"/>
              </a:solidFill>
              <a:effectLst/>
            </a:rPr>
            <a:t>Female screw</a:t>
          </a:r>
          <a:endParaRPr lang="ja-JP" altLang="ja-JP" sz="1600" b="0" cap="none" spc="0">
            <a:ln w="0">
              <a:noFill/>
            </a:ln>
            <a:solidFill>
              <a:schemeClr val="tx1"/>
            </a:solidFill>
            <a:effectLst/>
          </a:endParaRPr>
        </a:p>
      </xdr:txBody>
    </xdr:sp>
    <xdr:clientData/>
  </xdr:twoCellAnchor>
  <xdr:twoCellAnchor>
    <xdr:from>
      <xdr:col>1</xdr:col>
      <xdr:colOff>4517</xdr:colOff>
      <xdr:row>9</xdr:row>
      <xdr:rowOff>127907</xdr:rowOff>
    </xdr:from>
    <xdr:to>
      <xdr:col>2</xdr:col>
      <xdr:colOff>661780</xdr:colOff>
      <xdr:row>12</xdr:row>
      <xdr:rowOff>33780</xdr:rowOff>
    </xdr:to>
    <xdr:sp macro="" textlink="">
      <xdr:nvSpPr>
        <xdr:cNvPr id="12" name="角丸四角形 11">
          <a:hlinkClick xmlns:r="http://schemas.openxmlformats.org/officeDocument/2006/relationships" r:id="rId7"/>
        </xdr:cNvPr>
        <xdr:cNvSpPr>
          <a:spLocks noChangeAspect="1"/>
        </xdr:cNvSpPr>
      </xdr:nvSpPr>
      <xdr:spPr>
        <a:xfrm>
          <a:off x="545647" y="2143342"/>
          <a:ext cx="1330916" cy="402829"/>
        </a:xfrm>
        <a:prstGeom prst="roundRect">
          <a:avLst/>
        </a:prstGeom>
        <a:solidFill>
          <a:srgbClr val="FF9900"/>
        </a:solidFill>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kumimoji="1" lang="en-US" altLang="ja-JP" sz="1600" b="0" i="0" cap="none" spc="0">
              <a:ln w="0">
                <a:noFill/>
              </a:ln>
              <a:solidFill>
                <a:schemeClr val="tx1"/>
              </a:solidFill>
              <a:effectLst/>
            </a:rPr>
            <a:t>ABR</a:t>
          </a:r>
          <a:r>
            <a:rPr kumimoji="1" lang="en-US" altLang="ja-JP" sz="1600" b="0" i="0" cap="none" spc="0" baseline="0">
              <a:ln w="0">
                <a:noFill/>
              </a:ln>
              <a:solidFill>
                <a:schemeClr val="tx1"/>
              </a:solidFill>
              <a:effectLst/>
            </a:rPr>
            <a:t> BODY</a:t>
          </a:r>
          <a:endParaRPr kumimoji="1" lang="en-US" altLang="ja-JP" sz="1600" b="0" i="0" cap="none" spc="0">
            <a:ln w="0">
              <a:noFill/>
            </a:ln>
            <a:solidFill>
              <a:schemeClr val="tx1"/>
            </a:solidFill>
            <a:effectLst/>
          </a:endParaRPr>
        </a:p>
      </xdr:txBody>
    </xdr:sp>
    <xdr:clientData/>
  </xdr:twoCellAnchor>
  <xdr:twoCellAnchor>
    <xdr:from>
      <xdr:col>3</xdr:col>
      <xdr:colOff>117524</xdr:colOff>
      <xdr:row>9</xdr:row>
      <xdr:rowOff>52343</xdr:rowOff>
    </xdr:from>
    <xdr:to>
      <xdr:col>4</xdr:col>
      <xdr:colOff>477233</xdr:colOff>
      <xdr:row>13</xdr:row>
      <xdr:rowOff>42819</xdr:rowOff>
    </xdr:to>
    <xdr:sp macro="" textlink="">
      <xdr:nvSpPr>
        <xdr:cNvPr id="31" name="角丸四角形 30">
          <a:hlinkClick xmlns:r="http://schemas.openxmlformats.org/officeDocument/2006/relationships" r:id="rId8"/>
        </xdr:cNvPr>
        <xdr:cNvSpPr>
          <a:spLocks noChangeAspect="1"/>
        </xdr:cNvSpPr>
      </xdr:nvSpPr>
      <xdr:spPr>
        <a:xfrm>
          <a:off x="2005959" y="2067778"/>
          <a:ext cx="967100" cy="653084"/>
        </a:xfrm>
        <a:prstGeom prst="roundRect">
          <a:avLst/>
        </a:prstGeom>
        <a:solidFill>
          <a:srgbClr val="E1E10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400" b="0" cap="none" spc="0">
              <a:ln w="0"/>
              <a:solidFill>
                <a:schemeClr val="tx1"/>
              </a:solidFill>
              <a:effectLst/>
            </a:rPr>
            <a:t>RACE2</a:t>
          </a:r>
        </a:p>
        <a:p>
          <a:pPr algn="ctr"/>
          <a:r>
            <a:rPr kumimoji="1" lang="en-US" altLang="ja-JP" sz="1400" b="0" cap="none" spc="0">
              <a:ln w="0"/>
              <a:solidFill>
                <a:schemeClr val="tx1"/>
              </a:solidFill>
              <a:effectLst/>
            </a:rPr>
            <a:t>Grinding</a:t>
          </a:r>
          <a:endParaRPr kumimoji="1" lang="en-US" altLang="ja-JP" sz="1400" b="0" cap="all" spc="0">
            <a:ln w="0">
              <a:solidFill>
                <a:srgbClr val="FF9900"/>
              </a:solidFill>
            </a:ln>
            <a:solidFill>
              <a:srgbClr val="FF9900"/>
            </a:solidFill>
            <a:effectLst/>
          </a:endParaRPr>
        </a:p>
      </xdr:txBody>
    </xdr:sp>
    <xdr:clientData/>
  </xdr:twoCellAnchor>
  <xdr:twoCellAnchor>
    <xdr:from>
      <xdr:col>1</xdr:col>
      <xdr:colOff>96467</xdr:colOff>
      <xdr:row>27</xdr:row>
      <xdr:rowOff>34275</xdr:rowOff>
    </xdr:from>
    <xdr:to>
      <xdr:col>3</xdr:col>
      <xdr:colOff>313937</xdr:colOff>
      <xdr:row>32</xdr:row>
      <xdr:rowOff>77304</xdr:rowOff>
    </xdr:to>
    <xdr:sp macro="" textlink="">
      <xdr:nvSpPr>
        <xdr:cNvPr id="36" name="角丸四角形 35">
          <a:hlinkClick xmlns:r="http://schemas.openxmlformats.org/officeDocument/2006/relationships" r:id="rId9"/>
        </xdr:cNvPr>
        <xdr:cNvSpPr>
          <a:spLocks noChangeAspect="1"/>
        </xdr:cNvSpPr>
      </xdr:nvSpPr>
      <xdr:spPr>
        <a:xfrm>
          <a:off x="637597" y="5202623"/>
          <a:ext cx="1564775" cy="871290"/>
        </a:xfrm>
        <a:prstGeom prst="roundRect">
          <a:avLst/>
        </a:prstGeom>
        <a:solidFill>
          <a:srgbClr val="66CCFF"/>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200" b="0" cap="none" spc="0">
              <a:ln w="0">
                <a:noFill/>
              </a:ln>
              <a:solidFill>
                <a:schemeClr val="tx1"/>
              </a:solidFill>
              <a:effectLst/>
            </a:rPr>
            <a:t>2.STANDARD</a:t>
          </a:r>
        </a:p>
        <a:p>
          <a:pPr algn="ctr"/>
          <a:r>
            <a:rPr kumimoji="1" lang="en-US" altLang="ja-JP" sz="1100" b="0" cap="none" spc="0">
              <a:ln w="0">
                <a:noFill/>
              </a:ln>
              <a:solidFill>
                <a:schemeClr val="tx1"/>
              </a:solidFill>
              <a:effectLst/>
            </a:rPr>
            <a:t>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ID</a:t>
          </a:r>
        </a:p>
        <a:p>
          <a:pPr algn="ctr"/>
          <a:r>
            <a:rPr kumimoji="1" lang="en-US" altLang="ja-JP" sz="1000" b="0" cap="none" spc="0">
              <a:ln w="0">
                <a:noFill/>
              </a:ln>
              <a:solidFill>
                <a:schemeClr val="tx1"/>
              </a:solidFill>
              <a:effectLst/>
            </a:rPr>
            <a:t>Φ15.875</a:t>
          </a:r>
          <a:r>
            <a:rPr kumimoji="1" lang="ja-JP" altLang="en-US" sz="1000" b="0" cap="none" spc="0">
              <a:ln w="0">
                <a:noFill/>
              </a:ln>
              <a:solidFill>
                <a:schemeClr val="tx1"/>
              </a:solidFill>
              <a:effectLst/>
            </a:rPr>
            <a:t>≦</a:t>
          </a:r>
          <a:r>
            <a:rPr kumimoji="1" lang="en-US" altLang="ja-JP" sz="1000" b="0" cap="none" spc="0">
              <a:ln w="0">
                <a:noFill/>
              </a:ln>
              <a:solidFill>
                <a:schemeClr val="tx1"/>
              </a:solidFill>
              <a:effectLst/>
            </a:rPr>
            <a:t>ID</a:t>
          </a:r>
        </a:p>
      </xdr:txBody>
    </xdr:sp>
    <xdr:clientData/>
  </xdr:twoCellAnchor>
  <xdr:twoCellAnchor>
    <xdr:from>
      <xdr:col>3</xdr:col>
      <xdr:colOff>521326</xdr:colOff>
      <xdr:row>21</xdr:row>
      <xdr:rowOff>40585</xdr:rowOff>
    </xdr:from>
    <xdr:to>
      <xdr:col>6</xdr:col>
      <xdr:colOff>263926</xdr:colOff>
      <xdr:row>25</xdr:row>
      <xdr:rowOff>127001</xdr:rowOff>
    </xdr:to>
    <xdr:sp macro="" textlink="">
      <xdr:nvSpPr>
        <xdr:cNvPr id="37" name="角丸四角形 36">
          <a:hlinkClick xmlns:r="http://schemas.openxmlformats.org/officeDocument/2006/relationships" r:id="rId10"/>
        </xdr:cNvPr>
        <xdr:cNvSpPr>
          <a:spLocks noChangeAspect="1"/>
        </xdr:cNvSpPr>
      </xdr:nvSpPr>
      <xdr:spPr>
        <a:xfrm>
          <a:off x="2409761" y="4215020"/>
          <a:ext cx="1564774" cy="749024"/>
        </a:xfrm>
        <a:prstGeom prst="roundRect">
          <a:avLst/>
        </a:prstGeom>
        <a:solidFill>
          <a:srgbClr val="66CCFF"/>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200" b="0" cap="none" spc="0">
              <a:ln w="0">
                <a:noFill/>
              </a:ln>
              <a:solidFill>
                <a:sysClr val="windowText" lastClr="000000"/>
              </a:solidFill>
              <a:effectLst/>
            </a:rPr>
            <a:t>4.Non-magnetic</a:t>
          </a:r>
        </a:p>
        <a:p>
          <a:pPr algn="ctr"/>
          <a:r>
            <a:rPr kumimoji="1" lang="en-US" altLang="ja-JP" sz="1100" b="0" cap="none" spc="0">
              <a:ln w="0">
                <a:noFill/>
              </a:ln>
              <a:solidFill>
                <a:schemeClr val="tx1"/>
              </a:solidFill>
              <a:effectLst/>
              <a:latin typeface="+mn-lt"/>
              <a:ea typeface="+mn-ea"/>
              <a:cs typeface="+mn-cs"/>
            </a:rPr>
            <a:t>Y-BALL (Corner R)</a:t>
          </a:r>
          <a:endParaRPr kumimoji="1" lang="en-US" altLang="ja-JP" sz="1200" b="0" cap="none" spc="0">
            <a:ln w="0">
              <a:noFill/>
            </a:ln>
            <a:solidFill>
              <a:schemeClr val="tx1"/>
            </a:solidFill>
            <a:effectLst/>
          </a:endParaRPr>
        </a:p>
        <a:p>
          <a:pPr algn="ctr"/>
          <a:r>
            <a:rPr kumimoji="1" lang="en-US" altLang="ja-JP" sz="1100" b="0" cap="none" spc="0">
              <a:ln w="0">
                <a:noFill/>
              </a:ln>
              <a:solidFill>
                <a:sysClr val="windowText" lastClr="000000"/>
              </a:solidFill>
              <a:effectLst/>
            </a:rPr>
            <a:t>ID</a:t>
          </a:r>
          <a:r>
            <a:rPr kumimoji="1" lang="ja-JP" altLang="en-US" sz="1100" b="0" cap="none" spc="0">
              <a:ln w="0">
                <a:noFill/>
              </a:ln>
              <a:solidFill>
                <a:sysClr val="windowText" lastClr="000000"/>
              </a:solidFill>
              <a:effectLst/>
            </a:rPr>
            <a:t>→</a:t>
          </a:r>
          <a:r>
            <a:rPr kumimoji="1" lang="en-US" altLang="ja-JP" sz="1100" b="0" cap="none" spc="0">
              <a:ln w="0">
                <a:noFill/>
              </a:ln>
              <a:solidFill>
                <a:sysClr val="windowText" lastClr="000000"/>
              </a:solidFill>
              <a:effectLst/>
            </a:rPr>
            <a:t>OD</a:t>
          </a:r>
        </a:p>
        <a:p>
          <a:pPr algn="ctr"/>
          <a:endParaRPr kumimoji="1" lang="en-US" altLang="ja-JP" sz="1000" b="0" cap="none" spc="0">
            <a:ln w="0">
              <a:noFill/>
            </a:ln>
            <a:solidFill>
              <a:sysClr val="windowText" lastClr="000000"/>
            </a:solidFill>
            <a:effectLst/>
          </a:endParaRPr>
        </a:p>
      </xdr:txBody>
    </xdr:sp>
    <xdr:clientData/>
  </xdr:twoCellAnchor>
  <xdr:twoCellAnchor>
    <xdr:from>
      <xdr:col>8</xdr:col>
      <xdr:colOff>30489</xdr:colOff>
      <xdr:row>5</xdr:row>
      <xdr:rowOff>18983</xdr:rowOff>
    </xdr:from>
    <xdr:to>
      <xdr:col>12</xdr:col>
      <xdr:colOff>121476</xdr:colOff>
      <xdr:row>9</xdr:row>
      <xdr:rowOff>66607</xdr:rowOff>
    </xdr:to>
    <xdr:sp macro="" textlink="">
      <xdr:nvSpPr>
        <xdr:cNvPr id="40" name="角丸四角形 39">
          <a:hlinkClick xmlns:r="http://schemas.openxmlformats.org/officeDocument/2006/relationships" r:id="rId11"/>
        </xdr:cNvPr>
        <xdr:cNvSpPr>
          <a:spLocks noChangeAspect="1"/>
        </xdr:cNvSpPr>
      </xdr:nvSpPr>
      <xdr:spPr>
        <a:xfrm>
          <a:off x="4955880" y="1371809"/>
          <a:ext cx="2520553" cy="710233"/>
        </a:xfrm>
        <a:prstGeom prst="roundRect">
          <a:avLst/>
        </a:prstGeom>
        <a:solidFill>
          <a:srgbClr val="92D05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100" b="0" cap="none" spc="0">
              <a:ln w="0">
                <a:noFill/>
              </a:ln>
              <a:solidFill>
                <a:schemeClr val="tx1"/>
              </a:solidFill>
              <a:effectLst/>
            </a:rPr>
            <a:t>RACE</a:t>
          </a:r>
          <a:r>
            <a:rPr kumimoji="1" lang="ja-JP" altLang="en-US" sz="1100" b="0" cap="none" spc="0" baseline="0">
              <a:ln w="0">
                <a:noFill/>
              </a:ln>
              <a:solidFill>
                <a:schemeClr val="tx1"/>
              </a:solidFill>
              <a:effectLst/>
            </a:rPr>
            <a:t> </a:t>
          </a:r>
          <a:r>
            <a:rPr kumimoji="1" lang="en-US" altLang="ja-JP" sz="1100" b="0" cap="none" spc="0">
              <a:ln w="0">
                <a:noFill/>
              </a:ln>
              <a:solidFill>
                <a:schemeClr val="tx1"/>
              </a:solidFill>
              <a:effectLst/>
            </a:rPr>
            <a:t>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Φ20</a:t>
          </a:r>
        </a:p>
        <a:p>
          <a:pPr algn="ctr"/>
          <a:r>
            <a:rPr kumimoji="1" lang="en-US" altLang="ja-JP" sz="1100" b="0" cap="none" spc="0">
              <a:ln w="0">
                <a:noFill/>
              </a:ln>
              <a:solidFill>
                <a:schemeClr val="tx1"/>
              </a:solidFill>
              <a:effectLst/>
            </a:rPr>
            <a:t>SPHERICAL TURN 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TURN SPH. OD</a:t>
          </a:r>
        </a:p>
        <a:p>
          <a:pPr algn="ctr"/>
          <a:r>
            <a:rPr kumimoji="1" lang="en-US" altLang="ja-JP" sz="1100" b="0" cap="none" spc="0">
              <a:ln w="0">
                <a:noFill/>
              </a:ln>
              <a:solidFill>
                <a:schemeClr val="tx1"/>
              </a:solidFill>
              <a:effectLst/>
            </a:rPr>
            <a:t>(J-WAVE)</a:t>
          </a:r>
          <a:endParaRPr kumimoji="1" lang="en-US" altLang="ja-JP" sz="1100" b="0" cap="all" spc="0">
            <a:ln w="0">
              <a:noFill/>
            </a:ln>
            <a:solidFill>
              <a:schemeClr val="tx1"/>
            </a:solidFill>
            <a:effectLst/>
          </a:endParaRPr>
        </a:p>
      </xdr:txBody>
    </xdr:sp>
    <xdr:clientData/>
  </xdr:twoCellAnchor>
  <xdr:twoCellAnchor>
    <xdr:from>
      <xdr:col>8</xdr:col>
      <xdr:colOff>40811</xdr:colOff>
      <xdr:row>14</xdr:row>
      <xdr:rowOff>52577</xdr:rowOff>
    </xdr:from>
    <xdr:to>
      <xdr:col>10</xdr:col>
      <xdr:colOff>393043</xdr:colOff>
      <xdr:row>16</xdr:row>
      <xdr:rowOff>143565</xdr:rowOff>
    </xdr:to>
    <xdr:sp macro="" textlink="">
      <xdr:nvSpPr>
        <xdr:cNvPr id="41" name="角丸四角形 40">
          <a:hlinkClick xmlns:r="http://schemas.openxmlformats.org/officeDocument/2006/relationships" r:id="rId12"/>
        </xdr:cNvPr>
        <xdr:cNvSpPr>
          <a:spLocks noChangeAspect="1"/>
        </xdr:cNvSpPr>
      </xdr:nvSpPr>
      <xdr:spPr>
        <a:xfrm>
          <a:off x="4966202" y="2896273"/>
          <a:ext cx="1567015" cy="422292"/>
        </a:xfrm>
        <a:prstGeom prst="roundRect">
          <a:avLst/>
        </a:prstGeom>
        <a:solidFill>
          <a:srgbClr val="92D050"/>
        </a:solidFill>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kumimoji="1" lang="en-US" altLang="ja-JP" sz="1200" b="0" cap="none" spc="0">
              <a:ln w="0">
                <a:noFill/>
              </a:ln>
              <a:solidFill>
                <a:schemeClr val="tx1"/>
              </a:solidFill>
              <a:effectLst/>
            </a:rPr>
            <a:t>Φ40</a:t>
          </a:r>
          <a:r>
            <a:rPr kumimoji="1" lang="ja-JP" altLang="en-US" sz="1200" b="0" cap="none" spc="0">
              <a:ln w="0">
                <a:noFill/>
              </a:ln>
              <a:solidFill>
                <a:schemeClr val="tx1"/>
              </a:solidFill>
              <a:effectLst/>
            </a:rPr>
            <a:t>≦</a:t>
          </a:r>
          <a:r>
            <a:rPr kumimoji="1" lang="en-US" altLang="ja-JP" sz="1200" b="0" cap="none" spc="0">
              <a:ln w="0">
                <a:noFill/>
              </a:ln>
              <a:solidFill>
                <a:schemeClr val="tx1"/>
              </a:solidFill>
              <a:effectLst/>
            </a:rPr>
            <a:t>RACE</a:t>
          </a:r>
          <a:r>
            <a:rPr kumimoji="1" lang="en-US" altLang="ja-JP" sz="1200" b="0" cap="none" spc="0" baseline="0">
              <a:ln w="0">
                <a:noFill/>
              </a:ln>
              <a:solidFill>
                <a:schemeClr val="tx1"/>
              </a:solidFill>
              <a:effectLst/>
            </a:rPr>
            <a:t> OD</a:t>
          </a:r>
          <a:endParaRPr kumimoji="1" lang="en-US" altLang="ja-JP" sz="1200" b="0" cap="none" spc="0">
            <a:ln w="0">
              <a:noFill/>
            </a:ln>
            <a:solidFill>
              <a:schemeClr val="tx1"/>
            </a:solidFill>
            <a:effectLst/>
          </a:endParaRPr>
        </a:p>
      </xdr:txBody>
    </xdr:sp>
    <xdr:clientData/>
  </xdr:twoCellAnchor>
  <xdr:twoCellAnchor>
    <xdr:from>
      <xdr:col>3</xdr:col>
      <xdr:colOff>489608</xdr:colOff>
      <xdr:row>26</xdr:row>
      <xdr:rowOff>116607</xdr:rowOff>
    </xdr:from>
    <xdr:to>
      <xdr:col>6</xdr:col>
      <xdr:colOff>232399</xdr:colOff>
      <xdr:row>31</xdr:row>
      <xdr:rowOff>88347</xdr:rowOff>
    </xdr:to>
    <xdr:sp macro="" textlink="">
      <xdr:nvSpPr>
        <xdr:cNvPr id="43" name="角丸四角形 42">
          <a:hlinkClick xmlns:r="http://schemas.openxmlformats.org/officeDocument/2006/relationships" r:id="rId13"/>
        </xdr:cNvPr>
        <xdr:cNvSpPr>
          <a:spLocks noChangeAspect="1"/>
        </xdr:cNvSpPr>
      </xdr:nvSpPr>
      <xdr:spPr>
        <a:xfrm>
          <a:off x="2600983" y="4950545"/>
          <a:ext cx="1790666" cy="844865"/>
        </a:xfrm>
        <a:prstGeom prst="roundRect">
          <a:avLst/>
        </a:prstGeom>
        <a:solidFill>
          <a:srgbClr val="66CCFF"/>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200" b="0" cap="none" spc="0">
              <a:ln w="0">
                <a:noFill/>
              </a:ln>
              <a:solidFill>
                <a:schemeClr val="tx1"/>
              </a:solidFill>
              <a:effectLst/>
              <a:latin typeface="+mn-lt"/>
              <a:ea typeface="+mn-ea"/>
              <a:cs typeface="+mn-cs"/>
            </a:rPr>
            <a:t>5.Non-magnetic</a:t>
          </a:r>
        </a:p>
        <a:p>
          <a:pPr algn="ctr"/>
          <a:r>
            <a:rPr kumimoji="1" lang="en-US" altLang="ja-JP" sz="1100" b="0" cap="none" spc="0">
              <a:ln w="0">
                <a:noFill/>
              </a:ln>
              <a:solidFill>
                <a:schemeClr val="tx1"/>
              </a:solidFill>
              <a:effectLst/>
              <a:latin typeface="+mn-lt"/>
              <a:ea typeface="+mn-ea"/>
              <a:cs typeface="+mn-cs"/>
            </a:rPr>
            <a:t>Y-BALL</a:t>
          </a:r>
          <a:r>
            <a:rPr kumimoji="1" lang="en-US" altLang="ja-JP" sz="1100" b="0" cap="none" spc="0" baseline="0">
              <a:ln w="0">
                <a:noFill/>
              </a:ln>
              <a:solidFill>
                <a:schemeClr val="tx1"/>
              </a:solidFill>
              <a:effectLst/>
              <a:latin typeface="+mn-lt"/>
              <a:ea typeface="+mn-ea"/>
              <a:cs typeface="+mn-cs"/>
            </a:rPr>
            <a:t> (Corner R)</a:t>
          </a:r>
          <a:endParaRPr lang="ja-JP" altLang="ja-JP" sz="1100" b="0" cap="none" spc="0">
            <a:ln w="0">
              <a:noFill/>
            </a:ln>
            <a:solidFill>
              <a:schemeClr val="tx1"/>
            </a:solidFill>
            <a:effectLst/>
          </a:endParaRPr>
        </a:p>
        <a:p>
          <a:pPr algn="ctr"/>
          <a:r>
            <a:rPr kumimoji="1" lang="en-US" altLang="ja-JP" sz="1100" b="0" cap="all" spc="0">
              <a:ln w="0">
                <a:noFill/>
              </a:ln>
              <a:solidFill>
                <a:schemeClr val="tx1"/>
              </a:solidFill>
              <a:effectLst/>
              <a:latin typeface="+mn-lt"/>
              <a:ea typeface="+mn-ea"/>
              <a:cs typeface="+mn-cs"/>
            </a:rPr>
            <a:t>OD</a:t>
          </a:r>
          <a:r>
            <a:rPr kumimoji="1" lang="ja-JP" altLang="en-US" sz="1100" b="0" cap="all" spc="0">
              <a:ln w="0">
                <a:noFill/>
              </a:ln>
              <a:solidFill>
                <a:schemeClr val="tx1"/>
              </a:solidFill>
              <a:effectLst/>
              <a:latin typeface="+mn-lt"/>
              <a:ea typeface="+mn-ea"/>
              <a:cs typeface="+mn-cs"/>
            </a:rPr>
            <a:t>→</a:t>
          </a:r>
          <a:r>
            <a:rPr kumimoji="1" lang="en-US" altLang="ja-JP" sz="1100" b="0" cap="all" spc="0">
              <a:ln w="0">
                <a:noFill/>
              </a:ln>
              <a:solidFill>
                <a:schemeClr val="tx1"/>
              </a:solidFill>
              <a:effectLst/>
              <a:latin typeface="+mn-lt"/>
              <a:ea typeface="+mn-ea"/>
              <a:cs typeface="+mn-cs"/>
            </a:rPr>
            <a:t>ID</a:t>
          </a:r>
          <a:endParaRPr kumimoji="1" lang="en-US" altLang="ja-JP" sz="1100" b="0" cap="none" spc="0">
            <a:ln w="0">
              <a:noFill/>
            </a:ln>
            <a:solidFill>
              <a:schemeClr val="tx1"/>
            </a:solidFill>
            <a:effectLst/>
            <a:latin typeface="+mn-lt"/>
            <a:ea typeface="+mn-ea"/>
            <a:cs typeface="+mn-cs"/>
          </a:endParaRPr>
        </a:p>
      </xdr:txBody>
    </xdr:sp>
    <xdr:clientData/>
  </xdr:twoCellAnchor>
  <xdr:twoCellAnchor>
    <xdr:from>
      <xdr:col>6</xdr:col>
      <xdr:colOff>584848</xdr:colOff>
      <xdr:row>24</xdr:row>
      <xdr:rowOff>15875</xdr:rowOff>
    </xdr:from>
    <xdr:to>
      <xdr:col>9</xdr:col>
      <xdr:colOff>579781</xdr:colOff>
      <xdr:row>27</xdr:row>
      <xdr:rowOff>39088</xdr:rowOff>
    </xdr:to>
    <xdr:sp macro="" textlink="">
      <xdr:nvSpPr>
        <xdr:cNvPr id="44" name="角丸四角形 43">
          <a:hlinkClick xmlns:r="http://schemas.openxmlformats.org/officeDocument/2006/relationships" r:id="rId14"/>
        </xdr:cNvPr>
        <xdr:cNvSpPr>
          <a:spLocks noChangeAspect="1"/>
        </xdr:cNvSpPr>
      </xdr:nvSpPr>
      <xdr:spPr>
        <a:xfrm>
          <a:off x="4295457" y="4687266"/>
          <a:ext cx="1817107" cy="52017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100" b="1" cap="none" spc="0">
              <a:ln w="22225">
                <a:noFill/>
                <a:prstDash val="solid"/>
              </a:ln>
              <a:solidFill>
                <a:srgbClr val="FF0000"/>
              </a:solidFill>
              <a:effectLst/>
            </a:rPr>
            <a:t>ボール入りインナーレース</a:t>
          </a:r>
          <a:endParaRPr kumimoji="1" lang="en-US" altLang="ja-JP" sz="1100" b="1" cap="all" spc="0">
            <a:ln w="22225">
              <a:noFill/>
              <a:prstDash val="solid"/>
            </a:ln>
            <a:solidFill>
              <a:srgbClr val="FF0000"/>
            </a:solidFill>
            <a:effectLst/>
          </a:endParaRPr>
        </a:p>
      </xdr:txBody>
    </xdr:sp>
    <xdr:clientData/>
  </xdr:twoCellAnchor>
  <xdr:twoCellAnchor>
    <xdr:from>
      <xdr:col>7</xdr:col>
      <xdr:colOff>11708</xdr:colOff>
      <xdr:row>28</xdr:row>
      <xdr:rowOff>117158</xdr:rowOff>
    </xdr:from>
    <xdr:to>
      <xdr:col>9</xdr:col>
      <xdr:colOff>363941</xdr:colOff>
      <xdr:row>31</xdr:row>
      <xdr:rowOff>139446</xdr:rowOff>
    </xdr:to>
    <xdr:sp macro="" textlink="">
      <xdr:nvSpPr>
        <xdr:cNvPr id="26" name="角丸四角形 25">
          <a:hlinkClick xmlns:r="http://schemas.openxmlformats.org/officeDocument/2006/relationships" r:id="rId15"/>
        </xdr:cNvPr>
        <xdr:cNvSpPr>
          <a:spLocks noChangeAspect="1"/>
        </xdr:cNvSpPr>
      </xdr:nvSpPr>
      <xdr:spPr>
        <a:xfrm>
          <a:off x="4329708" y="5451158"/>
          <a:ext cx="1567016" cy="51924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100" b="0" cap="none" spc="0">
              <a:ln w="0"/>
              <a:solidFill>
                <a:srgbClr val="FF0000"/>
              </a:solidFill>
              <a:effectLst>
                <a:outerShdw blurRad="38100" dist="19050" dir="2700000" algn="tl" rotWithShape="0">
                  <a:schemeClr val="dk1">
                    <a:alpha val="40000"/>
                  </a:schemeClr>
                </a:outerShdw>
              </a:effectLst>
            </a:rPr>
            <a:t>レシプロ－ボール</a:t>
          </a:r>
          <a:endParaRPr kumimoji="1" lang="en-US" altLang="ja-JP" sz="1100" b="1" cap="all" spc="0">
            <a:ln w="22225">
              <a:noFill/>
              <a:prstDash val="solid"/>
            </a:ln>
            <a:solidFill>
              <a:srgbClr val="FF0000"/>
            </a:solidFill>
            <a:effectLst/>
          </a:endParaRPr>
        </a:p>
      </xdr:txBody>
    </xdr:sp>
    <xdr:clientData/>
  </xdr:twoCellAnchor>
  <xdr:twoCellAnchor>
    <xdr:from>
      <xdr:col>7</xdr:col>
      <xdr:colOff>95493</xdr:colOff>
      <xdr:row>21</xdr:row>
      <xdr:rowOff>41235</xdr:rowOff>
    </xdr:from>
    <xdr:to>
      <xdr:col>9</xdr:col>
      <xdr:colOff>321885</xdr:colOff>
      <xdr:row>23</xdr:row>
      <xdr:rowOff>5522</xdr:rowOff>
    </xdr:to>
    <xdr:sp macro="" textlink="">
      <xdr:nvSpPr>
        <xdr:cNvPr id="49" name="角丸四角形 48">
          <a:hlinkClick xmlns:r="http://schemas.openxmlformats.org/officeDocument/2006/relationships" r:id="rId16"/>
        </xdr:cNvPr>
        <xdr:cNvSpPr>
          <a:spLocks noChangeAspect="1"/>
        </xdr:cNvSpPr>
      </xdr:nvSpPr>
      <xdr:spPr>
        <a:xfrm>
          <a:off x="4413493" y="4215670"/>
          <a:ext cx="1441175" cy="29559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200" b="1" cap="none" spc="0">
              <a:ln w="22225">
                <a:noFill/>
                <a:prstDash val="solid"/>
              </a:ln>
              <a:solidFill>
                <a:srgbClr val="FF0000"/>
              </a:solidFill>
              <a:effectLst/>
            </a:rPr>
            <a:t>内径に</a:t>
          </a:r>
          <a:r>
            <a:rPr kumimoji="1" lang="en-US" altLang="ja-JP" sz="1200" b="1" cap="none" spc="0">
              <a:ln w="22225">
                <a:noFill/>
                <a:prstDash val="solid"/>
              </a:ln>
              <a:solidFill>
                <a:srgbClr val="FF0000"/>
              </a:solidFill>
              <a:effectLst/>
            </a:rPr>
            <a:t>TFE</a:t>
          </a:r>
          <a:r>
            <a:rPr kumimoji="1" lang="ja-JP" altLang="en-US" sz="1200" b="1" cap="none" spc="0">
              <a:ln w="22225">
                <a:noFill/>
                <a:prstDash val="solid"/>
              </a:ln>
              <a:solidFill>
                <a:srgbClr val="FF0000"/>
              </a:solidFill>
              <a:effectLst/>
            </a:rPr>
            <a:t>有タイプ</a:t>
          </a:r>
          <a:endParaRPr kumimoji="1" lang="en-US" altLang="ja-JP" sz="1200" b="1" cap="all" spc="0">
            <a:ln w="22225">
              <a:noFill/>
              <a:prstDash val="solid"/>
            </a:ln>
            <a:solidFill>
              <a:srgbClr val="FF0000"/>
            </a:solidFill>
            <a:effectLst/>
          </a:endParaRPr>
        </a:p>
      </xdr:txBody>
    </xdr:sp>
    <xdr:clientData/>
  </xdr:twoCellAnchor>
  <xdr:twoCellAnchor>
    <xdr:from>
      <xdr:col>1</xdr:col>
      <xdr:colOff>1315</xdr:colOff>
      <xdr:row>15</xdr:row>
      <xdr:rowOff>31059</xdr:rowOff>
    </xdr:from>
    <xdr:to>
      <xdr:col>3</xdr:col>
      <xdr:colOff>5521</xdr:colOff>
      <xdr:row>17</xdr:row>
      <xdr:rowOff>160131</xdr:rowOff>
    </xdr:to>
    <xdr:sp macro="" textlink="">
      <xdr:nvSpPr>
        <xdr:cNvPr id="52" name="角丸四角形 51">
          <a:hlinkClick xmlns:r="http://schemas.openxmlformats.org/officeDocument/2006/relationships" r:id="rId17"/>
        </xdr:cNvPr>
        <xdr:cNvSpPr>
          <a:spLocks noChangeAspect="1"/>
        </xdr:cNvSpPr>
      </xdr:nvSpPr>
      <xdr:spPr>
        <a:xfrm>
          <a:off x="542445" y="3040407"/>
          <a:ext cx="1351511" cy="46037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400" b="1" cap="none" spc="0">
              <a:ln w="22225">
                <a:noFill/>
                <a:prstDash val="solid"/>
              </a:ln>
              <a:solidFill>
                <a:srgbClr val="FF0000"/>
              </a:solidFill>
              <a:effectLst/>
            </a:rPr>
            <a:t>レシプロボディ</a:t>
          </a:r>
          <a:endParaRPr kumimoji="1" lang="en-US" altLang="ja-JP" sz="1400" b="1" cap="all" spc="0">
            <a:ln w="22225">
              <a:noFill/>
              <a:prstDash val="solid"/>
            </a:ln>
            <a:solidFill>
              <a:srgbClr val="FF0000"/>
            </a:solidFill>
            <a:effectLst/>
          </a:endParaRPr>
        </a:p>
      </xdr:txBody>
    </xdr:sp>
    <xdr:clientData/>
  </xdr:twoCellAnchor>
  <xdr:twoCellAnchor>
    <xdr:from>
      <xdr:col>1</xdr:col>
      <xdr:colOff>83932</xdr:colOff>
      <xdr:row>32</xdr:row>
      <xdr:rowOff>122615</xdr:rowOff>
    </xdr:from>
    <xdr:to>
      <xdr:col>3</xdr:col>
      <xdr:colOff>265043</xdr:colOff>
      <xdr:row>35</xdr:row>
      <xdr:rowOff>149087</xdr:rowOff>
    </xdr:to>
    <xdr:sp macro="" textlink="">
      <xdr:nvSpPr>
        <xdr:cNvPr id="47" name="角丸四角形 46">
          <a:hlinkClick xmlns:r="http://schemas.openxmlformats.org/officeDocument/2006/relationships" r:id="rId18"/>
        </xdr:cNvPr>
        <xdr:cNvSpPr>
          <a:spLocks noChangeAspect="1"/>
        </xdr:cNvSpPr>
      </xdr:nvSpPr>
      <xdr:spPr>
        <a:xfrm>
          <a:off x="625062" y="6119224"/>
          <a:ext cx="1528416" cy="523428"/>
        </a:xfrm>
        <a:prstGeom prst="roundRect">
          <a:avLst/>
        </a:prstGeom>
        <a:solidFill>
          <a:srgbClr val="66CCFF"/>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200" b="0" cap="none" spc="0">
              <a:ln w="0">
                <a:noFill/>
              </a:ln>
              <a:solidFill>
                <a:schemeClr val="tx1"/>
              </a:solidFill>
              <a:effectLst/>
            </a:rPr>
            <a:t>3.ALL</a:t>
          </a:r>
        </a:p>
        <a:p>
          <a:pPr algn="ctr"/>
          <a:r>
            <a:rPr kumimoji="1" lang="en-US" altLang="ja-JP" sz="1100" b="0" cap="none" spc="0">
              <a:ln w="0">
                <a:noFill/>
              </a:ln>
              <a:solidFill>
                <a:schemeClr val="tx1"/>
              </a:solidFill>
              <a:effectLst/>
            </a:rPr>
            <a:t>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ID</a:t>
          </a:r>
          <a:endParaRPr kumimoji="1" lang="en-US" altLang="ja-JP" sz="1100" b="1" cap="all" spc="0">
            <a:ln w="0">
              <a:noFill/>
            </a:ln>
            <a:solidFill>
              <a:schemeClr val="tx1"/>
            </a:solidFill>
            <a:effectLst/>
          </a:endParaRPr>
        </a:p>
      </xdr:txBody>
    </xdr:sp>
    <xdr:clientData/>
  </xdr:twoCellAnchor>
  <xdr:twoCellAnchor>
    <xdr:from>
      <xdr:col>14</xdr:col>
      <xdr:colOff>122152</xdr:colOff>
      <xdr:row>9</xdr:row>
      <xdr:rowOff>102276</xdr:rowOff>
    </xdr:from>
    <xdr:to>
      <xdr:col>17</xdr:col>
      <xdr:colOff>491435</xdr:colOff>
      <xdr:row>13</xdr:row>
      <xdr:rowOff>156064</xdr:rowOff>
    </xdr:to>
    <xdr:sp macro="" textlink="">
      <xdr:nvSpPr>
        <xdr:cNvPr id="55" name="角丸四角形 54">
          <a:hlinkClick xmlns:r="http://schemas.openxmlformats.org/officeDocument/2006/relationships" r:id="rId19"/>
        </xdr:cNvPr>
        <xdr:cNvSpPr>
          <a:spLocks noChangeAspect="1"/>
        </xdr:cNvSpPr>
      </xdr:nvSpPr>
      <xdr:spPr>
        <a:xfrm>
          <a:off x="8691891" y="2117711"/>
          <a:ext cx="2191457" cy="716396"/>
        </a:xfrm>
        <a:prstGeom prst="roundRect">
          <a:avLst/>
        </a:prstGeom>
        <a:solidFill>
          <a:srgbClr val="92D05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100" b="0" cap="none" spc="0">
              <a:ln w="0">
                <a:noFill/>
              </a:ln>
              <a:solidFill>
                <a:schemeClr val="tx1"/>
              </a:solidFill>
              <a:effectLst/>
            </a:rPr>
            <a:t>RACE</a:t>
          </a:r>
          <a:r>
            <a:rPr kumimoji="1" lang="en-US" altLang="ja-JP" sz="1100" b="0" cap="none" spc="0" baseline="0">
              <a:ln w="0">
                <a:noFill/>
              </a:ln>
              <a:solidFill>
                <a:schemeClr val="tx1"/>
              </a:solidFill>
              <a:effectLst/>
            </a:rPr>
            <a:t> 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40</a:t>
          </a:r>
        </a:p>
        <a:p>
          <a:pPr algn="ctr"/>
          <a:r>
            <a:rPr kumimoji="1" lang="en-US" altLang="ja-JP" sz="1100" b="0" cap="none" spc="0">
              <a:ln w="0">
                <a:noFill/>
              </a:ln>
              <a:solidFill>
                <a:schemeClr val="tx1"/>
              </a:solidFill>
              <a:effectLst/>
            </a:rPr>
            <a:t>SPHERICAL TURN</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TURN SPH. OD</a:t>
          </a:r>
        </a:p>
        <a:p>
          <a:pPr algn="ctr"/>
          <a:r>
            <a:rPr kumimoji="1" lang="en-US" altLang="ja-JP" sz="1100" b="0" cap="none" spc="0">
              <a:ln w="0">
                <a:noFill/>
              </a:ln>
              <a:solidFill>
                <a:schemeClr val="tx1"/>
              </a:solidFill>
              <a:effectLst/>
            </a:rPr>
            <a:t>(D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DT)</a:t>
          </a:r>
          <a:endParaRPr kumimoji="1" lang="en-US" altLang="ja-JP" sz="1100" b="0" cap="all" spc="0">
            <a:ln w="0">
              <a:noFill/>
            </a:ln>
            <a:solidFill>
              <a:schemeClr val="tx1"/>
            </a:solidFill>
            <a:effectLst/>
          </a:endParaRPr>
        </a:p>
      </xdr:txBody>
    </xdr:sp>
    <xdr:clientData/>
  </xdr:twoCellAnchor>
  <xdr:twoCellAnchor>
    <xdr:from>
      <xdr:col>8</xdr:col>
      <xdr:colOff>20244</xdr:colOff>
      <xdr:row>9</xdr:row>
      <xdr:rowOff>113909</xdr:rowOff>
    </xdr:from>
    <xdr:to>
      <xdr:col>10</xdr:col>
      <xdr:colOff>33130</xdr:colOff>
      <xdr:row>14</xdr:row>
      <xdr:rowOff>5521</xdr:rowOff>
    </xdr:to>
    <xdr:sp macro="" textlink="">
      <xdr:nvSpPr>
        <xdr:cNvPr id="56" name="角丸四角形 55">
          <a:hlinkClick xmlns:r="http://schemas.openxmlformats.org/officeDocument/2006/relationships" r:id="rId20"/>
        </xdr:cNvPr>
        <xdr:cNvSpPr>
          <a:spLocks noChangeAspect="1"/>
        </xdr:cNvSpPr>
      </xdr:nvSpPr>
      <xdr:spPr>
        <a:xfrm>
          <a:off x="4945635" y="2129344"/>
          <a:ext cx="1227669" cy="719873"/>
        </a:xfrm>
        <a:prstGeom prst="roundRect">
          <a:avLst/>
        </a:prstGeom>
        <a:solidFill>
          <a:srgbClr val="92D05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100" b="0" cap="none" spc="0">
              <a:ln w="0">
                <a:noFill/>
              </a:ln>
              <a:solidFill>
                <a:schemeClr val="tx1"/>
              </a:solidFill>
              <a:effectLst/>
            </a:rPr>
            <a:t>RACE</a:t>
          </a:r>
          <a:r>
            <a:rPr kumimoji="1" lang="en-US" altLang="ja-JP" sz="1100" b="0" cap="none" spc="0" baseline="0">
              <a:ln w="0">
                <a:noFill/>
              </a:ln>
              <a:solidFill>
                <a:schemeClr val="tx1"/>
              </a:solidFill>
              <a:effectLst/>
            </a:rPr>
            <a:t> 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Φ40</a:t>
          </a:r>
        </a:p>
        <a:p>
          <a:pPr algn="ctr"/>
          <a:r>
            <a:rPr kumimoji="1" lang="en-US" altLang="ja-JP" sz="1100" b="0" cap="none" spc="0">
              <a:ln w="0">
                <a:noFill/>
              </a:ln>
              <a:solidFill>
                <a:schemeClr val="tx1"/>
              </a:solidFill>
              <a:effectLst/>
              <a:latin typeface="+mn-lt"/>
              <a:ea typeface="+mn-ea"/>
              <a:cs typeface="+mn-cs"/>
            </a:rPr>
            <a:t>SPHERICAL TURN</a:t>
          </a:r>
        </a:p>
        <a:p>
          <a:pPr algn="ctr"/>
          <a:r>
            <a:rPr kumimoji="1" lang="en-US" altLang="ja-JP" sz="1100" b="0" cap="none" spc="0">
              <a:ln w="0">
                <a:noFill/>
              </a:ln>
              <a:solidFill>
                <a:schemeClr val="tx1"/>
              </a:solidFill>
              <a:effectLst/>
              <a:latin typeface="+mn-lt"/>
              <a:ea typeface="+mn-ea"/>
              <a:cs typeface="+mn-cs"/>
            </a:rPr>
            <a:t>(DT)</a:t>
          </a:r>
          <a:endParaRPr kumimoji="1" lang="en-US" altLang="ja-JP" sz="1100" b="0" cap="all" spc="0">
            <a:ln w="0">
              <a:noFill/>
            </a:ln>
            <a:solidFill>
              <a:schemeClr val="tx1"/>
            </a:solidFill>
            <a:effectLst/>
          </a:endParaRPr>
        </a:p>
      </xdr:txBody>
    </xdr:sp>
    <xdr:clientData/>
  </xdr:twoCellAnchor>
  <xdr:twoCellAnchor>
    <xdr:from>
      <xdr:col>11</xdr:col>
      <xdr:colOff>6318</xdr:colOff>
      <xdr:row>33</xdr:row>
      <xdr:rowOff>151417</xdr:rowOff>
    </xdr:from>
    <xdr:to>
      <xdr:col>12</xdr:col>
      <xdr:colOff>586022</xdr:colOff>
      <xdr:row>36</xdr:row>
      <xdr:rowOff>44174</xdr:rowOff>
    </xdr:to>
    <xdr:sp macro="" textlink="">
      <xdr:nvSpPr>
        <xdr:cNvPr id="35" name="角丸四角形 34">
          <a:hlinkClick xmlns:r="http://schemas.openxmlformats.org/officeDocument/2006/relationships" r:id="rId21"/>
        </xdr:cNvPr>
        <xdr:cNvSpPr>
          <a:spLocks noChangeAspect="1"/>
        </xdr:cNvSpPr>
      </xdr:nvSpPr>
      <xdr:spPr>
        <a:xfrm>
          <a:off x="6753883" y="6313678"/>
          <a:ext cx="1187096" cy="38971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rtlCol="0" anchor="ctr"/>
        <a:lstStyle/>
        <a:p>
          <a:pPr algn="ctr"/>
          <a:r>
            <a:rPr kumimoji="1" lang="ja-JP" altLang="en-US" sz="1200" b="1" cap="none" spc="0" baseline="0">
              <a:ln w="3175">
                <a:solidFill>
                  <a:schemeClr val="tx1"/>
                </a:solidFill>
                <a:prstDash val="solid"/>
              </a:ln>
              <a:solidFill>
                <a:srgbClr val="FF0000"/>
              </a:solidFill>
              <a:effectLst/>
            </a:rPr>
            <a:t>ボール入り</a:t>
          </a:r>
          <a:endParaRPr kumimoji="1" lang="en-US" altLang="ja-JP" sz="1200" b="0" cap="none" spc="0" baseline="0">
            <a:ln w="3175">
              <a:solidFill>
                <a:schemeClr val="tx1"/>
              </a:solidFill>
              <a:prstDash val="solid"/>
            </a:ln>
            <a:solidFill>
              <a:srgbClr val="FF0000"/>
            </a:solidFill>
            <a:effectLst/>
          </a:endParaRPr>
        </a:p>
      </xdr:txBody>
    </xdr:sp>
    <xdr:clientData/>
  </xdr:twoCellAnchor>
  <xdr:twoCellAnchor>
    <xdr:from>
      <xdr:col>16</xdr:col>
      <xdr:colOff>60848</xdr:colOff>
      <xdr:row>21</xdr:row>
      <xdr:rowOff>43714</xdr:rowOff>
    </xdr:from>
    <xdr:to>
      <xdr:col>17</xdr:col>
      <xdr:colOff>485913</xdr:colOff>
      <xdr:row>23</xdr:row>
      <xdr:rowOff>104913</xdr:rowOff>
    </xdr:to>
    <xdr:sp macro="" textlink="">
      <xdr:nvSpPr>
        <xdr:cNvPr id="29" name="角丸四角形 28">
          <a:hlinkClick xmlns:r="http://schemas.openxmlformats.org/officeDocument/2006/relationships" r:id="rId22"/>
        </xdr:cNvPr>
        <xdr:cNvSpPr>
          <a:spLocks noChangeAspect="1"/>
        </xdr:cNvSpPr>
      </xdr:nvSpPr>
      <xdr:spPr>
        <a:xfrm>
          <a:off x="9845370" y="4218149"/>
          <a:ext cx="1032456" cy="392503"/>
        </a:xfrm>
        <a:prstGeom prst="roundRect">
          <a:avLst/>
        </a:prstGeom>
      </xdr:spPr>
      <xdr:style>
        <a:lnRef idx="2">
          <a:schemeClr val="dk1"/>
        </a:lnRef>
        <a:fillRef idx="1">
          <a:schemeClr val="lt1"/>
        </a:fillRef>
        <a:effectRef idx="0">
          <a:schemeClr val="dk1"/>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100" b="1" cap="none" spc="0" baseline="0">
              <a:ln w="22225">
                <a:noFill/>
                <a:prstDash val="solid"/>
              </a:ln>
              <a:solidFill>
                <a:srgbClr val="FF0000"/>
              </a:solidFill>
              <a:effectLst/>
            </a:rPr>
            <a:t>ローラーピン</a:t>
          </a:r>
          <a:endParaRPr kumimoji="1" lang="en-US" altLang="ja-JP" sz="1100" b="1" cap="all" spc="0" baseline="0">
            <a:ln w="22225">
              <a:noFill/>
              <a:prstDash val="solid"/>
            </a:ln>
            <a:solidFill>
              <a:srgbClr val="FF0000"/>
            </a:solidFill>
            <a:effectLst/>
          </a:endParaRPr>
        </a:p>
      </xdr:txBody>
    </xdr:sp>
    <xdr:clientData/>
  </xdr:twoCellAnchor>
  <xdr:twoCellAnchor>
    <xdr:from>
      <xdr:col>16</xdr:col>
      <xdr:colOff>56618</xdr:colOff>
      <xdr:row>24</xdr:row>
      <xdr:rowOff>22591</xdr:rowOff>
    </xdr:from>
    <xdr:to>
      <xdr:col>17</xdr:col>
      <xdr:colOff>458305</xdr:colOff>
      <xdr:row>26</xdr:row>
      <xdr:rowOff>127000</xdr:rowOff>
    </xdr:to>
    <xdr:sp macro="" textlink="">
      <xdr:nvSpPr>
        <xdr:cNvPr id="59" name="角丸四角形 58">
          <a:hlinkClick xmlns:r="http://schemas.openxmlformats.org/officeDocument/2006/relationships" r:id="rId23"/>
        </xdr:cNvPr>
        <xdr:cNvSpPr>
          <a:spLocks noChangeAspect="1"/>
        </xdr:cNvSpPr>
      </xdr:nvSpPr>
      <xdr:spPr>
        <a:xfrm>
          <a:off x="9841140" y="4693982"/>
          <a:ext cx="1009078" cy="435714"/>
        </a:xfrm>
        <a:prstGeom prst="roundRect">
          <a:avLst/>
        </a:prstGeom>
      </xdr:spPr>
      <xdr:style>
        <a:lnRef idx="2">
          <a:schemeClr val="dk1"/>
        </a:lnRef>
        <a:fillRef idx="1">
          <a:schemeClr val="lt1"/>
        </a:fillRef>
        <a:effectRef idx="0">
          <a:schemeClr val="dk1"/>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200" b="1" cap="none" spc="0" baseline="0">
              <a:ln w="22225">
                <a:noFill/>
                <a:prstDash val="solid"/>
              </a:ln>
              <a:solidFill>
                <a:srgbClr val="FF0000"/>
              </a:solidFill>
              <a:effectLst/>
            </a:rPr>
            <a:t>ロックナット</a:t>
          </a:r>
          <a:endParaRPr kumimoji="1" lang="en-US" altLang="ja-JP" sz="1200" b="1" cap="all" spc="0" baseline="0">
            <a:ln w="22225">
              <a:noFill/>
              <a:prstDash val="solid"/>
            </a:ln>
            <a:solidFill>
              <a:srgbClr val="FF0000"/>
            </a:solidFill>
            <a:effectLst/>
          </a:endParaRPr>
        </a:p>
      </xdr:txBody>
    </xdr:sp>
    <xdr:clientData/>
  </xdr:twoCellAnchor>
  <xdr:twoCellAnchor>
    <xdr:from>
      <xdr:col>19</xdr:col>
      <xdr:colOff>129760</xdr:colOff>
      <xdr:row>30</xdr:row>
      <xdr:rowOff>119822</xdr:rowOff>
    </xdr:from>
    <xdr:to>
      <xdr:col>24</xdr:col>
      <xdr:colOff>314049</xdr:colOff>
      <xdr:row>33</xdr:row>
      <xdr:rowOff>5523</xdr:rowOff>
    </xdr:to>
    <xdr:sp macro="" textlink="">
      <xdr:nvSpPr>
        <xdr:cNvPr id="53" name="正方形/長方形 52">
          <a:hlinkClick xmlns:r="http://schemas.openxmlformats.org/officeDocument/2006/relationships" r:id="rId24"/>
        </xdr:cNvPr>
        <xdr:cNvSpPr/>
      </xdr:nvSpPr>
      <xdr:spPr>
        <a:xfrm>
          <a:off x="11736456" y="5785126"/>
          <a:ext cx="3348245" cy="38265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偏芯ボールは</a:t>
          </a:r>
          <a:r>
            <a:rPr kumimoji="1" lang="en-US" altLang="ja-JP" sz="1100"/>
            <a:t>20180327</a:t>
          </a:r>
          <a:r>
            <a:rPr kumimoji="1" lang="ja-JP" altLang="en-US" sz="1100"/>
            <a:t>現在内研加工不可</a:t>
          </a:r>
          <a:r>
            <a:rPr kumimoji="1" lang="en-US" altLang="ja-JP" sz="1100"/>
            <a:t>(</a:t>
          </a:r>
          <a:r>
            <a:rPr kumimoji="1" lang="ja-JP" altLang="en-US" sz="1100"/>
            <a:t>リンク先参照</a:t>
          </a:r>
          <a:r>
            <a:rPr kumimoji="1" lang="en-US" altLang="ja-JP" sz="1100"/>
            <a:t>)</a:t>
          </a:r>
          <a:endParaRPr kumimoji="1" lang="ja-JP" altLang="en-US" sz="1100"/>
        </a:p>
      </xdr:txBody>
    </xdr:sp>
    <xdr:clientData/>
  </xdr:twoCellAnchor>
  <xdr:twoCellAnchor>
    <xdr:from>
      <xdr:col>11</xdr:col>
      <xdr:colOff>185667</xdr:colOff>
      <xdr:row>29</xdr:row>
      <xdr:rowOff>60741</xdr:rowOff>
    </xdr:from>
    <xdr:to>
      <xdr:col>12</xdr:col>
      <xdr:colOff>451614</xdr:colOff>
      <xdr:row>33</xdr:row>
      <xdr:rowOff>38653</xdr:rowOff>
    </xdr:to>
    <xdr:sp macro="" textlink="">
      <xdr:nvSpPr>
        <xdr:cNvPr id="64" name="角丸四角形 63">
          <a:hlinkClick xmlns:r="http://schemas.openxmlformats.org/officeDocument/2006/relationships" r:id="rId25"/>
        </xdr:cNvPr>
        <xdr:cNvSpPr>
          <a:spLocks noChangeAspect="1"/>
        </xdr:cNvSpPr>
      </xdr:nvSpPr>
      <xdr:spPr>
        <a:xfrm>
          <a:off x="6933232" y="5560393"/>
          <a:ext cx="873339" cy="64052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200" b="1" cap="none" spc="0" baseline="0">
              <a:ln w="22225">
                <a:noFill/>
                <a:prstDash val="solid"/>
              </a:ln>
              <a:solidFill>
                <a:srgbClr val="FF0000"/>
              </a:solidFill>
              <a:effectLst/>
            </a:rPr>
            <a:t>ダブルローラー</a:t>
          </a:r>
          <a:endParaRPr kumimoji="1" lang="en-US" altLang="ja-JP" sz="1200" b="1" cap="all" spc="0" baseline="0">
            <a:ln w="22225">
              <a:noFill/>
              <a:prstDash val="solid"/>
            </a:ln>
            <a:solidFill>
              <a:srgbClr val="FF0000"/>
            </a:solidFill>
            <a:effectLst/>
          </a:endParaRPr>
        </a:p>
      </xdr:txBody>
    </xdr:sp>
    <xdr:clientData/>
  </xdr:twoCellAnchor>
  <xdr:twoCellAnchor>
    <xdr:from>
      <xdr:col>11</xdr:col>
      <xdr:colOff>147016</xdr:colOff>
      <xdr:row>24</xdr:row>
      <xdr:rowOff>121479</xdr:rowOff>
    </xdr:from>
    <xdr:to>
      <xdr:col>12</xdr:col>
      <xdr:colOff>412964</xdr:colOff>
      <xdr:row>28</xdr:row>
      <xdr:rowOff>66261</xdr:rowOff>
    </xdr:to>
    <xdr:sp macro="" textlink="">
      <xdr:nvSpPr>
        <xdr:cNvPr id="65" name="角丸四角形 64">
          <a:hlinkClick xmlns:r="http://schemas.openxmlformats.org/officeDocument/2006/relationships" r:id="rId26"/>
        </xdr:cNvPr>
        <xdr:cNvSpPr>
          <a:spLocks noChangeAspect="1"/>
        </xdr:cNvSpPr>
      </xdr:nvSpPr>
      <xdr:spPr>
        <a:xfrm>
          <a:off x="6894581" y="4792870"/>
          <a:ext cx="873340" cy="60739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200" b="1" cap="none" spc="0" baseline="0">
              <a:ln w="22225">
                <a:noFill/>
                <a:prstDash val="solid"/>
              </a:ln>
              <a:solidFill>
                <a:srgbClr val="FF0000"/>
              </a:solidFill>
              <a:effectLst/>
            </a:rPr>
            <a:t>シングルローラー</a:t>
          </a:r>
          <a:r>
            <a:rPr kumimoji="1" lang="en-US" altLang="ja-JP" sz="1200" b="1" cap="none" spc="0" baseline="0">
              <a:ln w="22225">
                <a:noFill/>
                <a:prstDash val="solid"/>
              </a:ln>
              <a:solidFill>
                <a:srgbClr val="FF0000"/>
              </a:solidFill>
              <a:effectLst/>
            </a:rPr>
            <a:t> </a:t>
          </a:r>
          <a:endParaRPr kumimoji="1" lang="en-US" altLang="ja-JP" sz="1200" b="1" cap="all" spc="0" baseline="0">
            <a:ln w="22225">
              <a:noFill/>
              <a:prstDash val="solid"/>
            </a:ln>
            <a:solidFill>
              <a:srgbClr val="FF0000"/>
            </a:solidFill>
            <a:effectLst/>
          </a:endParaRPr>
        </a:p>
      </xdr:txBody>
    </xdr:sp>
    <xdr:clientData/>
  </xdr:twoCellAnchor>
  <xdr:twoCellAnchor>
    <xdr:from>
      <xdr:col>19</xdr:col>
      <xdr:colOff>147014</xdr:colOff>
      <xdr:row>33</xdr:row>
      <xdr:rowOff>82826</xdr:rowOff>
    </xdr:from>
    <xdr:to>
      <xdr:col>24</xdr:col>
      <xdr:colOff>198781</xdr:colOff>
      <xdr:row>37</xdr:row>
      <xdr:rowOff>160131</xdr:rowOff>
    </xdr:to>
    <xdr:sp macro="" textlink="">
      <xdr:nvSpPr>
        <xdr:cNvPr id="66" name="正方形/長方形 65"/>
        <xdr:cNvSpPr/>
      </xdr:nvSpPr>
      <xdr:spPr>
        <a:xfrm>
          <a:off x="11753710" y="6245087"/>
          <a:ext cx="3215723" cy="7454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100"/>
            <a:t>0361 DRILL OIL HOLE</a:t>
          </a:r>
          <a:r>
            <a:rPr kumimoji="1" lang="ja-JP" altLang="en-US" sz="1100"/>
            <a:t>について・・・</a:t>
          </a:r>
          <a:r>
            <a:rPr kumimoji="1" lang="en-US" altLang="ja-JP" sz="1100"/>
            <a:t>2023/03/08</a:t>
          </a:r>
        </a:p>
        <a:p>
          <a:pPr algn="ctr"/>
          <a:r>
            <a:rPr lang="ja-JP" altLang="en-US" sz="1100" b="0" i="0" u="none" strike="noStrike" baseline="0" smtClean="0">
              <a:solidFill>
                <a:schemeClr val="lt1"/>
              </a:solidFill>
              <a:latin typeface="+mn-lt"/>
              <a:ea typeface="+mn-ea"/>
              <a:cs typeface="+mn-cs"/>
            </a:rPr>
            <a:t>油穴工程は前工程のターニングと次工程の油溝と同時に複合旋盤で加工されるため、治具は不要</a:t>
          </a:r>
          <a:endParaRPr kumimoji="1" lang="ja-JP" altLang="en-US" sz="1100"/>
        </a:p>
      </xdr:txBody>
    </xdr:sp>
    <xdr:clientData/>
  </xdr:twoCellAnchor>
  <xdr:twoCellAnchor>
    <xdr:from>
      <xdr:col>5</xdr:col>
      <xdr:colOff>358912</xdr:colOff>
      <xdr:row>5</xdr:row>
      <xdr:rowOff>33129</xdr:rowOff>
    </xdr:from>
    <xdr:to>
      <xdr:col>7</xdr:col>
      <xdr:colOff>132553</xdr:colOff>
      <xdr:row>7</xdr:row>
      <xdr:rowOff>109329</xdr:rowOff>
    </xdr:to>
    <xdr:sp macro="" textlink="">
      <xdr:nvSpPr>
        <xdr:cNvPr id="68" name="角丸四角形 67">
          <a:hlinkClick xmlns:r="http://schemas.openxmlformats.org/officeDocument/2006/relationships" r:id="rId27"/>
        </xdr:cNvPr>
        <xdr:cNvSpPr>
          <a:spLocks noChangeAspect="1"/>
        </xdr:cNvSpPr>
      </xdr:nvSpPr>
      <xdr:spPr>
        <a:xfrm>
          <a:off x="3462129" y="1385955"/>
          <a:ext cx="988424" cy="407504"/>
        </a:xfrm>
        <a:prstGeom prst="roundRect">
          <a:avLst/>
        </a:prstGeom>
        <a:solidFill>
          <a:srgbClr val="E1E10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600" b="0" cap="none" spc="0">
              <a:ln w="0">
                <a:noFill/>
              </a:ln>
              <a:solidFill>
                <a:schemeClr val="tx1"/>
              </a:solidFill>
              <a:effectLst/>
            </a:rPr>
            <a:t>SLEEVE</a:t>
          </a:r>
          <a:endParaRPr kumimoji="1" lang="en-US" altLang="ja-JP" sz="1600" b="1" cap="all" spc="0">
            <a:ln w="0">
              <a:noFill/>
            </a:ln>
            <a:solidFill>
              <a:schemeClr val="tx1"/>
            </a:solidFill>
            <a:effectLst/>
          </a:endParaRPr>
        </a:p>
      </xdr:txBody>
    </xdr:sp>
    <xdr:clientData/>
  </xdr:twoCellAnchor>
  <xdr:twoCellAnchor>
    <xdr:from>
      <xdr:col>5</xdr:col>
      <xdr:colOff>193262</xdr:colOff>
      <xdr:row>12</xdr:row>
      <xdr:rowOff>77304</xdr:rowOff>
    </xdr:from>
    <xdr:to>
      <xdr:col>7</xdr:col>
      <xdr:colOff>375479</xdr:colOff>
      <xdr:row>17</xdr:row>
      <xdr:rowOff>115957</xdr:rowOff>
    </xdr:to>
    <xdr:sp macro="" textlink="">
      <xdr:nvSpPr>
        <xdr:cNvPr id="70" name="角丸四角形 69">
          <a:hlinkClick xmlns:r="http://schemas.openxmlformats.org/officeDocument/2006/relationships" r:id="rId28"/>
        </xdr:cNvPr>
        <xdr:cNvSpPr>
          <a:spLocks noChangeAspect="1"/>
        </xdr:cNvSpPr>
      </xdr:nvSpPr>
      <xdr:spPr>
        <a:xfrm>
          <a:off x="3296479" y="2589695"/>
          <a:ext cx="1397000" cy="866914"/>
        </a:xfrm>
        <a:prstGeom prst="roundRect">
          <a:avLst/>
        </a:prstGeom>
        <a:ln>
          <a:solidFill>
            <a:srgbClr val="FFFF64"/>
          </a:solidFill>
        </a:ln>
      </xdr:spPr>
      <xdr:style>
        <a:lnRef idx="2">
          <a:schemeClr val="accent6"/>
        </a:lnRef>
        <a:fillRef idx="1">
          <a:schemeClr val="lt1"/>
        </a:fillRef>
        <a:effectRef idx="0">
          <a:schemeClr val="accent6"/>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600" b="1" cap="none" spc="0">
              <a:ln w="22225">
                <a:solidFill>
                  <a:srgbClr val="FF0000"/>
                </a:solidFill>
                <a:prstDash val="solid"/>
              </a:ln>
              <a:solidFill>
                <a:srgbClr val="FF0000"/>
              </a:solidFill>
              <a:effectLst/>
            </a:rPr>
            <a:t>ボーイング</a:t>
          </a:r>
          <a:r>
            <a:rPr kumimoji="1" lang="en-US" altLang="ja-JP" sz="1600" b="1" cap="none" spc="0">
              <a:ln w="22225">
                <a:solidFill>
                  <a:srgbClr val="FF0000"/>
                </a:solidFill>
                <a:prstDash val="solid"/>
              </a:ln>
              <a:solidFill>
                <a:srgbClr val="FF0000"/>
              </a:solidFill>
              <a:effectLst/>
            </a:rPr>
            <a:t> </a:t>
          </a:r>
          <a:r>
            <a:rPr kumimoji="1" lang="ja-JP" altLang="en-US" sz="1600" b="1" cap="none" spc="0">
              <a:ln w="22225">
                <a:solidFill>
                  <a:srgbClr val="FF0000"/>
                </a:solidFill>
                <a:prstDash val="solid"/>
              </a:ln>
              <a:solidFill>
                <a:srgbClr val="FF0000"/>
              </a:solidFill>
              <a:effectLst/>
            </a:rPr>
            <a:t>スリーブ</a:t>
          </a:r>
          <a:endParaRPr kumimoji="1" lang="en-US" altLang="ja-JP" sz="1600" b="1" cap="none" spc="0">
            <a:ln w="22225">
              <a:solidFill>
                <a:srgbClr val="FF0000"/>
              </a:solidFill>
              <a:prstDash val="solid"/>
            </a:ln>
            <a:solidFill>
              <a:srgbClr val="FF0000"/>
            </a:solidFill>
            <a:effectLst/>
          </a:endParaRPr>
        </a:p>
        <a:p>
          <a:pPr algn="ctr"/>
          <a:r>
            <a:rPr kumimoji="1" lang="en-US" altLang="ja-JP" sz="800" b="1" cap="none" spc="0">
              <a:ln w="22225">
                <a:solidFill>
                  <a:srgbClr val="FF0000"/>
                </a:solidFill>
                <a:prstDash val="solid"/>
              </a:ln>
              <a:solidFill>
                <a:srgbClr val="FF0000"/>
              </a:solidFill>
              <a:effectLst/>
            </a:rPr>
            <a:t>(AHJFAY</a:t>
          </a:r>
          <a:r>
            <a:rPr kumimoji="1" lang="ja-JP" altLang="en-US" sz="800" b="1" cap="none" spc="0">
              <a:ln w="22225">
                <a:solidFill>
                  <a:srgbClr val="FF0000"/>
                </a:solidFill>
                <a:prstDash val="solid"/>
              </a:ln>
              <a:solidFill>
                <a:srgbClr val="FF0000"/>
              </a:solidFill>
              <a:effectLst/>
            </a:rPr>
            <a:t>シリーズ</a:t>
          </a:r>
          <a:r>
            <a:rPr kumimoji="1" lang="en-US" altLang="ja-JP" sz="800" b="1" cap="none" spc="0">
              <a:ln w="22225">
                <a:solidFill>
                  <a:srgbClr val="FF0000"/>
                </a:solidFill>
                <a:prstDash val="solid"/>
              </a:ln>
              <a:solidFill>
                <a:srgbClr val="FF0000"/>
              </a:solidFill>
              <a:effectLst/>
            </a:rPr>
            <a:t>)</a:t>
          </a:r>
          <a:endParaRPr kumimoji="1" lang="en-US" altLang="ja-JP" sz="800" b="1" cap="all" spc="0">
            <a:ln w="22225">
              <a:solidFill>
                <a:srgbClr val="FF0000"/>
              </a:solidFill>
              <a:prstDash val="solid"/>
            </a:ln>
            <a:solidFill>
              <a:srgbClr val="FF0000"/>
            </a:solidFill>
            <a:effectLst/>
          </a:endParaRPr>
        </a:p>
      </xdr:txBody>
    </xdr:sp>
    <xdr:clientData/>
  </xdr:twoCellAnchor>
  <xdr:twoCellAnchor>
    <xdr:from>
      <xdr:col>5</xdr:col>
      <xdr:colOff>215346</xdr:colOff>
      <xdr:row>7</xdr:row>
      <xdr:rowOff>132522</xdr:rowOff>
    </xdr:from>
    <xdr:to>
      <xdr:col>7</xdr:col>
      <xdr:colOff>348728</xdr:colOff>
      <xdr:row>10</xdr:row>
      <xdr:rowOff>21583</xdr:rowOff>
    </xdr:to>
    <xdr:sp macro="" textlink="">
      <xdr:nvSpPr>
        <xdr:cNvPr id="72" name="角丸四角形 71">
          <a:hlinkClick xmlns:r="http://schemas.openxmlformats.org/officeDocument/2006/relationships" r:id="rId29"/>
        </xdr:cNvPr>
        <xdr:cNvSpPr>
          <a:spLocks noChangeAspect="1"/>
        </xdr:cNvSpPr>
      </xdr:nvSpPr>
      <xdr:spPr>
        <a:xfrm>
          <a:off x="3318563" y="1816652"/>
          <a:ext cx="1348165" cy="386018"/>
        </a:xfrm>
        <a:prstGeom prst="roundRect">
          <a:avLst/>
        </a:prstGeom>
        <a:solidFill>
          <a:srgbClr val="E1E10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600" b="0" cap="none" spc="0">
              <a:ln w="0">
                <a:noFill/>
              </a:ln>
              <a:solidFill>
                <a:sysClr val="windowText" lastClr="000000"/>
              </a:solidFill>
              <a:effectLst/>
            </a:rPr>
            <a:t>SLEEVE</a:t>
          </a:r>
          <a:r>
            <a:rPr kumimoji="1" lang="en-US" altLang="ja-JP" sz="1600" b="0" cap="none" spc="0" baseline="0">
              <a:ln w="0">
                <a:noFill/>
              </a:ln>
              <a:solidFill>
                <a:sysClr val="windowText" lastClr="000000"/>
              </a:solidFill>
              <a:effectLst/>
            </a:rPr>
            <a:t> </a:t>
          </a:r>
          <a:r>
            <a:rPr kumimoji="1" lang="en-US" altLang="ja-JP" sz="1600" b="0" cap="none" spc="0">
              <a:ln w="0">
                <a:noFill/>
              </a:ln>
              <a:solidFill>
                <a:sysClr val="windowText" lastClr="000000"/>
              </a:solidFill>
              <a:effectLst/>
            </a:rPr>
            <a:t>(IDG)</a:t>
          </a:r>
          <a:endParaRPr kumimoji="1" lang="en-US" altLang="ja-JP" sz="1600" b="1" cap="all" spc="0">
            <a:ln w="0">
              <a:noFill/>
            </a:ln>
            <a:solidFill>
              <a:sysClr val="windowText" lastClr="000000"/>
            </a:solidFill>
            <a:effectLst/>
          </a:endParaRPr>
        </a:p>
      </xdr:txBody>
    </xdr:sp>
    <xdr:clientData/>
  </xdr:twoCellAnchor>
  <xdr:twoCellAnchor>
    <xdr:from>
      <xdr:col>1</xdr:col>
      <xdr:colOff>23813</xdr:colOff>
      <xdr:row>12</xdr:row>
      <xdr:rowOff>79375</xdr:rowOff>
    </xdr:from>
    <xdr:to>
      <xdr:col>2</xdr:col>
      <xdr:colOff>689181</xdr:colOff>
      <xdr:row>14</xdr:row>
      <xdr:rowOff>84896</xdr:rowOff>
    </xdr:to>
    <xdr:sp macro="" textlink="">
      <xdr:nvSpPr>
        <xdr:cNvPr id="32" name="角丸四角形 31">
          <a:hlinkClick xmlns:r="http://schemas.openxmlformats.org/officeDocument/2006/relationships" r:id="rId30"/>
        </xdr:cNvPr>
        <xdr:cNvSpPr>
          <a:spLocks noChangeAspect="1"/>
        </xdr:cNvSpPr>
      </xdr:nvSpPr>
      <xdr:spPr>
        <a:xfrm>
          <a:off x="611188" y="2317750"/>
          <a:ext cx="1427368" cy="354771"/>
        </a:xfrm>
        <a:prstGeom prst="roundRect">
          <a:avLst/>
        </a:prstGeom>
        <a:solidFill>
          <a:srgbClr val="FF9900"/>
        </a:solidFill>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kumimoji="1" lang="en-US" altLang="ja-JP" sz="1600" b="0" cap="none" spc="0">
              <a:ln w="0">
                <a:noFill/>
              </a:ln>
              <a:solidFill>
                <a:schemeClr val="tx1"/>
              </a:solidFill>
              <a:effectLst/>
            </a:rPr>
            <a:t>ROLLER</a:t>
          </a:r>
          <a:r>
            <a:rPr kumimoji="1" lang="en-US" altLang="ja-JP" sz="1600" b="0" cap="none" spc="0" baseline="0">
              <a:ln w="0">
                <a:noFill/>
              </a:ln>
              <a:solidFill>
                <a:schemeClr val="tx1"/>
              </a:solidFill>
              <a:effectLst/>
            </a:rPr>
            <a:t> BODY</a:t>
          </a:r>
        </a:p>
      </xdr:txBody>
    </xdr:sp>
    <xdr:clientData/>
  </xdr:twoCellAnchor>
  <xdr:twoCellAnchor>
    <xdr:from>
      <xdr:col>3</xdr:col>
      <xdr:colOff>500063</xdr:colOff>
      <xdr:row>32</xdr:row>
      <xdr:rowOff>15874</xdr:rowOff>
    </xdr:from>
    <xdr:to>
      <xdr:col>6</xdr:col>
      <xdr:colOff>214313</xdr:colOff>
      <xdr:row>36</xdr:row>
      <xdr:rowOff>31750</xdr:rowOff>
    </xdr:to>
    <xdr:sp macro="" textlink="">
      <xdr:nvSpPr>
        <xdr:cNvPr id="33" name="角丸四角形 32">
          <a:hlinkClick xmlns:r="http://schemas.openxmlformats.org/officeDocument/2006/relationships" r:id="rId31"/>
        </xdr:cNvPr>
        <xdr:cNvSpPr>
          <a:spLocks noChangeAspect="1"/>
        </xdr:cNvSpPr>
      </xdr:nvSpPr>
      <xdr:spPr>
        <a:xfrm>
          <a:off x="2611438" y="5897562"/>
          <a:ext cx="1762125" cy="714376"/>
        </a:xfrm>
        <a:prstGeom prst="roundRect">
          <a:avLst/>
        </a:prstGeom>
        <a:solidFill>
          <a:srgbClr val="66CCFF"/>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200" b="0" cap="none" spc="0">
              <a:ln w="0">
                <a:noFill/>
              </a:ln>
              <a:solidFill>
                <a:sysClr val="windowText" lastClr="000000"/>
              </a:solidFill>
              <a:effectLst/>
            </a:rPr>
            <a:t>6.Split</a:t>
          </a:r>
          <a:r>
            <a:rPr kumimoji="1" lang="ja-JP" altLang="en-US" sz="1200" b="0" cap="none" spc="0">
              <a:ln w="0">
                <a:noFill/>
              </a:ln>
              <a:solidFill>
                <a:sysClr val="windowText" lastClr="000000"/>
              </a:solidFill>
              <a:effectLst/>
            </a:rPr>
            <a:t> </a:t>
          </a:r>
          <a:r>
            <a:rPr kumimoji="1" lang="en-US" altLang="ja-JP" sz="1200" b="0" cap="none" spc="0">
              <a:ln w="0">
                <a:noFill/>
              </a:ln>
              <a:solidFill>
                <a:sysClr val="windowText" lastClr="000000"/>
              </a:solidFill>
              <a:effectLst/>
            </a:rPr>
            <a:t>BALL</a:t>
          </a:r>
          <a:endParaRPr kumimoji="1" lang="en-US" altLang="ja-JP" sz="1200" b="0" cap="none" spc="0">
            <a:ln w="0">
              <a:noFill/>
            </a:ln>
            <a:solidFill>
              <a:schemeClr val="tx1"/>
            </a:solidFill>
            <a:effectLst/>
          </a:endParaRPr>
        </a:p>
        <a:p>
          <a:pPr algn="ctr"/>
          <a:r>
            <a:rPr kumimoji="1" lang="en-US" altLang="ja-JP" sz="1100" b="0" cap="none" spc="0">
              <a:ln w="0">
                <a:noFill/>
              </a:ln>
              <a:solidFill>
                <a:sysClr val="windowText" lastClr="000000"/>
              </a:solidFill>
              <a:effectLst/>
            </a:rPr>
            <a:t>ID</a:t>
          </a:r>
          <a:r>
            <a:rPr kumimoji="1" lang="ja-JP" altLang="en-US" sz="1100" b="0" cap="none" spc="0">
              <a:ln w="0">
                <a:noFill/>
              </a:ln>
              <a:solidFill>
                <a:sysClr val="windowText" lastClr="000000"/>
              </a:solidFill>
              <a:effectLst/>
            </a:rPr>
            <a:t>→</a:t>
          </a:r>
          <a:r>
            <a:rPr kumimoji="1" lang="en-US" altLang="ja-JP" sz="1100" b="0" cap="none" spc="0">
              <a:ln w="0">
                <a:noFill/>
              </a:ln>
              <a:solidFill>
                <a:sysClr val="windowText" lastClr="000000"/>
              </a:solidFill>
              <a:effectLst/>
            </a:rPr>
            <a:t>OD</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b="0">
              <a:solidFill>
                <a:sysClr val="windowText" lastClr="000000"/>
              </a:solidFill>
              <a:effectLst/>
              <a:latin typeface="+mn-lt"/>
              <a:ea typeface="+mn-ea"/>
              <a:cs typeface="+mn-cs"/>
            </a:rPr>
            <a:t>ID</a:t>
          </a:r>
          <a:r>
            <a:rPr kumimoji="1" lang="ja-JP" altLang="ja-JP" sz="1100" b="0">
              <a:solidFill>
                <a:sysClr val="windowText" lastClr="000000"/>
              </a:solidFill>
              <a:effectLst/>
              <a:latin typeface="+mn-lt"/>
              <a:ea typeface="+mn-ea"/>
              <a:cs typeface="+mn-cs"/>
            </a:rPr>
            <a:t>＜</a:t>
          </a:r>
          <a:r>
            <a:rPr kumimoji="1" lang="en-US" altLang="ja-JP" sz="1100" b="0">
              <a:solidFill>
                <a:sysClr val="windowText" lastClr="000000"/>
              </a:solidFill>
              <a:effectLst/>
              <a:latin typeface="+mn-lt"/>
              <a:ea typeface="+mn-ea"/>
              <a:cs typeface="+mn-cs"/>
            </a:rPr>
            <a:t>Φ15.875</a:t>
          </a:r>
          <a:endParaRPr kumimoji="1" lang="en-US" altLang="ja-JP" sz="1100" b="0" cap="none" spc="0">
            <a:ln w="0">
              <a:noFill/>
            </a:ln>
            <a:solidFill>
              <a:sysClr val="windowText" lastClr="000000"/>
            </a:solidFill>
            <a:effectLst/>
          </a:endParaRPr>
        </a:p>
        <a:p>
          <a:pPr algn="ctr"/>
          <a:endParaRPr kumimoji="1" lang="en-US" altLang="ja-JP" sz="1000" b="0" cap="none" spc="0">
            <a:ln w="0">
              <a:noFill/>
            </a:ln>
            <a:solidFill>
              <a:sysClr val="windowText" lastClr="000000"/>
            </a:solidFill>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429560</xdr:colOff>
      <xdr:row>0</xdr:row>
      <xdr:rowOff>0</xdr:rowOff>
    </xdr:from>
    <xdr:to>
      <xdr:col>29</xdr:col>
      <xdr:colOff>354853</xdr:colOff>
      <xdr:row>6</xdr:row>
      <xdr:rowOff>7228</xdr:rowOff>
    </xdr:to>
    <xdr:pic>
      <xdr:nvPicPr>
        <xdr:cNvPr id="2" name="図 1"/>
        <xdr:cNvPicPr>
          <a:picLocks noChangeAspect="1"/>
        </xdr:cNvPicPr>
      </xdr:nvPicPr>
      <xdr:blipFill>
        <a:blip xmlns:r="http://schemas.openxmlformats.org/officeDocument/2006/relationships" r:embed="rId1"/>
        <a:stretch>
          <a:fillRect/>
        </a:stretch>
      </xdr:blipFill>
      <xdr:spPr>
        <a:xfrm>
          <a:off x="21037178" y="0"/>
          <a:ext cx="5393763" cy="2461316"/>
        </a:xfrm>
        <a:prstGeom prst="rect">
          <a:avLst/>
        </a:prstGeom>
      </xdr:spPr>
    </xdr:pic>
    <xdr:clientData/>
  </xdr:twoCellAnchor>
  <xdr:twoCellAnchor>
    <xdr:from>
      <xdr:col>4</xdr:col>
      <xdr:colOff>29882</xdr:colOff>
      <xdr:row>7</xdr:row>
      <xdr:rowOff>29882</xdr:rowOff>
    </xdr:from>
    <xdr:to>
      <xdr:col>8</xdr:col>
      <xdr:colOff>0</xdr:colOff>
      <xdr:row>9</xdr:row>
      <xdr:rowOff>298823</xdr:rowOff>
    </xdr:to>
    <xdr:sp macro="" textlink="">
      <xdr:nvSpPr>
        <xdr:cNvPr id="3" name="正方形/長方形 2"/>
        <xdr:cNvSpPr/>
      </xdr:nvSpPr>
      <xdr:spPr>
        <a:xfrm>
          <a:off x="4310937" y="2842355"/>
          <a:ext cx="4736081" cy="125261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28574</xdr:colOff>
      <xdr:row>0</xdr:row>
      <xdr:rowOff>66674</xdr:rowOff>
    </xdr:from>
    <xdr:to>
      <xdr:col>24</xdr:col>
      <xdr:colOff>323849</xdr:colOff>
      <xdr:row>5</xdr:row>
      <xdr:rowOff>737769</xdr:rowOff>
    </xdr:to>
    <xdr:pic>
      <xdr:nvPicPr>
        <xdr:cNvPr id="6" name="図 5"/>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08" t="3704" r="19223" b="47138"/>
        <a:stretch/>
      </xdr:blipFill>
      <xdr:spPr>
        <a:xfrm>
          <a:off x="17449799" y="66674"/>
          <a:ext cx="6467475" cy="23665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429560</xdr:colOff>
      <xdr:row>0</xdr:row>
      <xdr:rowOff>0</xdr:rowOff>
    </xdr:from>
    <xdr:to>
      <xdr:col>29</xdr:col>
      <xdr:colOff>354853</xdr:colOff>
      <xdr:row>6</xdr:row>
      <xdr:rowOff>7228</xdr:rowOff>
    </xdr:to>
    <xdr:pic>
      <xdr:nvPicPr>
        <xdr:cNvPr id="2" name="図 1"/>
        <xdr:cNvPicPr>
          <a:picLocks noChangeAspect="1"/>
        </xdr:cNvPicPr>
      </xdr:nvPicPr>
      <xdr:blipFill>
        <a:blip xmlns:r="http://schemas.openxmlformats.org/officeDocument/2006/relationships" r:embed="rId1"/>
        <a:stretch>
          <a:fillRect/>
        </a:stretch>
      </xdr:blipFill>
      <xdr:spPr>
        <a:xfrm>
          <a:off x="21965585" y="0"/>
          <a:ext cx="5411693" cy="2464678"/>
        </a:xfrm>
        <a:prstGeom prst="rect">
          <a:avLst/>
        </a:prstGeom>
      </xdr:spPr>
    </xdr:pic>
    <xdr:clientData/>
  </xdr:twoCellAnchor>
  <xdr:twoCellAnchor>
    <xdr:from>
      <xdr:col>4</xdr:col>
      <xdr:colOff>29882</xdr:colOff>
      <xdr:row>7</xdr:row>
      <xdr:rowOff>29882</xdr:rowOff>
    </xdr:from>
    <xdr:to>
      <xdr:col>8</xdr:col>
      <xdr:colOff>0</xdr:colOff>
      <xdr:row>9</xdr:row>
      <xdr:rowOff>298823</xdr:rowOff>
    </xdr:to>
    <xdr:sp macro="" textlink="">
      <xdr:nvSpPr>
        <xdr:cNvPr id="3" name="正方形/長方形 2"/>
        <xdr:cNvSpPr/>
      </xdr:nvSpPr>
      <xdr:spPr>
        <a:xfrm>
          <a:off x="4316132" y="2792132"/>
          <a:ext cx="4742143" cy="118334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28574</xdr:colOff>
      <xdr:row>0</xdr:row>
      <xdr:rowOff>66674</xdr:rowOff>
    </xdr:from>
    <xdr:to>
      <xdr:col>24</xdr:col>
      <xdr:colOff>323849</xdr:colOff>
      <xdr:row>5</xdr:row>
      <xdr:rowOff>737769</xdr:rowOff>
    </xdr:to>
    <xdr:pic>
      <xdr:nvPicPr>
        <xdr:cNvPr id="4" name="図 3"/>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08" t="3704" r="19223" b="47138"/>
        <a:stretch/>
      </xdr:blipFill>
      <xdr:spPr>
        <a:xfrm>
          <a:off x="17449799" y="66674"/>
          <a:ext cx="6467475" cy="23665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file:///\\pk4473\rdengnr\&#35069;&#36896;&#25216;&#34899;\DATABASE\TOOL&#23544;&#27861;.mdb" TargetMode="External"/><Relationship Id="rId2" Type="http://schemas.openxmlformats.org/officeDocument/2006/relationships/hyperlink" Target="file:///\\pk4473\rdengnr\&#35069;&#36896;&#25216;&#34899;\DATABASE\TOOL&#23544;&#27861;.mdb" TargetMode="External"/><Relationship Id="rId1" Type="http://schemas.openxmlformats.org/officeDocument/2006/relationships/hyperlink" Target="file:///\\pk4473\rdengnr\&#35069;&#36896;&#25216;&#34899;\DATABASE\TOOL&#23544;&#27861;.mdb" TargetMode="External"/><Relationship Id="rId5" Type="http://schemas.openxmlformats.org/officeDocument/2006/relationships/printerSettings" Target="../printerSettings/printerSettings1.bin"/><Relationship Id="rId4" Type="http://schemas.openxmlformats.org/officeDocument/2006/relationships/hyperlink" Target="file:///\\pk4473\rdengnr\&#35069;&#36896;&#25216;&#34899;\DATABASE\TOOL&#23544;&#27861;.mdb"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file:///G:\Shared%20drives\RD%20Development%20Technology%20Review%20Request\Tooling%20Select\(&#36039;&#26009;)kzw-Thai&#21152;&#24037;&#31561;&#21839;&#12356;&#21512;&#12431;&#12379;&#22238;&#31572;\20200302_&#12508;&#12487;&#12451;&#12540;&#24062;&#20181;&#19978;&#26178;&#12398;&#35373;&#20633;&#21046;&#38480;.pdf"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file:///G:\Shared%20drives\RD%20Development%20Technology%20Review%20Request\Tooling%20Select\(&#36039;&#26009;)kzw-Thai&#21152;&#24037;&#31561;&#21839;&#12356;&#21512;&#12431;&#12379;&#22238;&#31572;\20200302_&#12508;&#12487;&#12451;&#12540;&#24062;&#20181;&#19978;&#26178;&#12398;&#35373;&#20633;&#21046;&#38480;.pdf"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file:///G:\Shared%20drives\RD%20Development%20Technology%20Review%20Request\Tooling%20Select\(&#36039;&#26009;)kzw-Thai&#21152;&#24037;&#31561;&#21839;&#12356;&#21512;&#12431;&#12379;&#22238;&#31572;\20180314_&#12496;&#12540;&#12501;&#12451;&#12540;&#12480;&#12540;&#12398;&#21152;&#24037;&#38480;&#30028;&#12395;&#12388;&#12356;&#12390;.pdf"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G:\Shared%20drives\RD%20Development%20Technology%20Review%20Request\Tooling%20Select\(&#36039;&#26009;)kzw-Thai&#21152;&#24037;&#31561;&#21839;&#12356;&#21512;&#12431;&#12379;&#22238;&#31572;\20180214_~" TargetMode="External"/><Relationship Id="rId1" Type="http://schemas.openxmlformats.org/officeDocument/2006/relationships/hyperlink" Target="file:///G:\Shared%20drives\RD%20Development%20Technology%20Review%20Request\Tooling%20Select\(&#36039;&#26009;)kzw-Thai&#21152;&#24037;&#31561;&#21839;&#12356;&#21512;&#12431;&#12379;&#22238;&#31572;\20180314_&#12496;&#12540;&#12501;&#12451;&#12540;&#12480;&#12540;&#12398;&#21152;&#24037;&#38480;&#30028;&#12395;&#12388;&#12356;&#12390;.pdf"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file:///G:\Shared%20drives\RD%20Development%20Technology%20Review%20Request\Tooling%20Select\(&#36039;&#26009;)kzw-Thai&#21152;&#24037;&#31561;&#21839;&#12356;&#21512;&#12431;&#12379;&#22238;&#31572;\20171006_&#12473;&#12522;&#12540;&#12502;&#12398;&#12475;&#12531;&#12479;&#12524;&#12473;&#21152;&#24037;&#12395;&#12388;&#12356;&#12390;.pdf" TargetMode="External"/><Relationship Id="rId2" Type="http://schemas.openxmlformats.org/officeDocument/2006/relationships/hyperlink" Target="file:///G:\Shared%20drives\RD%20Development%20Technology%20Review%20Request\Tooling%20Select\(&#36039;&#26009;)kzw-Thai&#21152;&#24037;&#31561;&#21839;&#12356;&#21512;&#12431;&#12379;&#22238;&#31572;\20180314_&#12496;&#12540;&#12501;&#12451;&#12540;&#12480;&#12540;&#12398;&#21152;&#24037;&#38480;&#30028;&#12395;&#12388;&#12356;&#12390;.pdf" TargetMode="External"/><Relationship Id="rId1" Type="http://schemas.openxmlformats.org/officeDocument/2006/relationships/hyperlink" Target="file:///G:\Shared%20drives\RD%20Development%20Technology%20Review%20Request\Tooling%20Select\(&#36039;&#26009;)kzw-Thai&#21152;&#24037;&#31561;&#21839;&#12356;&#21512;&#12431;&#12379;&#22238;&#31572;\20180214_~"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file:///G:\Shared%20drives\yamamoto\&#35373;&#35336;&#22522;&#28310;&#12539;&#23544;&#27861;&#12539;&#22312;&#24235;&#12487;&#12540;&#12479;\&#30740;&#30952;_&#29699;&#30740;&#27231;_KS-400(B1&#65374;B4)&#65288;&#30334;&#28716;&#65289;\20171025_TOOLING%20LIST_KS400B(SPHERICAL%20GRIND).xlsx"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file:///G:\Shared%20drives\RD%20Development%20Technology%20Review%20Request\Tooling%20Select\(&#36039;&#26009;)kzw-Thai&#21152;&#24037;&#31561;&#21839;&#12356;&#21512;&#12431;&#12379;&#22238;&#31572;\20181226_&#12304;&#20869;&#30740;&#21152;&#24037;&#38480;&#30028;&#12305;\&#20869;&#30740;&#21152;&#24037;&#38480;&#30028;.pdf" TargetMode="External"/><Relationship Id="rId1" Type="http://schemas.openxmlformats.org/officeDocument/2006/relationships/hyperlink" Target="file:///G:\Shared%20drives\yamamoto\&#35373;&#35336;&#22522;&#28310;&#12539;&#23544;&#27861;&#12539;&#22312;&#24235;&#12487;&#12540;&#12479;\&#30740;&#30952;_&#29699;&#30740;&#27231;_KS-400(B1&#65374;B4)&#65288;&#30334;&#28716;&#65289;\20171025_TOOLING%20LIST_KS400B(SPHERICAL%20GRIND).xlsx"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file:///G:\Shared%20drives\yamamoto\&#35373;&#35336;&#22522;&#28310;&#12539;&#23544;&#27861;&#12539;&#22312;&#24235;&#12487;&#12540;&#12479;\&#30740;&#30952;_&#29699;&#30740;&#27231;_KS-400(B1&#65374;B4)&#65288;&#30334;&#28716;&#65289;\20171025_TOOLING%20LIST_KS400B(SPHERICAL%20GRIND).xlsx"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file:///G:\Shared%20drives\RD%20Development%20Technology%20Review%20Request\Tooling%20Select\(&#36039;&#26009;)kzw-Thai&#21152;&#24037;&#31561;&#21839;&#12356;&#21512;&#12431;&#12379;&#22238;&#31572;\20181226_&#12304;&#20869;&#30740;&#21152;&#24037;&#38480;&#30028;&#12305;\&#20869;&#30740;&#21152;&#24037;&#38480;&#30028;.pdf"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file:///G:\Shared%20drives\RD%20Development%20Technology%20Review%20Request\Tooling%20Select\(&#36039;&#26009;)kzw-Thai&#21152;&#24037;&#31561;&#21839;&#12356;&#21512;&#12431;&#12379;&#22238;&#31572;\20181226_&#12304;&#20869;&#30740;&#21152;&#24037;&#38480;&#30028;&#12305;\&#20869;&#30740;&#21152;&#24037;&#38480;&#30028;.pdf" TargetMode="External"/><Relationship Id="rId2" Type="http://schemas.openxmlformats.org/officeDocument/2006/relationships/hyperlink" Target="file:///G:\Shared%20drives\yamamoto\&#35373;&#35336;&#22522;&#28310;&#12539;&#23544;&#27861;&#12539;&#22312;&#24235;&#12487;&#12540;&#12479;\&#30740;&#30952;_&#20869;&#30740;&#27231;_KS-B80&#21450;&#12403;&#29699;&#30740;&#27231;_KN-312A(&#22338;&#26412;)\&#12463;&#12452;&#12523;&#65286;&#12508;&#12523;&#12488;&#65286;&#30757;&#30707;&#36984;&#23450;&#34920;.pdf" TargetMode="External"/><Relationship Id="rId1" Type="http://schemas.openxmlformats.org/officeDocument/2006/relationships/hyperlink" Target="file:///G:\Shared%20drives\RD%20Development%20Technology%20Review%20Request\Tooling%20Select\(&#36039;&#26009;)kzw-Thai&#21152;&#24037;&#31561;&#21839;&#12356;&#21512;&#12431;&#12379;&#22238;&#31572;\20181226_&#12304;&#20869;&#30740;&#21152;&#24037;&#38480;&#30028;&#12305;\&#20869;&#30740;&#21152;&#24037;&#38480;&#30028;.pdf" TargetMode="External"/><Relationship Id="rId5" Type="http://schemas.openxmlformats.org/officeDocument/2006/relationships/printerSettings" Target="../printerSettings/printerSettings17.bin"/><Relationship Id="rId4" Type="http://schemas.openxmlformats.org/officeDocument/2006/relationships/hyperlink" Target="file:///G:\Shared%20drives\yamamoto\&#35373;&#35336;&#22522;&#28310;&#12539;&#23544;&#27861;&#12539;&#22312;&#24235;&#12487;&#12540;&#12479;\&#30740;&#30952;_&#20869;&#30740;&#27231;_KS-B80&#21450;&#12403;&#29699;&#30740;&#27231;_KN-312A(&#22338;&#26412;)\&#12463;&#12452;&#12523;&#65286;&#12508;&#12523;&#12488;&#65286;&#30757;&#30707;&#36984;&#23450;&#34920;.pdf"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file:///G:\Shared%20drives\RD%20Development%20Technology%20Review%20Request\Tooling%20Select\(&#36039;&#26009;)kzw-Thai&#21152;&#24037;&#31561;&#21839;&#12356;&#21512;&#12431;&#12379;&#22238;&#31572;\20181226_&#12304;&#20869;&#30740;&#21152;&#24037;&#38480;&#30028;&#12305;\&#20869;&#30740;&#21152;&#24037;&#38480;&#30028;.pdf"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file:///G:\Shared%20drives\yamamoto\&#35373;&#35336;&#22522;&#28310;&#12539;&#23544;&#27861;&#12539;&#22312;&#24235;&#12487;&#12540;&#12479;\&#32068;&#20999;&#21066;_FTL&#12467;&#12524;&#12483;&#12488;&#12481;&#12515;&#12483;&#12463;&#65288;&#31309;&#23665;&#65289;\20171123_TOOLING%20LIST.xlsx"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file:///G:\Shared%20drives\yamamoto\&#35373;&#35336;&#22522;&#28310;&#12539;&#23544;&#27861;&#12539;&#22312;&#24235;&#12487;&#12540;&#12479;\&#30740;&#30952;_&#29699;&#30740;&#27231;_KS-400(B1&#65374;B4)&#65288;&#30334;&#28716;&#65289;\20171025_TOOLING%20LIST_KS400B(SPHERICAL%20GRIND).xlsx" TargetMode="Externa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file:///G:\Shared%20drives\RD%20Development%20Technology%20Review%20Request\Tooling%20Select\(&#36039;&#26009;)kzw-Thai&#21152;&#24037;&#31561;&#21839;&#12356;&#21512;&#12431;&#12379;&#22238;&#31572;\20181226_&#12304;&#20869;&#30740;&#21152;&#24037;&#38480;&#30028;&#12305;\&#20869;&#30740;&#21152;&#24037;&#38480;&#30028;.pdf" TargetMode="External"/><Relationship Id="rId1" Type="http://schemas.openxmlformats.org/officeDocument/2006/relationships/hyperlink" Target="file:///G:\Shared%20drives\yamamoto\&#35373;&#35336;&#22522;&#28310;&#12539;&#23544;&#27861;&#12539;&#22312;&#24235;&#12487;&#12540;&#12479;\&#30740;&#30952;_&#29699;&#30740;&#27231;_KS-400(B1&#65374;B4)&#65288;&#30334;&#28716;&#65289;\20171025_TOOLING%20LIST_KS400B(SPHERICAL%20GRIND).xlsx" TargetMode="Externa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7"/>
  <sheetViews>
    <sheetView showGridLines="0" view="pageBreakPreview" zoomScale="115" zoomScaleNormal="100" zoomScaleSheetLayoutView="115" workbookViewId="0">
      <pane xSplit="1" ySplit="1" topLeftCell="B2" activePane="bottomRight" state="frozen"/>
      <selection pane="topRight" activeCell="B1" sqref="B1"/>
      <selection pane="bottomLeft" activeCell="A2" sqref="A2"/>
      <selection pane="bottomRight" activeCell="B8" sqref="B8"/>
    </sheetView>
  </sheetViews>
  <sheetFormatPr defaultRowHeight="13.8"/>
  <cols>
    <col min="1" max="1" width="17.19921875" style="91" bestFit="1" customWidth="1"/>
    <col min="2" max="2" width="160" bestFit="1" customWidth="1"/>
    <col min="3" max="3" width="8.3984375" style="91" bestFit="1" customWidth="1"/>
  </cols>
  <sheetData>
    <row r="1" spans="1:3">
      <c r="A1" s="195" t="s">
        <v>1</v>
      </c>
      <c r="B1" s="117" t="s">
        <v>187</v>
      </c>
      <c r="C1" s="201"/>
    </row>
    <row r="2" spans="1:3">
      <c r="A2" s="248" t="s">
        <v>169</v>
      </c>
      <c r="B2" s="610"/>
      <c r="C2" s="111" t="s">
        <v>185</v>
      </c>
    </row>
    <row r="3" spans="1:3">
      <c r="A3" s="196" t="s">
        <v>524</v>
      </c>
      <c r="B3" s="107" t="s">
        <v>510</v>
      </c>
      <c r="C3" s="116" t="s">
        <v>482</v>
      </c>
    </row>
    <row r="4" spans="1:3">
      <c r="A4" s="196" t="s">
        <v>971</v>
      </c>
      <c r="B4" s="610"/>
      <c r="C4" s="116" t="s">
        <v>953</v>
      </c>
    </row>
    <row r="5" spans="1:3">
      <c r="A5" s="196" t="s">
        <v>528</v>
      </c>
      <c r="B5" s="610"/>
      <c r="C5" s="111" t="s">
        <v>480</v>
      </c>
    </row>
    <row r="6" spans="1:3">
      <c r="A6" s="196" t="s">
        <v>272</v>
      </c>
      <c r="B6" s="610"/>
      <c r="C6" s="111" t="s">
        <v>237</v>
      </c>
    </row>
    <row r="7" spans="1:3">
      <c r="A7" s="196" t="s">
        <v>200</v>
      </c>
      <c r="B7" s="610"/>
      <c r="C7" s="111" t="s">
        <v>237</v>
      </c>
    </row>
    <row r="8" spans="1:3">
      <c r="A8" s="248" t="s">
        <v>7</v>
      </c>
      <c r="B8" s="197" t="s">
        <v>1107</v>
      </c>
      <c r="C8" s="111" t="s">
        <v>197</v>
      </c>
    </row>
    <row r="9" spans="1:3">
      <c r="A9" s="248" t="s">
        <v>186</v>
      </c>
      <c r="B9" s="610"/>
      <c r="C9" s="111" t="s">
        <v>185</v>
      </c>
    </row>
    <row r="10" spans="1:3">
      <c r="A10" s="248" t="s">
        <v>189</v>
      </c>
      <c r="B10" s="107" t="s">
        <v>198</v>
      </c>
      <c r="C10" s="116" t="s">
        <v>197</v>
      </c>
    </row>
    <row r="11" spans="1:3">
      <c r="A11" s="248" t="s">
        <v>10</v>
      </c>
      <c r="B11" s="107" t="s">
        <v>270</v>
      </c>
      <c r="C11" s="116" t="s">
        <v>197</v>
      </c>
    </row>
    <row r="12" spans="1:3">
      <c r="A12" s="196" t="s">
        <v>313</v>
      </c>
      <c r="B12" s="610"/>
      <c r="C12" s="116" t="s">
        <v>754</v>
      </c>
    </row>
    <row r="13" spans="1:3">
      <c r="A13" s="196" t="s">
        <v>314</v>
      </c>
      <c r="B13" s="610"/>
      <c r="C13" s="116" t="s">
        <v>754</v>
      </c>
    </row>
    <row r="14" spans="1:3">
      <c r="A14" s="196" t="s">
        <v>315</v>
      </c>
      <c r="B14" s="610"/>
      <c r="C14" s="116" t="s">
        <v>754</v>
      </c>
    </row>
    <row r="15" spans="1:3">
      <c r="A15" s="196" t="s">
        <v>227</v>
      </c>
      <c r="B15" s="107" t="s">
        <v>630</v>
      </c>
      <c r="C15" s="116" t="s">
        <v>482</v>
      </c>
    </row>
    <row r="16" spans="1:3">
      <c r="A16" s="196" t="s">
        <v>228</v>
      </c>
      <c r="B16" s="107" t="s">
        <v>630</v>
      </c>
      <c r="C16" s="116" t="s">
        <v>482</v>
      </c>
    </row>
    <row r="17" spans="1:3">
      <c r="A17" s="196" t="s">
        <v>229</v>
      </c>
      <c r="B17" s="107" t="s">
        <v>630</v>
      </c>
      <c r="C17" s="116" t="s">
        <v>482</v>
      </c>
    </row>
    <row r="18" spans="1:3">
      <c r="A18" s="196" t="s">
        <v>230</v>
      </c>
      <c r="B18" s="107" t="s">
        <v>630</v>
      </c>
      <c r="C18" s="116" t="s">
        <v>482</v>
      </c>
    </row>
    <row r="19" spans="1:3">
      <c r="A19" s="196" t="s">
        <v>288</v>
      </c>
      <c r="B19" s="107" t="s">
        <v>631</v>
      </c>
      <c r="C19" s="116" t="s">
        <v>482</v>
      </c>
    </row>
    <row r="20" spans="1:3">
      <c r="A20" s="196" t="s">
        <v>289</v>
      </c>
      <c r="B20" s="107" t="s">
        <v>631</v>
      </c>
      <c r="C20" s="116" t="s">
        <v>482</v>
      </c>
    </row>
    <row r="21" spans="1:3">
      <c r="A21" s="196" t="s">
        <v>349</v>
      </c>
      <c r="B21" s="107" t="s">
        <v>948</v>
      </c>
      <c r="C21" s="116" t="s">
        <v>819</v>
      </c>
    </row>
    <row r="22" spans="1:3">
      <c r="A22" s="196" t="s">
        <v>350</v>
      </c>
      <c r="B22" s="107" t="s">
        <v>948</v>
      </c>
      <c r="C22" s="116" t="s">
        <v>819</v>
      </c>
    </row>
    <row r="23" spans="1:3">
      <c r="A23" s="196" t="s">
        <v>351</v>
      </c>
      <c r="B23" s="107" t="s">
        <v>948</v>
      </c>
      <c r="C23" s="116" t="s">
        <v>819</v>
      </c>
    </row>
    <row r="24" spans="1:3">
      <c r="A24" s="196" t="s">
        <v>352</v>
      </c>
      <c r="B24" s="107" t="s">
        <v>948</v>
      </c>
      <c r="C24" s="116" t="s">
        <v>819</v>
      </c>
    </row>
    <row r="25" spans="1:3">
      <c r="A25" s="196" t="s">
        <v>353</v>
      </c>
      <c r="B25" s="107" t="s">
        <v>948</v>
      </c>
      <c r="C25" s="116" t="s">
        <v>819</v>
      </c>
    </row>
    <row r="26" spans="1:3">
      <c r="A26" s="196" t="s">
        <v>354</v>
      </c>
      <c r="B26" s="107" t="s">
        <v>948</v>
      </c>
      <c r="C26" s="116" t="s">
        <v>819</v>
      </c>
    </row>
    <row r="27" spans="1:3">
      <c r="A27" s="196" t="s">
        <v>355</v>
      </c>
      <c r="B27" s="107" t="s">
        <v>948</v>
      </c>
      <c r="C27" s="116" t="s">
        <v>819</v>
      </c>
    </row>
    <row r="28" spans="1:3">
      <c r="A28" s="196" t="s">
        <v>356</v>
      </c>
      <c r="B28" s="107" t="s">
        <v>948</v>
      </c>
      <c r="C28" s="116" t="s">
        <v>819</v>
      </c>
    </row>
    <row r="29" spans="1:3">
      <c r="A29" s="196" t="s">
        <v>949</v>
      </c>
      <c r="B29" s="107" t="s">
        <v>948</v>
      </c>
      <c r="C29" s="116" t="s">
        <v>819</v>
      </c>
    </row>
    <row r="30" spans="1:3">
      <c r="A30" s="196" t="s">
        <v>357</v>
      </c>
      <c r="B30" s="107" t="s">
        <v>948</v>
      </c>
      <c r="C30" s="116" t="s">
        <v>819</v>
      </c>
    </row>
    <row r="31" spans="1:3">
      <c r="A31" s="196" t="s">
        <v>452</v>
      </c>
      <c r="B31" s="107" t="s">
        <v>948</v>
      </c>
      <c r="C31" s="116" t="s">
        <v>819</v>
      </c>
    </row>
    <row r="32" spans="1:3">
      <c r="A32" s="196" t="s">
        <v>319</v>
      </c>
      <c r="B32" s="107" t="s">
        <v>457</v>
      </c>
      <c r="C32" s="116" t="s">
        <v>197</v>
      </c>
    </row>
    <row r="33" spans="1:3" ht="27.6">
      <c r="A33" s="198" t="s">
        <v>373</v>
      </c>
      <c r="B33" s="107" t="s">
        <v>457</v>
      </c>
      <c r="C33" s="116" t="s">
        <v>197</v>
      </c>
    </row>
    <row r="34" spans="1:3">
      <c r="A34" s="196" t="s">
        <v>302</v>
      </c>
      <c r="B34" s="107" t="s">
        <v>826</v>
      </c>
      <c r="C34" s="116" t="s">
        <v>197</v>
      </c>
    </row>
    <row r="35" spans="1:3">
      <c r="A35" s="196" t="s">
        <v>331</v>
      </c>
      <c r="B35" s="107" t="s">
        <v>827</v>
      </c>
      <c r="C35" s="116" t="s">
        <v>819</v>
      </c>
    </row>
    <row r="36" spans="1:3">
      <c r="A36" s="196" t="s">
        <v>332</v>
      </c>
      <c r="B36" s="107" t="s">
        <v>827</v>
      </c>
      <c r="C36" s="116" t="s">
        <v>819</v>
      </c>
    </row>
    <row r="37" spans="1:3">
      <c r="A37" s="248" t="s">
        <v>9</v>
      </c>
      <c r="B37" s="107" t="s">
        <v>483</v>
      </c>
      <c r="C37" s="116" t="s">
        <v>197</v>
      </c>
    </row>
    <row r="38" spans="1:3">
      <c r="A38" s="196" t="s">
        <v>223</v>
      </c>
      <c r="B38" s="610"/>
      <c r="C38" s="116" t="s">
        <v>480</v>
      </c>
    </row>
    <row r="39" spans="1:3">
      <c r="A39" s="196" t="s">
        <v>224</v>
      </c>
      <c r="B39" s="610"/>
      <c r="C39" s="116" t="s">
        <v>480</v>
      </c>
    </row>
    <row r="40" spans="1:3">
      <c r="A40" s="196" t="s">
        <v>220</v>
      </c>
      <c r="B40" s="107" t="s">
        <v>627</v>
      </c>
      <c r="C40" s="116" t="s">
        <v>197</v>
      </c>
    </row>
    <row r="41" spans="1:3">
      <c r="A41" s="196" t="s">
        <v>628</v>
      </c>
      <c r="B41" s="107" t="s">
        <v>629</v>
      </c>
      <c r="C41" s="116" t="s">
        <v>197</v>
      </c>
    </row>
    <row r="42" spans="1:3">
      <c r="A42" s="196" t="s">
        <v>280</v>
      </c>
      <c r="B42" s="107" t="s">
        <v>629</v>
      </c>
      <c r="C42" s="116" t="s">
        <v>197</v>
      </c>
    </row>
    <row r="43" spans="1:3">
      <c r="A43" s="196" t="s">
        <v>376</v>
      </c>
      <c r="B43" s="107" t="s">
        <v>629</v>
      </c>
      <c r="C43" s="116" t="s">
        <v>197</v>
      </c>
    </row>
    <row r="44" spans="1:3">
      <c r="A44" s="196" t="s">
        <v>282</v>
      </c>
      <c r="B44" s="107" t="s">
        <v>629</v>
      </c>
      <c r="C44" s="116" t="s">
        <v>197</v>
      </c>
    </row>
    <row r="45" spans="1:3">
      <c r="A45" s="196" t="s">
        <v>377</v>
      </c>
      <c r="B45" s="107" t="s">
        <v>629</v>
      </c>
      <c r="C45" s="116" t="s">
        <v>197</v>
      </c>
    </row>
    <row r="46" spans="1:3">
      <c r="A46" s="196" t="s">
        <v>284</v>
      </c>
      <c r="B46" s="107" t="s">
        <v>629</v>
      </c>
      <c r="C46" s="116" t="s">
        <v>197</v>
      </c>
    </row>
    <row r="47" spans="1:3">
      <c r="A47" s="196" t="s">
        <v>285</v>
      </c>
      <c r="B47" s="107" t="s">
        <v>629</v>
      </c>
      <c r="C47" s="116" t="s">
        <v>197</v>
      </c>
    </row>
    <row r="48" spans="1:3">
      <c r="A48" s="196" t="s">
        <v>286</v>
      </c>
      <c r="B48" s="107" t="s">
        <v>629</v>
      </c>
      <c r="C48" s="116" t="s">
        <v>197</v>
      </c>
    </row>
    <row r="49" spans="1:3">
      <c r="A49" s="196" t="s">
        <v>287</v>
      </c>
      <c r="B49" s="107" t="s">
        <v>629</v>
      </c>
      <c r="C49" s="116" t="s">
        <v>197</v>
      </c>
    </row>
    <row r="50" spans="1:3">
      <c r="A50" s="196" t="s">
        <v>311</v>
      </c>
      <c r="B50" s="107" t="s">
        <v>629</v>
      </c>
      <c r="C50" s="116" t="s">
        <v>197</v>
      </c>
    </row>
    <row r="51" spans="1:3">
      <c r="A51" s="196" t="s">
        <v>312</v>
      </c>
      <c r="B51" s="107" t="s">
        <v>629</v>
      </c>
      <c r="C51" s="116" t="s">
        <v>197</v>
      </c>
    </row>
    <row r="52" spans="1:3">
      <c r="A52" s="196" t="s">
        <v>281</v>
      </c>
      <c r="B52" s="107" t="s">
        <v>629</v>
      </c>
      <c r="C52" s="116" t="s">
        <v>197</v>
      </c>
    </row>
    <row r="53" spans="1:3">
      <c r="A53" s="196" t="s">
        <v>283</v>
      </c>
      <c r="B53" s="107" t="s">
        <v>629</v>
      </c>
      <c r="C53" s="116" t="s">
        <v>197</v>
      </c>
    </row>
    <row r="54" spans="1:3">
      <c r="A54" s="196" t="s">
        <v>162</v>
      </c>
      <c r="B54" s="107" t="s">
        <v>625</v>
      </c>
      <c r="C54" s="116" t="s">
        <v>482</v>
      </c>
    </row>
    <row r="55" spans="1:3">
      <c r="A55" s="196" t="s">
        <v>163</v>
      </c>
      <c r="B55" s="107" t="s">
        <v>484</v>
      </c>
      <c r="C55" s="116" t="s">
        <v>482</v>
      </c>
    </row>
    <row r="56" spans="1:3">
      <c r="A56" s="196" t="s">
        <v>222</v>
      </c>
      <c r="B56" s="107" t="s">
        <v>485</v>
      </c>
      <c r="C56" s="116" t="s">
        <v>482</v>
      </c>
    </row>
    <row r="57" spans="1:3">
      <c r="A57" s="196" t="s">
        <v>320</v>
      </c>
      <c r="B57" s="610"/>
      <c r="C57" s="116" t="s">
        <v>754</v>
      </c>
    </row>
    <row r="58" spans="1:3">
      <c r="A58" s="196" t="s">
        <v>321</v>
      </c>
      <c r="B58" s="610"/>
      <c r="C58" s="116" t="s">
        <v>754</v>
      </c>
    </row>
    <row r="59" spans="1:3">
      <c r="A59" s="196" t="s">
        <v>322</v>
      </c>
      <c r="B59" s="610"/>
      <c r="C59" s="116" t="s">
        <v>754</v>
      </c>
    </row>
    <row r="60" spans="1:3">
      <c r="A60" s="196" t="s">
        <v>342</v>
      </c>
      <c r="B60" s="610"/>
      <c r="C60" s="116" t="s">
        <v>754</v>
      </c>
    </row>
    <row r="61" spans="1:3">
      <c r="A61" s="196" t="s">
        <v>341</v>
      </c>
      <c r="B61" s="107" t="s">
        <v>879</v>
      </c>
      <c r="C61" s="116" t="s">
        <v>819</v>
      </c>
    </row>
    <row r="62" spans="1:3">
      <c r="A62" s="196" t="s">
        <v>343</v>
      </c>
      <c r="B62" s="610"/>
      <c r="C62" s="116" t="s">
        <v>754</v>
      </c>
    </row>
    <row r="63" spans="1:3">
      <c r="A63" s="198" t="s">
        <v>829</v>
      </c>
      <c r="B63" s="610"/>
      <c r="C63" s="116" t="s">
        <v>754</v>
      </c>
    </row>
    <row r="64" spans="1:3">
      <c r="A64" s="196" t="s">
        <v>333</v>
      </c>
      <c r="B64" s="610"/>
      <c r="C64" s="116" t="s">
        <v>754</v>
      </c>
    </row>
    <row r="65" spans="1:3">
      <c r="A65" s="196" t="s">
        <v>334</v>
      </c>
      <c r="B65" s="610"/>
      <c r="C65" s="116" t="s">
        <v>754</v>
      </c>
    </row>
    <row r="66" spans="1:3">
      <c r="A66" s="196" t="s">
        <v>336</v>
      </c>
      <c r="B66" s="107" t="s">
        <v>828</v>
      </c>
      <c r="C66" s="116" t="s">
        <v>819</v>
      </c>
    </row>
    <row r="67" spans="1:3">
      <c r="A67" s="196" t="s">
        <v>337</v>
      </c>
      <c r="B67" s="107" t="s">
        <v>828</v>
      </c>
      <c r="C67" s="116" t="s">
        <v>819</v>
      </c>
    </row>
    <row r="68" spans="1:3">
      <c r="A68" s="196" t="s">
        <v>347</v>
      </c>
      <c r="B68" s="610"/>
      <c r="C68" s="116" t="s">
        <v>754</v>
      </c>
    </row>
    <row r="69" spans="1:3">
      <c r="A69" s="196" t="s">
        <v>348</v>
      </c>
      <c r="B69" s="610"/>
      <c r="C69" s="116" t="s">
        <v>754</v>
      </c>
    </row>
    <row r="70" spans="1:3">
      <c r="A70" s="196" t="s">
        <v>199</v>
      </c>
      <c r="B70" s="610"/>
      <c r="C70" s="111" t="s">
        <v>237</v>
      </c>
    </row>
    <row r="71" spans="1:3">
      <c r="A71" s="196" t="s">
        <v>201</v>
      </c>
      <c r="B71" s="199" t="s">
        <v>385</v>
      </c>
      <c r="C71" s="111" t="s">
        <v>386</v>
      </c>
    </row>
    <row r="72" spans="1:3">
      <c r="A72" s="249" t="s">
        <v>12</v>
      </c>
      <c r="B72" s="199" t="s">
        <v>385</v>
      </c>
      <c r="C72" s="116" t="s">
        <v>386</v>
      </c>
    </row>
    <row r="73" spans="1:3">
      <c r="A73" s="249" t="s">
        <v>190</v>
      </c>
      <c r="B73" s="107" t="s">
        <v>271</v>
      </c>
      <c r="C73" s="116" t="s">
        <v>197</v>
      </c>
    </row>
    <row r="74" spans="1:3">
      <c r="A74" s="196" t="s">
        <v>274</v>
      </c>
      <c r="B74" s="107" t="s">
        <v>626</v>
      </c>
      <c r="C74" s="116" t="s">
        <v>197</v>
      </c>
    </row>
    <row r="75" spans="1:3">
      <c r="A75" s="196" t="s">
        <v>275</v>
      </c>
      <c r="B75" s="107" t="s">
        <v>626</v>
      </c>
      <c r="C75" s="116" t="s">
        <v>197</v>
      </c>
    </row>
    <row r="76" spans="1:3">
      <c r="A76" s="196" t="s">
        <v>276</v>
      </c>
      <c r="B76" s="107" t="s">
        <v>626</v>
      </c>
      <c r="C76" s="116" t="s">
        <v>197</v>
      </c>
    </row>
    <row r="77" spans="1:3">
      <c r="A77" s="196" t="s">
        <v>277</v>
      </c>
      <c r="B77" s="107" t="s">
        <v>626</v>
      </c>
      <c r="C77" s="116" t="s">
        <v>197</v>
      </c>
    </row>
    <row r="78" spans="1:3">
      <c r="A78" s="196" t="s">
        <v>29</v>
      </c>
      <c r="B78" s="107" t="s">
        <v>626</v>
      </c>
      <c r="C78" s="116" t="s">
        <v>197</v>
      </c>
    </row>
    <row r="79" spans="1:3">
      <c r="A79" s="196" t="s">
        <v>278</v>
      </c>
      <c r="B79" s="107" t="s">
        <v>626</v>
      </c>
      <c r="C79" s="116" t="s">
        <v>197</v>
      </c>
    </row>
    <row r="80" spans="1:3">
      <c r="A80" s="196" t="s">
        <v>279</v>
      </c>
      <c r="B80" s="107" t="s">
        <v>626</v>
      </c>
      <c r="C80" s="116" t="s">
        <v>197</v>
      </c>
    </row>
    <row r="81" spans="1:3">
      <c r="A81" s="196" t="s">
        <v>374</v>
      </c>
      <c r="B81" s="610"/>
      <c r="C81" s="111" t="s">
        <v>237</v>
      </c>
    </row>
    <row r="82" spans="1:3">
      <c r="A82" s="196" t="s">
        <v>208</v>
      </c>
      <c r="B82" s="610"/>
      <c r="C82" s="116" t="s">
        <v>237</v>
      </c>
    </row>
    <row r="83" spans="1:3">
      <c r="A83" s="196" t="s">
        <v>210</v>
      </c>
      <c r="B83" s="610"/>
      <c r="C83" s="116" t="s">
        <v>237</v>
      </c>
    </row>
    <row r="84" spans="1:3">
      <c r="A84" s="196" t="s">
        <v>291</v>
      </c>
      <c r="B84" s="107" t="s">
        <v>632</v>
      </c>
      <c r="C84" s="116" t="s">
        <v>635</v>
      </c>
    </row>
    <row r="85" spans="1:3">
      <c r="A85" s="196" t="s">
        <v>292</v>
      </c>
      <c r="B85" s="107" t="s">
        <v>632</v>
      </c>
      <c r="C85" s="116" t="s">
        <v>635</v>
      </c>
    </row>
    <row r="86" spans="1:3">
      <c r="A86" s="196" t="s">
        <v>295</v>
      </c>
      <c r="B86" s="107" t="s">
        <v>632</v>
      </c>
      <c r="C86" s="116" t="s">
        <v>635</v>
      </c>
    </row>
    <row r="87" spans="1:3">
      <c r="A87" s="196" t="s">
        <v>293</v>
      </c>
      <c r="B87" s="107" t="s">
        <v>632</v>
      </c>
      <c r="C87" s="116" t="s">
        <v>635</v>
      </c>
    </row>
    <row r="88" spans="1:3">
      <c r="A88" s="196" t="s">
        <v>294</v>
      </c>
      <c r="B88" s="107" t="s">
        <v>632</v>
      </c>
      <c r="C88" s="116" t="s">
        <v>635</v>
      </c>
    </row>
    <row r="89" spans="1:3">
      <c r="A89" s="196" t="s">
        <v>290</v>
      </c>
      <c r="B89" s="107" t="s">
        <v>632</v>
      </c>
      <c r="C89" s="116" t="s">
        <v>635</v>
      </c>
    </row>
    <row r="90" spans="1:3">
      <c r="A90" s="196" t="s">
        <v>370</v>
      </c>
      <c r="B90" s="610"/>
      <c r="C90" s="116" t="s">
        <v>388</v>
      </c>
    </row>
    <row r="91" spans="1:3">
      <c r="A91" s="196" t="s">
        <v>346</v>
      </c>
      <c r="B91" s="610"/>
      <c r="C91" s="116" t="s">
        <v>754</v>
      </c>
    </row>
    <row r="92" spans="1:3">
      <c r="A92" s="196" t="s">
        <v>226</v>
      </c>
      <c r="B92" s="107" t="s">
        <v>510</v>
      </c>
      <c r="C92" s="111" t="s">
        <v>482</v>
      </c>
    </row>
    <row r="93" spans="1:3">
      <c r="A93" s="196" t="s">
        <v>212</v>
      </c>
      <c r="B93" s="610"/>
      <c r="C93" s="111" t="s">
        <v>237</v>
      </c>
    </row>
    <row r="94" spans="1:3">
      <c r="A94" s="196" t="s">
        <v>371</v>
      </c>
      <c r="B94" s="610"/>
      <c r="C94" s="111" t="s">
        <v>185</v>
      </c>
    </row>
    <row r="95" spans="1:3">
      <c r="A95" s="196" t="s">
        <v>206</v>
      </c>
      <c r="B95" s="714" t="s">
        <v>1024</v>
      </c>
      <c r="C95" s="116" t="s">
        <v>482</v>
      </c>
    </row>
    <row r="96" spans="1:3">
      <c r="A96" s="196" t="s">
        <v>225</v>
      </c>
      <c r="B96" s="107" t="s">
        <v>946</v>
      </c>
      <c r="C96" s="116" t="s">
        <v>482</v>
      </c>
    </row>
    <row r="97" spans="1:3">
      <c r="A97" s="196" t="s">
        <v>359</v>
      </c>
      <c r="B97" s="107" t="s">
        <v>947</v>
      </c>
      <c r="C97" s="116" t="s">
        <v>819</v>
      </c>
    </row>
    <row r="98" spans="1:3">
      <c r="A98" s="196" t="s">
        <v>360</v>
      </c>
      <c r="B98" s="107" t="s">
        <v>947</v>
      </c>
      <c r="C98" s="116" t="s">
        <v>819</v>
      </c>
    </row>
    <row r="99" spans="1:3">
      <c r="A99" s="196" t="s">
        <v>361</v>
      </c>
      <c r="B99" s="107" t="s">
        <v>947</v>
      </c>
      <c r="C99" s="116" t="s">
        <v>819</v>
      </c>
    </row>
    <row r="100" spans="1:3">
      <c r="A100" s="196" t="s">
        <v>362</v>
      </c>
      <c r="B100" s="107" t="s">
        <v>947</v>
      </c>
      <c r="C100" s="116" t="s">
        <v>819</v>
      </c>
    </row>
    <row r="101" spans="1:3">
      <c r="A101" s="196" t="s">
        <v>363</v>
      </c>
      <c r="B101" s="107" t="s">
        <v>947</v>
      </c>
      <c r="C101" s="116" t="s">
        <v>819</v>
      </c>
    </row>
    <row r="102" spans="1:3">
      <c r="A102" s="196" t="s">
        <v>364</v>
      </c>
      <c r="B102" s="107" t="s">
        <v>947</v>
      </c>
      <c r="C102" s="116" t="s">
        <v>819</v>
      </c>
    </row>
    <row r="103" spans="1:3">
      <c r="A103" s="196" t="s">
        <v>365</v>
      </c>
      <c r="B103" s="107" t="s">
        <v>947</v>
      </c>
      <c r="C103" s="116" t="s">
        <v>819</v>
      </c>
    </row>
    <row r="104" spans="1:3">
      <c r="A104" s="196" t="s">
        <v>366</v>
      </c>
      <c r="B104" s="107" t="s">
        <v>947</v>
      </c>
      <c r="C104" s="116" t="s">
        <v>819</v>
      </c>
    </row>
    <row r="105" spans="1:3">
      <c r="A105" s="196" t="s">
        <v>367</v>
      </c>
      <c r="B105" s="107" t="s">
        <v>947</v>
      </c>
      <c r="C105" s="116" t="s">
        <v>819</v>
      </c>
    </row>
    <row r="106" spans="1:3">
      <c r="A106" s="196" t="s">
        <v>368</v>
      </c>
      <c r="B106" s="107" t="s">
        <v>947</v>
      </c>
      <c r="C106" s="116" t="s">
        <v>819</v>
      </c>
    </row>
    <row r="107" spans="1:3">
      <c r="A107" s="196" t="s">
        <v>213</v>
      </c>
      <c r="B107" s="610"/>
      <c r="C107" s="111" t="s">
        <v>237</v>
      </c>
    </row>
    <row r="108" spans="1:3">
      <c r="A108" s="196" t="s">
        <v>449</v>
      </c>
      <c r="B108" s="610"/>
      <c r="C108" s="111" t="s">
        <v>237</v>
      </c>
    </row>
    <row r="109" spans="1:3">
      <c r="A109" s="196" t="s">
        <v>453</v>
      </c>
      <c r="B109" s="610"/>
      <c r="C109" s="111" t="s">
        <v>237</v>
      </c>
    </row>
    <row r="110" spans="1:3">
      <c r="A110" s="196" t="s">
        <v>454</v>
      </c>
      <c r="B110" s="610"/>
      <c r="C110" s="116" t="s">
        <v>237</v>
      </c>
    </row>
    <row r="111" spans="1:3">
      <c r="A111" s="196" t="s">
        <v>300</v>
      </c>
      <c r="B111" s="199" t="s">
        <v>656</v>
      </c>
      <c r="C111" s="116" t="s">
        <v>657</v>
      </c>
    </row>
    <row r="112" spans="1:3">
      <c r="A112" s="196" t="s">
        <v>301</v>
      </c>
      <c r="B112" s="199" t="s">
        <v>656</v>
      </c>
      <c r="C112" s="116" t="s">
        <v>657</v>
      </c>
    </row>
    <row r="113" spans="1:3">
      <c r="A113" s="196" t="s">
        <v>318</v>
      </c>
      <c r="B113" s="610"/>
      <c r="C113" s="116" t="s">
        <v>754</v>
      </c>
    </row>
    <row r="114" spans="1:3">
      <c r="A114" s="196" t="s">
        <v>317</v>
      </c>
      <c r="B114" s="610"/>
      <c r="C114" s="116" t="s">
        <v>753</v>
      </c>
    </row>
    <row r="115" spans="1:3">
      <c r="A115" s="196" t="s">
        <v>316</v>
      </c>
      <c r="B115" s="610"/>
      <c r="C115" s="116" t="s">
        <v>753</v>
      </c>
    </row>
    <row r="116" spans="1:3">
      <c r="A116" s="196" t="s">
        <v>214</v>
      </c>
      <c r="B116" s="610"/>
      <c r="C116" s="111" t="s">
        <v>237</v>
      </c>
    </row>
    <row r="117" spans="1:3">
      <c r="A117" s="196" t="s">
        <v>215</v>
      </c>
      <c r="B117" s="610"/>
      <c r="C117" s="111" t="s">
        <v>237</v>
      </c>
    </row>
    <row r="118" spans="1:3">
      <c r="A118" s="196" t="s">
        <v>211</v>
      </c>
      <c r="B118" s="610"/>
      <c r="C118" s="111" t="s">
        <v>237</v>
      </c>
    </row>
    <row r="119" spans="1:3">
      <c r="A119" s="196" t="s">
        <v>372</v>
      </c>
      <c r="B119" s="610"/>
      <c r="C119" s="111" t="s">
        <v>237</v>
      </c>
    </row>
    <row r="120" spans="1:3">
      <c r="A120" s="196" t="s">
        <v>209</v>
      </c>
      <c r="B120" s="610"/>
      <c r="C120" s="111" t="s">
        <v>237</v>
      </c>
    </row>
    <row r="121" spans="1:3">
      <c r="A121" s="196" t="s">
        <v>216</v>
      </c>
      <c r="B121" s="610"/>
      <c r="C121" s="111" t="s">
        <v>237</v>
      </c>
    </row>
    <row r="122" spans="1:3">
      <c r="A122" s="196" t="s">
        <v>217</v>
      </c>
      <c r="B122" s="610"/>
      <c r="C122" s="116" t="s">
        <v>237</v>
      </c>
    </row>
    <row r="123" spans="1:3">
      <c r="A123" s="196" t="s">
        <v>324</v>
      </c>
      <c r="B123" s="107" t="s">
        <v>821</v>
      </c>
      <c r="C123" s="116" t="s">
        <v>819</v>
      </c>
    </row>
    <row r="124" spans="1:3">
      <c r="A124" s="196" t="s">
        <v>325</v>
      </c>
      <c r="B124" s="107" t="s">
        <v>821</v>
      </c>
      <c r="C124" s="116" t="s">
        <v>819</v>
      </c>
    </row>
    <row r="125" spans="1:3">
      <c r="A125" s="196" t="s">
        <v>326</v>
      </c>
      <c r="B125" s="107" t="s">
        <v>821</v>
      </c>
      <c r="C125" s="116" t="s">
        <v>819</v>
      </c>
    </row>
    <row r="126" spans="1:3">
      <c r="A126" s="196" t="s">
        <v>327</v>
      </c>
      <c r="B126" s="107" t="s">
        <v>821</v>
      </c>
      <c r="C126" s="116" t="s">
        <v>819</v>
      </c>
    </row>
    <row r="127" spans="1:3">
      <c r="A127" s="198" t="s">
        <v>822</v>
      </c>
      <c r="B127" s="107" t="s">
        <v>821</v>
      </c>
      <c r="C127" s="116" t="s">
        <v>819</v>
      </c>
    </row>
    <row r="128" spans="1:3">
      <c r="A128" s="198" t="s">
        <v>823</v>
      </c>
      <c r="B128" s="107" t="s">
        <v>869</v>
      </c>
      <c r="C128" s="116" t="s">
        <v>819</v>
      </c>
    </row>
    <row r="129" spans="1:3">
      <c r="A129" s="196" t="s">
        <v>378</v>
      </c>
      <c r="B129" s="107" t="s">
        <v>1032</v>
      </c>
      <c r="C129" s="116" t="s">
        <v>819</v>
      </c>
    </row>
    <row r="130" spans="1:3">
      <c r="A130" s="198" t="s">
        <v>870</v>
      </c>
      <c r="B130" s="107" t="s">
        <v>1032</v>
      </c>
      <c r="C130" s="116" t="s">
        <v>819</v>
      </c>
    </row>
    <row r="131" spans="1:3">
      <c r="A131" s="196" t="s">
        <v>379</v>
      </c>
      <c r="B131" s="107" t="s">
        <v>1032</v>
      </c>
      <c r="C131" s="116" t="s">
        <v>819</v>
      </c>
    </row>
    <row r="132" spans="1:3">
      <c r="A132" s="196" t="s">
        <v>871</v>
      </c>
      <c r="B132" s="107" t="s">
        <v>1032</v>
      </c>
      <c r="C132" s="116" t="s">
        <v>819</v>
      </c>
    </row>
    <row r="133" spans="1:3">
      <c r="A133" s="196" t="s">
        <v>872</v>
      </c>
      <c r="B133" s="107" t="s">
        <v>1032</v>
      </c>
      <c r="C133" s="116" t="s">
        <v>819</v>
      </c>
    </row>
    <row r="134" spans="1:3">
      <c r="A134" s="196" t="s">
        <v>339</v>
      </c>
      <c r="B134" s="107" t="s">
        <v>1032</v>
      </c>
      <c r="C134" s="116" t="s">
        <v>819</v>
      </c>
    </row>
    <row r="135" spans="1:3">
      <c r="A135" s="196" t="s">
        <v>340</v>
      </c>
      <c r="B135" s="107" t="s">
        <v>1032</v>
      </c>
      <c r="C135" s="116" t="s">
        <v>819</v>
      </c>
    </row>
    <row r="136" spans="1:3">
      <c r="A136" s="196" t="s">
        <v>338</v>
      </c>
      <c r="B136" s="107" t="s">
        <v>1032</v>
      </c>
      <c r="C136" s="116" t="s">
        <v>819</v>
      </c>
    </row>
    <row r="137" spans="1:3">
      <c r="A137" s="196" t="s">
        <v>202</v>
      </c>
      <c r="B137" s="107" t="s">
        <v>986</v>
      </c>
      <c r="C137" s="116" t="s">
        <v>197</v>
      </c>
    </row>
    <row r="138" spans="1:3">
      <c r="A138" s="196" t="s">
        <v>203</v>
      </c>
      <c r="B138" s="107" t="s">
        <v>986</v>
      </c>
      <c r="C138" s="116" t="s">
        <v>197</v>
      </c>
    </row>
    <row r="139" spans="1:3">
      <c r="A139" s="196" t="s">
        <v>974</v>
      </c>
      <c r="B139" s="610"/>
      <c r="C139" s="116" t="s">
        <v>480</v>
      </c>
    </row>
    <row r="140" spans="1:3">
      <c r="A140" s="196" t="s">
        <v>221</v>
      </c>
      <c r="B140" s="107" t="s">
        <v>824</v>
      </c>
      <c r="C140" s="116" t="s">
        <v>481</v>
      </c>
    </row>
    <row r="141" spans="1:3">
      <c r="A141" s="196" t="s">
        <v>330</v>
      </c>
      <c r="B141" s="104" t="s">
        <v>825</v>
      </c>
      <c r="C141" s="116" t="s">
        <v>819</v>
      </c>
    </row>
    <row r="142" spans="1:3">
      <c r="A142" s="196" t="s">
        <v>380</v>
      </c>
      <c r="B142" s="104" t="s">
        <v>825</v>
      </c>
      <c r="C142" s="116" t="s">
        <v>819</v>
      </c>
    </row>
    <row r="143" spans="1:3">
      <c r="A143" s="196" t="s">
        <v>328</v>
      </c>
      <c r="B143" s="104" t="s">
        <v>825</v>
      </c>
      <c r="C143" s="116" t="s">
        <v>819</v>
      </c>
    </row>
    <row r="144" spans="1:3">
      <c r="A144" s="196" t="s">
        <v>329</v>
      </c>
      <c r="B144" s="104" t="s">
        <v>825</v>
      </c>
      <c r="C144" s="116" t="s">
        <v>819</v>
      </c>
    </row>
    <row r="145" spans="1:3">
      <c r="A145" s="196" t="s">
        <v>381</v>
      </c>
      <c r="B145" s="104" t="s">
        <v>825</v>
      </c>
      <c r="C145" s="116" t="s">
        <v>819</v>
      </c>
    </row>
    <row r="146" spans="1:3">
      <c r="A146" s="196" t="s">
        <v>303</v>
      </c>
      <c r="B146" s="107" t="s">
        <v>733</v>
      </c>
      <c r="C146" s="116" t="s">
        <v>819</v>
      </c>
    </row>
    <row r="147" spans="1:3">
      <c r="A147" s="196" t="s">
        <v>304</v>
      </c>
      <c r="B147" s="107" t="s">
        <v>733</v>
      </c>
      <c r="C147" s="116" t="s">
        <v>635</v>
      </c>
    </row>
    <row r="148" spans="1:3">
      <c r="A148" s="196" t="s">
        <v>305</v>
      </c>
      <c r="B148" s="107" t="s">
        <v>733</v>
      </c>
      <c r="C148" s="116" t="s">
        <v>635</v>
      </c>
    </row>
    <row r="149" spans="1:3">
      <c r="A149" s="196" t="s">
        <v>76</v>
      </c>
      <c r="B149" s="107" t="s">
        <v>733</v>
      </c>
      <c r="C149" s="116" t="s">
        <v>635</v>
      </c>
    </row>
    <row r="150" spans="1:3">
      <c r="A150" s="196" t="s">
        <v>306</v>
      </c>
      <c r="B150" s="107" t="s">
        <v>733</v>
      </c>
      <c r="C150" s="116" t="s">
        <v>635</v>
      </c>
    </row>
    <row r="151" spans="1:3">
      <c r="A151" s="196" t="s">
        <v>307</v>
      </c>
      <c r="B151" s="107" t="s">
        <v>733</v>
      </c>
      <c r="C151" s="116" t="s">
        <v>635</v>
      </c>
    </row>
    <row r="152" spans="1:3">
      <c r="A152" s="196" t="s">
        <v>308</v>
      </c>
      <c r="B152" s="107" t="s">
        <v>733</v>
      </c>
      <c r="C152" s="116" t="s">
        <v>635</v>
      </c>
    </row>
    <row r="153" spans="1:3">
      <c r="A153" s="196" t="s">
        <v>309</v>
      </c>
      <c r="B153" s="107" t="s">
        <v>733</v>
      </c>
      <c r="C153" s="116" t="s">
        <v>635</v>
      </c>
    </row>
    <row r="154" spans="1:3">
      <c r="A154" s="196" t="s">
        <v>310</v>
      </c>
      <c r="B154" s="107" t="s">
        <v>733</v>
      </c>
      <c r="C154" s="116" t="s">
        <v>635</v>
      </c>
    </row>
    <row r="155" spans="1:3">
      <c r="A155" s="196" t="s">
        <v>298</v>
      </c>
      <c r="B155" s="107" t="s">
        <v>632</v>
      </c>
      <c r="C155" s="116" t="s">
        <v>482</v>
      </c>
    </row>
    <row r="156" spans="1:3">
      <c r="A156" s="196" t="s">
        <v>299</v>
      </c>
      <c r="B156" s="107" t="s">
        <v>632</v>
      </c>
      <c r="C156" s="116" t="s">
        <v>482</v>
      </c>
    </row>
    <row r="157" spans="1:3">
      <c r="A157" s="198" t="s">
        <v>636</v>
      </c>
      <c r="B157" s="107" t="s">
        <v>632</v>
      </c>
      <c r="C157" s="116" t="s">
        <v>482</v>
      </c>
    </row>
    <row r="158" spans="1:3">
      <c r="A158" s="196" t="s">
        <v>637</v>
      </c>
      <c r="B158" s="107" t="s">
        <v>875</v>
      </c>
      <c r="C158" s="116" t="s">
        <v>482</v>
      </c>
    </row>
    <row r="159" spans="1:3">
      <c r="A159" s="196" t="s">
        <v>968</v>
      </c>
      <c r="B159" s="107" t="s">
        <v>967</v>
      </c>
      <c r="C159" s="116" t="s">
        <v>819</v>
      </c>
    </row>
    <row r="160" spans="1:3">
      <c r="A160" s="196" t="s">
        <v>375</v>
      </c>
      <c r="B160" s="107" t="s">
        <v>967</v>
      </c>
      <c r="C160" s="116" t="s">
        <v>819</v>
      </c>
    </row>
    <row r="161" spans="1:3">
      <c r="A161" s="196" t="s">
        <v>382</v>
      </c>
      <c r="B161" s="107" t="s">
        <v>629</v>
      </c>
      <c r="C161" s="116" t="s">
        <v>819</v>
      </c>
    </row>
    <row r="162" spans="1:3">
      <c r="A162" s="196" t="s">
        <v>383</v>
      </c>
      <c r="B162" s="610"/>
      <c r="C162" s="116" t="s">
        <v>754</v>
      </c>
    </row>
    <row r="163" spans="1:3">
      <c r="A163" s="196" t="s">
        <v>335</v>
      </c>
      <c r="B163" s="610"/>
      <c r="C163" s="116" t="s">
        <v>753</v>
      </c>
    </row>
    <row r="164" spans="1:3">
      <c r="A164" s="196" t="s">
        <v>345</v>
      </c>
      <c r="B164" s="610"/>
      <c r="C164" s="116" t="s">
        <v>754</v>
      </c>
    </row>
    <row r="165" spans="1:3">
      <c r="A165" s="655" t="s">
        <v>898</v>
      </c>
      <c r="B165" s="610"/>
      <c r="C165" s="116" t="s">
        <v>753</v>
      </c>
    </row>
    <row r="166" spans="1:3">
      <c r="A166" s="196" t="s">
        <v>384</v>
      </c>
      <c r="B166" s="610"/>
      <c r="C166" s="116" t="s">
        <v>753</v>
      </c>
    </row>
    <row r="167" spans="1:3">
      <c r="A167" s="196" t="s">
        <v>344</v>
      </c>
      <c r="B167" s="610"/>
      <c r="C167" s="116" t="s">
        <v>754</v>
      </c>
    </row>
    <row r="168" spans="1:3">
      <c r="A168" s="196" t="s">
        <v>323</v>
      </c>
      <c r="B168" s="107" t="s">
        <v>820</v>
      </c>
      <c r="C168" s="116" t="s">
        <v>819</v>
      </c>
    </row>
    <row r="169" spans="1:3">
      <c r="A169" s="196" t="s">
        <v>218</v>
      </c>
      <c r="B169" s="610"/>
      <c r="C169" s="116" t="s">
        <v>237</v>
      </c>
    </row>
    <row r="170" spans="1:3">
      <c r="A170" s="196" t="s">
        <v>297</v>
      </c>
      <c r="B170" s="107" t="s">
        <v>632</v>
      </c>
      <c r="C170" s="116" t="s">
        <v>819</v>
      </c>
    </row>
    <row r="171" spans="1:3">
      <c r="A171" s="196" t="s">
        <v>296</v>
      </c>
      <c r="B171" s="107" t="s">
        <v>632</v>
      </c>
      <c r="C171" s="116" t="s">
        <v>819</v>
      </c>
    </row>
    <row r="172" spans="1:3">
      <c r="A172" s="196" t="s">
        <v>219</v>
      </c>
      <c r="B172" s="610"/>
      <c r="C172" s="116" t="s">
        <v>237</v>
      </c>
    </row>
    <row r="173" spans="1:3">
      <c r="A173" s="196" t="s">
        <v>369</v>
      </c>
      <c r="B173" s="610"/>
      <c r="C173" s="116" t="s">
        <v>969</v>
      </c>
    </row>
    <row r="174" spans="1:3">
      <c r="A174" s="196" t="s">
        <v>975</v>
      </c>
      <c r="B174" s="610"/>
      <c r="C174" s="116" t="s">
        <v>953</v>
      </c>
    </row>
    <row r="175" spans="1:3">
      <c r="A175" s="196" t="s">
        <v>205</v>
      </c>
      <c r="B175" s="610"/>
      <c r="C175" s="116" t="s">
        <v>387</v>
      </c>
    </row>
    <row r="176" spans="1:3">
      <c r="A176" s="116" t="s">
        <v>479</v>
      </c>
      <c r="B176" s="610"/>
      <c r="C176" s="111" t="s">
        <v>480</v>
      </c>
    </row>
    <row r="177" spans="1:3">
      <c r="A177" s="196" t="s">
        <v>358</v>
      </c>
      <c r="B177" s="610"/>
      <c r="C177" s="116" t="s">
        <v>953</v>
      </c>
    </row>
    <row r="178" spans="1:3">
      <c r="A178" s="196" t="s">
        <v>409</v>
      </c>
      <c r="B178" s="610"/>
      <c r="C178" s="116" t="s">
        <v>410</v>
      </c>
    </row>
    <row r="179" spans="1:3">
      <c r="A179" s="196" t="s">
        <v>204</v>
      </c>
      <c r="B179" s="610"/>
      <c r="C179" s="116" t="s">
        <v>387</v>
      </c>
    </row>
    <row r="180" spans="1:3">
      <c r="A180" s="198" t="s">
        <v>877</v>
      </c>
      <c r="B180" s="107" t="s">
        <v>876</v>
      </c>
      <c r="C180" s="116" t="s">
        <v>819</v>
      </c>
    </row>
    <row r="181" spans="1:3">
      <c r="A181" s="198" t="s">
        <v>878</v>
      </c>
      <c r="B181" s="107" t="s">
        <v>876</v>
      </c>
      <c r="C181" s="116" t="s">
        <v>819</v>
      </c>
    </row>
    <row r="182" spans="1:3">
      <c r="A182" s="196" t="s">
        <v>633</v>
      </c>
      <c r="B182" s="107" t="s">
        <v>875</v>
      </c>
      <c r="C182" s="116" t="s">
        <v>482</v>
      </c>
    </row>
    <row r="183" spans="1:3">
      <c r="A183" s="196" t="s">
        <v>207</v>
      </c>
      <c r="B183" s="107" t="s">
        <v>634</v>
      </c>
      <c r="C183" s="116" t="s">
        <v>389</v>
      </c>
    </row>
    <row r="184" spans="1:3">
      <c r="A184" s="196" t="s">
        <v>1014</v>
      </c>
      <c r="B184" s="107" t="s">
        <v>1017</v>
      </c>
      <c r="C184" s="116" t="s">
        <v>389</v>
      </c>
    </row>
    <row r="185" spans="1:3">
      <c r="A185" s="196" t="s">
        <v>1015</v>
      </c>
      <c r="B185" s="197"/>
      <c r="C185" s="1"/>
    </row>
    <row r="186" spans="1:3">
      <c r="A186" s="116" t="s">
        <v>1013</v>
      </c>
      <c r="B186" s="197"/>
      <c r="C186" s="1"/>
    </row>
    <row r="187" spans="1:3">
      <c r="A187" s="1" t="s">
        <v>1001</v>
      </c>
      <c r="B187" s="197"/>
      <c r="C187" s="1"/>
    </row>
    <row r="188" spans="1:3">
      <c r="A188" s="196" t="s">
        <v>1003</v>
      </c>
      <c r="B188" s="197"/>
      <c r="C188" s="1"/>
    </row>
    <row r="189" spans="1:3">
      <c r="A189" s="196" t="s">
        <v>1016</v>
      </c>
      <c r="B189" s="197"/>
      <c r="C189" s="1"/>
    </row>
    <row r="190" spans="1:3">
      <c r="A190" s="196" t="s">
        <v>1006</v>
      </c>
      <c r="B190" s="197"/>
      <c r="C190" s="1"/>
    </row>
    <row r="191" spans="1:3">
      <c r="A191" s="196" t="s">
        <v>1008</v>
      </c>
      <c r="B191" s="197"/>
      <c r="C191" s="1"/>
    </row>
    <row r="192" spans="1:3">
      <c r="A192" s="196" t="s">
        <v>1010</v>
      </c>
      <c r="B192" s="197"/>
      <c r="C192" s="1"/>
    </row>
    <row r="193" spans="1:3">
      <c r="A193" s="196"/>
      <c r="B193" s="197"/>
      <c r="C193" s="1"/>
    </row>
    <row r="194" spans="1:3">
      <c r="A194" s="196"/>
      <c r="B194" s="197"/>
      <c r="C194" s="1"/>
    </row>
    <row r="195" spans="1:3">
      <c r="A195" s="196"/>
      <c r="B195" s="197"/>
      <c r="C195" s="1"/>
    </row>
    <row r="196" spans="1:3">
      <c r="A196" s="196"/>
      <c r="B196" s="197"/>
      <c r="C196" s="1"/>
    </row>
    <row r="197" spans="1:3">
      <c r="A197" s="196"/>
      <c r="B197" s="197"/>
      <c r="C197" s="1"/>
    </row>
  </sheetData>
  <autoFilter ref="A1:C184">
    <sortState ref="A2:C185">
      <sortCondition ref="A1:A185"/>
    </sortState>
  </autoFilter>
  <phoneticPr fontId="14"/>
  <conditionalFormatting sqref="A5:A197">
    <cfRule type="duplicateValues" dxfId="516" priority="27"/>
  </conditionalFormatting>
  <hyperlinks>
    <hyperlink ref="B71" r:id="rId1"/>
    <hyperlink ref="B72" r:id="rId2"/>
    <hyperlink ref="B111" r:id="rId3"/>
    <hyperlink ref="B112" r:id="rId4"/>
  </hyperlinks>
  <pageMargins left="0.7" right="0.7" top="0.75" bottom="0.75" header="0.3" footer="0.3"/>
  <pageSetup paperSize="9" scale="48"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0"/>
    <pageSetUpPr fitToPage="1"/>
  </sheetPr>
  <dimension ref="B1:V41"/>
  <sheetViews>
    <sheetView showGridLines="0" view="pageBreakPreview" zoomScaleNormal="100" zoomScaleSheetLayoutView="100" workbookViewId="0"/>
  </sheetViews>
  <sheetFormatPr defaultRowHeight="13.8"/>
  <cols>
    <col min="1" max="1" width="7.69921875" customWidth="1"/>
    <col min="2" max="3" width="10" customWidth="1"/>
    <col min="21" max="21" width="10.5" bestFit="1" customWidth="1"/>
  </cols>
  <sheetData>
    <row r="1" spans="2:22">
      <c r="T1" t="s">
        <v>1315</v>
      </c>
      <c r="U1" s="1220">
        <v>45335</v>
      </c>
      <c r="V1" t="s">
        <v>1316</v>
      </c>
    </row>
    <row r="2" spans="2:22">
      <c r="B2" s="1982" t="s">
        <v>1442</v>
      </c>
      <c r="C2" s="1982"/>
      <c r="D2" s="1982"/>
      <c r="E2" s="1982"/>
      <c r="F2" s="1982"/>
      <c r="G2" s="1982"/>
      <c r="H2" s="1982"/>
      <c r="I2" s="1982"/>
      <c r="J2" s="1982"/>
      <c r="K2" s="1982"/>
      <c r="L2" s="1982"/>
      <c r="M2" s="1982"/>
      <c r="N2" s="1982"/>
      <c r="O2" s="1982"/>
      <c r="P2" s="1982"/>
      <c r="Q2" s="1982"/>
      <c r="R2" s="1982"/>
    </row>
    <row r="3" spans="2:22" ht="14.4" thickBot="1"/>
    <row r="4" spans="2:22" ht="25.5" customHeight="1">
      <c r="B4" s="1978" t="s">
        <v>1464</v>
      </c>
      <c r="C4" s="1979"/>
      <c r="D4" s="1978" t="s">
        <v>1465</v>
      </c>
      <c r="E4" s="1979"/>
      <c r="F4" s="1978" t="s">
        <v>1466</v>
      </c>
      <c r="G4" s="1983"/>
      <c r="H4" s="1979"/>
      <c r="I4" s="1978" t="s">
        <v>1467</v>
      </c>
      <c r="J4" s="1983"/>
      <c r="K4" s="1983"/>
      <c r="L4" s="1983"/>
      <c r="M4" s="1983"/>
      <c r="N4" s="1983"/>
      <c r="O4" s="1983"/>
      <c r="P4" s="1983"/>
      <c r="Q4" s="1983"/>
      <c r="R4" s="1979"/>
    </row>
    <row r="5" spans="2:22" ht="12.9" customHeight="1" thickBot="1">
      <c r="B5" s="1980"/>
      <c r="C5" s="1981"/>
      <c r="D5" s="1980"/>
      <c r="E5" s="1981"/>
      <c r="F5" s="1980"/>
      <c r="G5" s="1984"/>
      <c r="H5" s="1981"/>
      <c r="I5" s="1980"/>
      <c r="J5" s="1984"/>
      <c r="K5" s="1984"/>
      <c r="L5" s="1984"/>
      <c r="M5" s="1984"/>
      <c r="N5" s="1984"/>
      <c r="O5" s="1984"/>
      <c r="P5" s="1984"/>
      <c r="Q5" s="1984"/>
      <c r="R5" s="1981"/>
    </row>
    <row r="6" spans="2:22">
      <c r="B6" s="1563"/>
      <c r="C6" s="1564"/>
      <c r="D6" s="1563"/>
      <c r="E6" s="1564"/>
      <c r="F6" s="1563"/>
      <c r="G6" s="7"/>
      <c r="H6" s="1564"/>
      <c r="I6" s="1643"/>
      <c r="J6" s="1644"/>
      <c r="K6" s="1644"/>
      <c r="L6" s="1644"/>
      <c r="M6" s="1644"/>
      <c r="N6" s="1644"/>
      <c r="O6" s="1644"/>
      <c r="P6" s="1644"/>
      <c r="Q6" s="1644"/>
      <c r="R6" s="1645"/>
    </row>
    <row r="7" spans="2:22">
      <c r="B7" s="1563"/>
      <c r="C7" s="1564"/>
      <c r="D7" s="1563"/>
      <c r="E7" s="1564"/>
      <c r="F7" s="1563"/>
      <c r="G7" s="7"/>
      <c r="H7" s="1564"/>
      <c r="I7" s="1563"/>
      <c r="J7" s="7"/>
      <c r="K7" s="7"/>
      <c r="L7" s="7"/>
      <c r="M7" s="7"/>
      <c r="N7" s="7"/>
      <c r="O7" s="7"/>
      <c r="P7" s="7"/>
      <c r="Q7" s="7"/>
      <c r="R7" s="1564"/>
    </row>
    <row r="8" spans="2:22">
      <c r="B8" s="1563"/>
      <c r="C8" s="1564"/>
      <c r="D8" s="1563"/>
      <c r="E8" s="1564"/>
      <c r="F8" s="1563"/>
      <c r="G8" s="7"/>
      <c r="H8" s="1564"/>
      <c r="I8" s="1563"/>
      <c r="J8" s="7"/>
      <c r="K8" s="7"/>
      <c r="L8" s="7"/>
      <c r="M8" s="7"/>
      <c r="N8" s="7"/>
      <c r="O8" s="7"/>
      <c r="P8" s="7"/>
      <c r="Q8" s="7"/>
      <c r="R8" s="1564"/>
    </row>
    <row r="9" spans="2:22">
      <c r="B9" s="1563"/>
      <c r="C9" s="1564"/>
      <c r="D9" s="1563"/>
      <c r="E9" s="1564"/>
      <c r="F9" s="1563"/>
      <c r="G9" s="7"/>
      <c r="H9" s="1564"/>
      <c r="I9" s="1563"/>
      <c r="J9" s="7"/>
      <c r="K9" s="7"/>
      <c r="L9" s="7"/>
      <c r="M9" s="7"/>
      <c r="N9" s="7"/>
      <c r="O9" s="7"/>
      <c r="P9" s="7"/>
      <c r="Q9" s="7"/>
      <c r="R9" s="1564"/>
    </row>
    <row r="10" spans="2:22">
      <c r="B10" s="1563"/>
      <c r="C10" s="1564"/>
      <c r="D10" s="1563"/>
      <c r="E10" s="1564"/>
      <c r="F10" s="1563"/>
      <c r="G10" s="7"/>
      <c r="H10" s="1564"/>
      <c r="I10" s="1563"/>
      <c r="J10" s="7"/>
      <c r="K10" s="7"/>
      <c r="L10" s="7"/>
      <c r="M10" s="7"/>
      <c r="N10" s="7"/>
      <c r="O10" s="7"/>
      <c r="P10" s="7"/>
      <c r="Q10" s="7"/>
      <c r="R10" s="1564"/>
    </row>
    <row r="11" spans="2:22">
      <c r="B11" s="1563"/>
      <c r="C11" s="1564"/>
      <c r="D11" s="1563"/>
      <c r="E11" s="1564"/>
      <c r="F11" s="1563"/>
      <c r="G11" s="7"/>
      <c r="H11" s="1564"/>
      <c r="I11" s="1563"/>
      <c r="J11" s="7"/>
      <c r="K11" s="7"/>
      <c r="L11" s="7"/>
      <c r="M11" s="7"/>
      <c r="N11" s="7"/>
      <c r="O11" s="7"/>
      <c r="P11" s="7"/>
      <c r="Q11" s="7"/>
      <c r="R11" s="1564"/>
    </row>
    <row r="12" spans="2:22">
      <c r="B12" s="1563"/>
      <c r="C12" s="1564"/>
      <c r="D12" s="1563"/>
      <c r="E12" s="1564"/>
      <c r="F12" s="1563"/>
      <c r="G12" s="7"/>
      <c r="H12" s="1564"/>
      <c r="I12" s="1563"/>
      <c r="J12" s="7"/>
      <c r="K12" s="7"/>
      <c r="L12" s="7"/>
      <c r="M12" s="7"/>
      <c r="N12" s="7"/>
      <c r="O12" s="7"/>
      <c r="P12" s="7"/>
      <c r="Q12" s="7"/>
      <c r="R12" s="1564"/>
    </row>
    <row r="13" spans="2:22">
      <c r="B13" s="1563"/>
      <c r="C13" s="1564"/>
      <c r="D13" s="1563"/>
      <c r="E13" s="1564"/>
      <c r="F13" s="1563"/>
      <c r="G13" s="7"/>
      <c r="H13" s="1564"/>
      <c r="I13" s="1563"/>
      <c r="J13" s="7"/>
      <c r="K13" s="7"/>
      <c r="L13" s="7"/>
      <c r="M13" s="7"/>
      <c r="N13" s="7"/>
      <c r="O13" s="7"/>
      <c r="P13" s="7"/>
      <c r="Q13" s="7"/>
      <c r="R13" s="1564"/>
    </row>
    <row r="14" spans="2:22">
      <c r="B14" s="1563"/>
      <c r="C14" s="1564"/>
      <c r="D14" s="1563"/>
      <c r="E14" s="1564"/>
      <c r="F14" s="1563"/>
      <c r="G14" s="7"/>
      <c r="H14" s="1564"/>
      <c r="I14" s="1563"/>
      <c r="J14" s="7"/>
      <c r="K14" s="7"/>
      <c r="L14" s="7"/>
      <c r="M14" s="7"/>
      <c r="N14" s="7"/>
      <c r="O14" s="7"/>
      <c r="P14" s="7"/>
      <c r="Q14" s="7"/>
      <c r="R14" s="1564"/>
    </row>
    <row r="15" spans="2:22">
      <c r="B15" s="1563"/>
      <c r="C15" s="1564"/>
      <c r="D15" s="1563"/>
      <c r="E15" s="1564"/>
      <c r="F15" s="1563"/>
      <c r="G15" s="7"/>
      <c r="H15" s="1564"/>
      <c r="I15" s="1563"/>
      <c r="J15" s="7"/>
      <c r="K15" s="7"/>
      <c r="L15" s="7"/>
      <c r="M15" s="7"/>
      <c r="N15" s="7"/>
      <c r="O15" s="7"/>
      <c r="P15" s="7"/>
      <c r="Q15" s="7"/>
      <c r="R15" s="1564"/>
    </row>
    <row r="16" spans="2:22">
      <c r="B16" s="1563"/>
      <c r="C16" s="1564"/>
      <c r="D16" s="1563"/>
      <c r="E16" s="1564"/>
      <c r="F16" s="1563"/>
      <c r="G16" s="7"/>
      <c r="H16" s="1564"/>
      <c r="I16" s="1563"/>
      <c r="J16" s="7"/>
      <c r="K16" s="7"/>
      <c r="L16" s="7"/>
      <c r="M16" s="7"/>
      <c r="N16" s="7"/>
      <c r="O16" s="7"/>
      <c r="P16" s="7"/>
      <c r="Q16" s="7"/>
      <c r="R16" s="1564"/>
    </row>
    <row r="17" spans="2:20">
      <c r="B17" s="1563"/>
      <c r="C17" s="1564"/>
      <c r="D17" s="1563"/>
      <c r="E17" s="1564"/>
      <c r="F17" s="1563"/>
      <c r="G17" s="7"/>
      <c r="H17" s="1564"/>
      <c r="I17" s="1563"/>
      <c r="J17" s="7"/>
      <c r="K17" s="7"/>
      <c r="L17" s="7"/>
      <c r="M17" s="7"/>
      <c r="N17" s="7"/>
      <c r="O17" s="7"/>
      <c r="P17" s="7"/>
      <c r="Q17" s="7"/>
      <c r="R17" s="1564"/>
    </row>
    <row r="18" spans="2:20" ht="14.4" thickBot="1">
      <c r="B18" s="1565"/>
      <c r="C18" s="1566"/>
      <c r="D18" s="1565"/>
      <c r="E18" s="1566"/>
      <c r="F18" s="1565"/>
      <c r="G18" s="1567"/>
      <c r="H18" s="1566"/>
      <c r="I18" s="1565"/>
      <c r="J18" s="1567"/>
      <c r="K18" s="1567"/>
      <c r="L18" s="1567"/>
      <c r="M18" s="1567"/>
      <c r="N18" s="1567"/>
      <c r="O18" s="1567"/>
      <c r="P18" s="1567"/>
      <c r="Q18" s="1567"/>
      <c r="R18" s="1566"/>
    </row>
    <row r="19" spans="2:20" ht="14.4" thickBot="1"/>
    <row r="20" spans="2:20" ht="25.5" customHeight="1">
      <c r="B20" s="1972" t="s">
        <v>1537</v>
      </c>
      <c r="C20" s="1973"/>
      <c r="D20" s="1973"/>
      <c r="E20" s="1973"/>
      <c r="F20" s="1973"/>
      <c r="G20" s="1973"/>
      <c r="H20" s="1973"/>
      <c r="I20" s="1973"/>
      <c r="J20" s="1974"/>
      <c r="K20" s="1749"/>
      <c r="L20" s="1978" t="s">
        <v>1538</v>
      </c>
      <c r="M20" s="1979"/>
      <c r="O20" s="7"/>
      <c r="P20" s="7"/>
      <c r="Q20" s="1978" t="s">
        <v>1555</v>
      </c>
      <c r="R20" s="1979"/>
    </row>
    <row r="21" spans="2:20" ht="12.9" customHeight="1" thickBot="1">
      <c r="B21" s="1975"/>
      <c r="C21" s="1976"/>
      <c r="D21" s="1976"/>
      <c r="E21" s="1976"/>
      <c r="F21" s="1976"/>
      <c r="G21" s="1976"/>
      <c r="H21" s="1976"/>
      <c r="I21" s="1976"/>
      <c r="J21" s="1977"/>
      <c r="K21" s="1749"/>
      <c r="L21" s="1980"/>
      <c r="M21" s="1981"/>
      <c r="O21" s="7"/>
      <c r="P21" s="7"/>
      <c r="Q21" s="1980"/>
      <c r="R21" s="1981"/>
    </row>
    <row r="22" spans="2:20">
      <c r="B22" s="1563"/>
      <c r="C22" s="7"/>
      <c r="D22" s="7"/>
      <c r="E22" s="7"/>
      <c r="F22" s="7"/>
      <c r="G22" s="7"/>
      <c r="H22" s="7"/>
      <c r="I22" s="7"/>
      <c r="J22" s="1564"/>
      <c r="K22" s="7"/>
      <c r="L22" s="1563"/>
      <c r="M22" s="1564"/>
      <c r="O22" s="7"/>
      <c r="P22" s="7"/>
      <c r="Q22" s="1563"/>
      <c r="R22" s="1564"/>
    </row>
    <row r="23" spans="2:20">
      <c r="B23" s="1563"/>
      <c r="C23" s="7"/>
      <c r="D23" s="7"/>
      <c r="E23" s="7"/>
      <c r="F23" s="7"/>
      <c r="G23" s="7"/>
      <c r="H23" s="7"/>
      <c r="I23" s="7"/>
      <c r="J23" s="1564"/>
      <c r="K23" s="7"/>
      <c r="L23" s="1563"/>
      <c r="M23" s="1564"/>
      <c r="O23" s="7"/>
      <c r="P23" s="7"/>
      <c r="Q23" s="1563"/>
      <c r="R23" s="1564"/>
    </row>
    <row r="24" spans="2:20">
      <c r="B24" s="1563"/>
      <c r="C24" s="7"/>
      <c r="D24" s="7"/>
      <c r="E24" s="7"/>
      <c r="F24" s="7"/>
      <c r="G24" s="7"/>
      <c r="H24" s="7"/>
      <c r="I24" s="7"/>
      <c r="J24" s="1564"/>
      <c r="K24" s="7"/>
      <c r="L24" s="1563"/>
      <c r="M24" s="1564"/>
      <c r="O24" s="7"/>
      <c r="P24" s="7"/>
      <c r="Q24" s="1563"/>
      <c r="R24" s="1564"/>
    </row>
    <row r="25" spans="2:20">
      <c r="B25" s="1563"/>
      <c r="C25" s="7"/>
      <c r="D25" s="7"/>
      <c r="E25" s="7"/>
      <c r="F25" s="7"/>
      <c r="G25" s="7"/>
      <c r="H25" s="7"/>
      <c r="I25" s="7"/>
      <c r="J25" s="1564"/>
      <c r="K25" s="7"/>
      <c r="L25" s="1563"/>
      <c r="M25" s="1564"/>
      <c r="O25" s="7"/>
      <c r="P25" s="7"/>
      <c r="Q25" s="1563"/>
      <c r="R25" s="1564"/>
    </row>
    <row r="26" spans="2:20">
      <c r="B26" s="1563"/>
      <c r="C26" s="7"/>
      <c r="D26" s="7"/>
      <c r="E26" s="7"/>
      <c r="F26" s="7"/>
      <c r="G26" s="7"/>
      <c r="H26" s="7"/>
      <c r="I26" s="7"/>
      <c r="J26" s="1564"/>
      <c r="K26" s="7"/>
      <c r="L26" s="1563"/>
      <c r="M26" s="1564"/>
      <c r="O26" s="7"/>
      <c r="P26" s="7"/>
      <c r="Q26" s="1563"/>
      <c r="R26" s="1564"/>
      <c r="T26" t="s">
        <v>156</v>
      </c>
    </row>
    <row r="27" spans="2:20">
      <c r="B27" s="1563"/>
      <c r="C27" s="7"/>
      <c r="D27" s="7"/>
      <c r="E27" s="7"/>
      <c r="F27" s="7"/>
      <c r="G27" s="7"/>
      <c r="H27" s="7"/>
      <c r="I27" s="7"/>
      <c r="J27" s="1564"/>
      <c r="K27" s="7"/>
      <c r="L27" s="1563"/>
      <c r="M27" s="1564"/>
      <c r="O27" s="7"/>
      <c r="P27" s="7"/>
      <c r="Q27" s="1563"/>
      <c r="R27" s="1564"/>
      <c r="T27" t="s">
        <v>155</v>
      </c>
    </row>
    <row r="28" spans="2:20">
      <c r="B28" s="1563"/>
      <c r="C28" s="7"/>
      <c r="D28" s="7"/>
      <c r="E28" s="7"/>
      <c r="F28" s="7"/>
      <c r="G28" s="7"/>
      <c r="H28" s="7"/>
      <c r="I28" s="7"/>
      <c r="J28" s="1564"/>
      <c r="K28" s="7"/>
      <c r="L28" s="1563"/>
      <c r="M28" s="1564"/>
      <c r="O28" s="7"/>
      <c r="P28" s="7"/>
      <c r="Q28" s="1563"/>
      <c r="R28" s="1564"/>
      <c r="T28" t="s">
        <v>1220</v>
      </c>
    </row>
    <row r="29" spans="2:20">
      <c r="B29" s="1563"/>
      <c r="C29" s="7"/>
      <c r="D29" s="7"/>
      <c r="E29" s="7"/>
      <c r="F29" s="7"/>
      <c r="G29" s="7"/>
      <c r="H29" s="7"/>
      <c r="I29" s="7"/>
      <c r="J29" s="1564"/>
      <c r="K29" s="7"/>
      <c r="L29" s="1563"/>
      <c r="M29" s="1564"/>
      <c r="O29" s="7"/>
      <c r="P29" s="7"/>
      <c r="Q29" s="1563"/>
      <c r="R29" s="1564"/>
    </row>
    <row r="30" spans="2:20">
      <c r="B30" s="1563"/>
      <c r="C30" s="7"/>
      <c r="D30" s="7"/>
      <c r="E30" s="7"/>
      <c r="F30" s="7"/>
      <c r="G30" s="7"/>
      <c r="H30" s="7"/>
      <c r="I30" s="7"/>
      <c r="J30" s="1564"/>
      <c r="K30" s="7"/>
      <c r="L30" s="1563"/>
      <c r="M30" s="1564"/>
      <c r="O30" s="7"/>
      <c r="P30" s="7"/>
      <c r="Q30" s="1563"/>
      <c r="R30" s="1564"/>
    </row>
    <row r="31" spans="2:20">
      <c r="B31" s="1563"/>
      <c r="C31" s="7"/>
      <c r="D31" s="7"/>
      <c r="E31" s="7"/>
      <c r="F31" s="7"/>
      <c r="G31" s="7"/>
      <c r="H31" s="7"/>
      <c r="I31" s="7"/>
      <c r="J31" s="1564"/>
      <c r="K31" s="7"/>
      <c r="L31" s="1563"/>
      <c r="M31" s="1564"/>
      <c r="O31" s="7"/>
      <c r="P31" s="7"/>
      <c r="Q31" s="1563"/>
      <c r="R31" s="1564"/>
    </row>
    <row r="32" spans="2:20">
      <c r="B32" s="1563"/>
      <c r="C32" s="7"/>
      <c r="D32" s="7"/>
      <c r="E32" s="7"/>
      <c r="F32" s="7"/>
      <c r="G32" s="7"/>
      <c r="H32" s="7"/>
      <c r="I32" s="7"/>
      <c r="J32" s="1564"/>
      <c r="K32" s="7"/>
      <c r="L32" s="1563"/>
      <c r="M32" s="1564"/>
      <c r="O32" s="7"/>
      <c r="P32" s="7"/>
      <c r="Q32" s="1563"/>
      <c r="R32" s="1564"/>
    </row>
    <row r="33" spans="2:18">
      <c r="B33" s="1563"/>
      <c r="C33" s="7"/>
      <c r="D33" s="7"/>
      <c r="E33" s="7"/>
      <c r="F33" s="7"/>
      <c r="G33" s="7"/>
      <c r="H33" s="7"/>
      <c r="I33" s="7"/>
      <c r="J33" s="1564"/>
      <c r="K33" s="7"/>
      <c r="L33" s="1563"/>
      <c r="M33" s="1564"/>
      <c r="O33" s="7"/>
      <c r="P33" s="7"/>
      <c r="Q33" s="1563"/>
      <c r="R33" s="1564"/>
    </row>
    <row r="34" spans="2:18">
      <c r="B34" s="1563"/>
      <c r="C34" s="7"/>
      <c r="D34" s="7"/>
      <c r="E34" s="7"/>
      <c r="F34" s="7"/>
      <c r="G34" s="7"/>
      <c r="H34" s="7"/>
      <c r="I34" s="7"/>
      <c r="J34" s="1564"/>
      <c r="K34" s="7"/>
      <c r="L34" s="1563"/>
      <c r="M34" s="1564"/>
      <c r="O34" s="7"/>
      <c r="P34" s="7"/>
      <c r="Q34" s="1563"/>
      <c r="R34" s="1564"/>
    </row>
    <row r="35" spans="2:18">
      <c r="B35" s="1563"/>
      <c r="C35" s="7"/>
      <c r="D35" s="7"/>
      <c r="E35" s="7"/>
      <c r="F35" s="7"/>
      <c r="G35" s="7"/>
      <c r="H35" s="7"/>
      <c r="I35" s="7"/>
      <c r="J35" s="1564"/>
      <c r="K35" s="7"/>
      <c r="L35" s="1563"/>
      <c r="M35" s="1564"/>
      <c r="O35" s="7"/>
      <c r="P35" s="7"/>
      <c r="Q35" s="1563"/>
      <c r="R35" s="1564"/>
    </row>
    <row r="36" spans="2:18">
      <c r="B36" s="1563"/>
      <c r="C36" s="7"/>
      <c r="D36" s="7"/>
      <c r="E36" s="7"/>
      <c r="F36" s="7"/>
      <c r="G36" s="7"/>
      <c r="H36" s="7"/>
      <c r="I36" s="7"/>
      <c r="J36" s="1564"/>
      <c r="K36" s="7"/>
      <c r="L36" s="1563"/>
      <c r="M36" s="1564"/>
      <c r="O36" s="7"/>
      <c r="P36" s="7"/>
      <c r="Q36" s="1563"/>
      <c r="R36" s="1564"/>
    </row>
    <row r="37" spans="2:18" ht="14.4" thickBot="1">
      <c r="B37" s="1565"/>
      <c r="C37" s="1567"/>
      <c r="D37" s="1567"/>
      <c r="E37" s="1567"/>
      <c r="F37" s="1567"/>
      <c r="G37" s="1567"/>
      <c r="H37" s="1567"/>
      <c r="I37" s="1567"/>
      <c r="J37" s="1566"/>
      <c r="K37" s="7"/>
      <c r="L37" s="1565"/>
      <c r="M37" s="1566"/>
      <c r="O37" s="7"/>
      <c r="P37" s="7"/>
      <c r="Q37" s="1565"/>
      <c r="R37" s="1566"/>
    </row>
    <row r="38" spans="2:18">
      <c r="B38" s="7"/>
      <c r="C38" s="7"/>
      <c r="D38" s="7"/>
      <c r="E38" s="7"/>
      <c r="F38" s="7"/>
      <c r="G38" s="7"/>
      <c r="H38" s="7"/>
      <c r="I38" s="7"/>
      <c r="J38" s="7"/>
      <c r="K38" s="7"/>
      <c r="L38" s="7"/>
      <c r="M38" s="7"/>
      <c r="O38" s="7"/>
      <c r="P38" s="7"/>
      <c r="Q38" s="7"/>
      <c r="R38" s="7"/>
    </row>
    <row r="39" spans="2:18">
      <c r="B39" s="7"/>
      <c r="C39" s="7"/>
      <c r="D39" s="7"/>
      <c r="E39" s="7"/>
      <c r="F39" s="7"/>
      <c r="G39" s="7"/>
      <c r="H39" s="7"/>
      <c r="I39" s="7"/>
      <c r="J39" s="7"/>
      <c r="K39" s="7"/>
      <c r="L39" s="7"/>
      <c r="M39" s="7"/>
      <c r="O39" s="7"/>
      <c r="P39" s="7"/>
      <c r="Q39" s="7"/>
      <c r="R39" s="7"/>
    </row>
    <row r="40" spans="2:18">
      <c r="B40" s="7"/>
      <c r="C40" s="7"/>
      <c r="D40" s="7"/>
      <c r="E40" s="7"/>
      <c r="F40" s="7"/>
      <c r="G40" s="7"/>
      <c r="H40" s="7"/>
      <c r="I40" s="7"/>
      <c r="J40" s="7"/>
      <c r="K40" s="7"/>
      <c r="L40" s="7"/>
      <c r="M40" s="7"/>
      <c r="O40" s="7"/>
      <c r="P40" s="7"/>
      <c r="Q40" s="7"/>
      <c r="R40" s="7"/>
    </row>
    <row r="41" spans="2:18">
      <c r="B41" s="7"/>
      <c r="C41" s="7"/>
      <c r="D41" s="7"/>
      <c r="E41" s="7"/>
      <c r="F41" s="7"/>
      <c r="G41" s="7"/>
      <c r="H41" s="7"/>
      <c r="I41" s="7"/>
      <c r="J41" s="7"/>
      <c r="K41" s="7"/>
      <c r="L41" s="7"/>
      <c r="M41" s="7"/>
      <c r="O41" s="7"/>
      <c r="P41" s="7"/>
      <c r="Q41" s="7"/>
      <c r="R41" s="7"/>
    </row>
  </sheetData>
  <mergeCells count="8">
    <mergeCell ref="B20:J21"/>
    <mergeCell ref="L20:M21"/>
    <mergeCell ref="Q20:R21"/>
    <mergeCell ref="B2:R2"/>
    <mergeCell ref="B4:C5"/>
    <mergeCell ref="D4:E5"/>
    <mergeCell ref="F4:H5"/>
    <mergeCell ref="I4:R5"/>
  </mergeCells>
  <phoneticPr fontId="14"/>
  <pageMargins left="0.7" right="0.7" top="0.75" bottom="0.75" header="0.3" footer="0.3"/>
  <pageSetup paperSize="9" scale="7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pageSetUpPr fitToPage="1"/>
  </sheetPr>
  <dimension ref="A1:AE39"/>
  <sheetViews>
    <sheetView showGridLines="0" view="pageBreakPreview" zoomScale="85" zoomScaleNormal="85" zoomScaleSheetLayoutView="85" workbookViewId="0">
      <selection activeCell="S20" sqref="S20"/>
    </sheetView>
  </sheetViews>
  <sheetFormatPr defaultRowHeight="13.8"/>
  <cols>
    <col min="1" max="1" width="10.8984375" style="748" customWidth="1"/>
    <col min="2" max="3" width="19.8984375" customWidth="1"/>
    <col min="4" max="4" width="5.59765625" customWidth="1"/>
    <col min="5" max="5" width="36.09765625" style="5" customWidth="1"/>
    <col min="6" max="6" width="12.19921875" style="13" bestFit="1" customWidth="1"/>
    <col min="7" max="7" width="8.59765625" style="13" customWidth="1"/>
    <col min="8" max="8" width="5.59765625" style="13" customWidth="1"/>
    <col min="9" max="12" width="5.59765625" customWidth="1"/>
    <col min="13" max="13" width="14.09765625" style="4" customWidth="1"/>
    <col min="14" max="14" width="65.3984375" bestFit="1" customWidth="1"/>
    <col min="15" max="15" width="7.69921875" style="200" bestFit="1" customWidth="1"/>
  </cols>
  <sheetData>
    <row r="1" spans="1:31">
      <c r="A1" s="835" t="s">
        <v>1053</v>
      </c>
      <c r="B1" s="835"/>
      <c r="C1" s="835"/>
      <c r="D1" s="835"/>
      <c r="E1" s="835"/>
      <c r="F1" s="835"/>
      <c r="G1" s="835"/>
      <c r="H1" s="835"/>
      <c r="I1" s="835"/>
      <c r="J1" s="835"/>
      <c r="K1" s="835"/>
      <c r="L1" s="835"/>
      <c r="M1" s="835"/>
      <c r="N1" s="835"/>
      <c r="O1" s="835"/>
    </row>
    <row r="2" spans="1:31" ht="30" customHeight="1">
      <c r="A2" s="2013" t="s">
        <v>5</v>
      </c>
      <c r="B2" s="1993"/>
      <c r="C2" s="1993"/>
      <c r="D2" s="1993"/>
      <c r="E2" s="1993"/>
      <c r="F2" s="2006" t="s">
        <v>1391</v>
      </c>
      <c r="G2" s="2006"/>
      <c r="H2" s="2009"/>
      <c r="I2" s="2009"/>
      <c r="J2" s="2009"/>
      <c r="K2" s="2009"/>
      <c r="L2" s="2009"/>
      <c r="M2" s="904" t="s">
        <v>1187</v>
      </c>
      <c r="N2" s="838" t="s">
        <v>1393</v>
      </c>
      <c r="O2" s="955"/>
    </row>
    <row r="3" spans="1:31" ht="30" customHeight="1">
      <c r="A3" s="2014"/>
      <c r="B3" s="1993"/>
      <c r="C3" s="1993"/>
      <c r="D3" s="1993"/>
      <c r="E3" s="1993"/>
      <c r="F3" s="2006" t="s">
        <v>1371</v>
      </c>
      <c r="G3" s="2006"/>
      <c r="H3" s="2009"/>
      <c r="I3" s="2009"/>
      <c r="J3" s="2009"/>
      <c r="K3" s="2009"/>
      <c r="L3" s="2009"/>
      <c r="M3" s="35"/>
      <c r="N3" s="7"/>
      <c r="O3" s="839"/>
    </row>
    <row r="4" spans="1:31" ht="30" customHeight="1">
      <c r="A4" s="2013" t="s">
        <v>38</v>
      </c>
      <c r="B4" s="1993"/>
      <c r="C4" s="1993"/>
      <c r="D4" s="1993"/>
      <c r="E4" s="1993"/>
      <c r="F4" s="2007" t="s">
        <v>1392</v>
      </c>
      <c r="G4" s="2007"/>
      <c r="H4" s="2009"/>
      <c r="I4" s="2009"/>
      <c r="J4" s="2009"/>
      <c r="K4" s="2009"/>
      <c r="L4" s="2009"/>
      <c r="M4" s="35"/>
      <c r="N4" s="7"/>
      <c r="O4" s="839"/>
    </row>
    <row r="5" spans="1:31" ht="30" customHeight="1">
      <c r="A5" s="2014"/>
      <c r="B5" s="1993"/>
      <c r="C5" s="1993"/>
      <c r="D5" s="1993"/>
      <c r="E5" s="1993"/>
      <c r="F5" s="2008" t="s">
        <v>1372</v>
      </c>
      <c r="G5" s="2008"/>
      <c r="H5" s="2009"/>
      <c r="I5" s="2009"/>
      <c r="J5" s="2009"/>
      <c r="K5" s="2009"/>
      <c r="L5" s="2009"/>
      <c r="M5" s="35"/>
      <c r="N5" s="7"/>
      <c r="O5" s="839"/>
    </row>
    <row r="6" spans="1:31" ht="60" customHeight="1">
      <c r="A6" s="908" t="s">
        <v>1227</v>
      </c>
      <c r="B6" s="2004" t="s">
        <v>1091</v>
      </c>
      <c r="C6" s="2005"/>
      <c r="D6" s="1323" t="s">
        <v>1407</v>
      </c>
      <c r="E6" s="82" t="s">
        <v>64</v>
      </c>
      <c r="F6" s="2001" t="s">
        <v>65</v>
      </c>
      <c r="G6" s="2002"/>
      <c r="H6" s="2003"/>
      <c r="I6" s="1038" t="s">
        <v>66</v>
      </c>
      <c r="J6" s="1038" t="s">
        <v>1376</v>
      </c>
      <c r="K6" s="1372" t="s">
        <v>1377</v>
      </c>
      <c r="L6" s="1372" t="s">
        <v>1375</v>
      </c>
      <c r="M6" s="971" t="s">
        <v>1378</v>
      </c>
      <c r="N6" s="971" t="s">
        <v>1387</v>
      </c>
      <c r="O6" s="1322" t="s">
        <v>1379</v>
      </c>
    </row>
    <row r="7" spans="1:31" s="123" customFormat="1" ht="24.6" customHeight="1">
      <c r="A7" s="932" t="s">
        <v>1594</v>
      </c>
      <c r="B7" s="1985" t="s">
        <v>1399</v>
      </c>
      <c r="C7" s="1986"/>
      <c r="D7" s="943"/>
      <c r="E7" s="956" t="s">
        <v>236</v>
      </c>
      <c r="F7" s="964" t="s">
        <v>1602</v>
      </c>
      <c r="G7" s="965"/>
      <c r="H7" s="966"/>
      <c r="I7" s="119"/>
      <c r="J7" s="119"/>
      <c r="K7" s="119"/>
      <c r="L7" s="120"/>
      <c r="M7" s="121"/>
      <c r="N7" s="187" t="s">
        <v>1373</v>
      </c>
      <c r="O7" s="936" t="s">
        <v>1106</v>
      </c>
      <c r="P7" s="1969" t="s">
        <v>1254</v>
      </c>
      <c r="Q7" s="1969"/>
      <c r="R7" s="1969"/>
      <c r="S7" s="1969"/>
      <c r="T7" s="1969"/>
      <c r="U7" s="1969"/>
      <c r="V7" s="1969"/>
      <c r="W7" s="1969"/>
      <c r="X7" s="1969"/>
      <c r="Y7" s="1969"/>
      <c r="Z7" s="1969"/>
      <c r="AA7" s="1969"/>
      <c r="AB7" s="1969"/>
      <c r="AC7" s="1969"/>
      <c r="AD7" s="1969"/>
      <c r="AE7" s="1969"/>
    </row>
    <row r="8" spans="1:31" s="123" customFormat="1" ht="79.8">
      <c r="A8" s="2010" t="s">
        <v>1077</v>
      </c>
      <c r="B8" s="1994" t="s">
        <v>238</v>
      </c>
      <c r="C8" s="1265" t="s">
        <v>1328</v>
      </c>
      <c r="D8" s="939"/>
      <c r="E8" s="962" t="s">
        <v>239</v>
      </c>
      <c r="F8" s="949" t="s">
        <v>1597</v>
      </c>
      <c r="G8" s="950"/>
      <c r="H8" s="951"/>
      <c r="I8" s="129"/>
      <c r="J8" s="129"/>
      <c r="K8" s="129"/>
      <c r="L8" s="130"/>
      <c r="M8" s="669" t="s">
        <v>1593</v>
      </c>
      <c r="N8" s="1968" t="s">
        <v>1688</v>
      </c>
      <c r="O8" s="936" t="str">
        <f>HYPERLINK(VLOOKUP(F8,LINK,2,FALSE),VLOOKUP(F8,LINK,3,FALSE))</f>
        <v>EXCEL</v>
      </c>
      <c r="P8" s="2027" t="s">
        <v>1692</v>
      </c>
      <c r="Q8" s="2028"/>
      <c r="R8" s="2028"/>
      <c r="S8" s="2028"/>
      <c r="T8" s="2028"/>
      <c r="U8" s="2028"/>
      <c r="V8" s="2028"/>
      <c r="W8" s="2028"/>
      <c r="X8" s="2028"/>
      <c r="Y8" s="2028"/>
      <c r="Z8" s="2028"/>
      <c r="AA8" s="2028"/>
      <c r="AB8" s="2028"/>
      <c r="AC8" s="2028"/>
      <c r="AD8" s="2028"/>
      <c r="AE8" s="2028"/>
    </row>
    <row r="9" spans="1:31" s="123" customFormat="1" ht="24" customHeight="1">
      <c r="A9" s="2011"/>
      <c r="B9" s="1994"/>
      <c r="C9" s="1994" t="s">
        <v>1051</v>
      </c>
      <c r="D9" s="941"/>
      <c r="E9" s="133" t="s">
        <v>3</v>
      </c>
      <c r="F9" s="952" t="s">
        <v>1600</v>
      </c>
      <c r="G9" s="953"/>
      <c r="H9" s="954"/>
      <c r="I9" s="137"/>
      <c r="J9" s="137"/>
      <c r="K9" s="137"/>
      <c r="L9" s="138"/>
      <c r="M9" s="2031" t="s">
        <v>1380</v>
      </c>
      <c r="N9" s="2033" t="s">
        <v>1691</v>
      </c>
      <c r="O9" s="2029" t="e">
        <f>HYPERLINK(VLOOKUP(F9,LINK,2,FALSE),VLOOKUP(F9,LINK,3,FALSE))</f>
        <v>#N/A</v>
      </c>
      <c r="P9" s="1970" t="s">
        <v>1689</v>
      </c>
      <c r="Q9" s="1969"/>
      <c r="R9" s="1969"/>
      <c r="S9" s="1969"/>
      <c r="T9" s="1969"/>
      <c r="U9" s="1969"/>
      <c r="V9" s="1969"/>
      <c r="W9" s="1969"/>
      <c r="X9" s="1969"/>
      <c r="Y9" s="1969"/>
      <c r="Z9" s="1969"/>
      <c r="AA9" s="1969"/>
      <c r="AB9" s="1969"/>
      <c r="AC9" s="1969"/>
      <c r="AD9" s="1969"/>
      <c r="AE9" s="1969"/>
    </row>
    <row r="10" spans="1:31" s="123" customFormat="1" ht="24" customHeight="1">
      <c r="A10" s="2012"/>
      <c r="B10" s="1994"/>
      <c r="C10" s="1994"/>
      <c r="D10" s="942"/>
      <c r="E10" s="142" t="s">
        <v>106</v>
      </c>
      <c r="F10" s="946" t="s">
        <v>1601</v>
      </c>
      <c r="G10" s="947"/>
      <c r="H10" s="948"/>
      <c r="I10" s="1780"/>
      <c r="J10" s="995"/>
      <c r="K10" s="995"/>
      <c r="L10" s="147"/>
      <c r="M10" s="2032"/>
      <c r="N10" s="2034"/>
      <c r="O10" s="2030"/>
      <c r="P10" s="1970" t="s">
        <v>1690</v>
      </c>
      <c r="Q10" s="1969"/>
      <c r="R10" s="1969"/>
      <c r="S10" s="1969"/>
      <c r="T10" s="1969"/>
      <c r="U10" s="1969"/>
      <c r="V10" s="1969"/>
      <c r="W10" s="1969"/>
      <c r="X10" s="1969"/>
      <c r="Y10" s="1969"/>
      <c r="Z10" s="1969"/>
      <c r="AA10" s="1969"/>
      <c r="AB10" s="1969"/>
      <c r="AC10" s="1969"/>
      <c r="AD10" s="1969"/>
      <c r="AE10" s="1969"/>
    </row>
    <row r="11" spans="1:31" s="123" customFormat="1" ht="24.6" customHeight="1">
      <c r="A11" s="2010" t="s">
        <v>1098</v>
      </c>
      <c r="B11" s="1987" t="s">
        <v>1079</v>
      </c>
      <c r="C11" s="1988"/>
      <c r="D11" s="939"/>
      <c r="E11" s="167" t="s">
        <v>1383</v>
      </c>
      <c r="F11" s="2035" t="s">
        <v>1603</v>
      </c>
      <c r="G11" s="2036"/>
      <c r="H11" s="2037"/>
      <c r="I11" s="1780"/>
      <c r="J11" s="152"/>
      <c r="K11" s="152"/>
      <c r="L11" s="153"/>
      <c r="M11" s="1324" t="s">
        <v>1381</v>
      </c>
      <c r="N11" s="1221" t="s">
        <v>1384</v>
      </c>
      <c r="O11" s="936" t="e">
        <f>HYPERLINK(VLOOKUP(F11,LINK,2,FALSE),VLOOKUP(F11,LINK,3,FALSE))</f>
        <v>#N/A</v>
      </c>
      <c r="P11" s="1969"/>
      <c r="Q11" s="1969"/>
      <c r="R11" s="1969"/>
      <c r="S11" s="1969"/>
      <c r="T11" s="1969"/>
      <c r="U11" s="1969"/>
      <c r="V11" s="1969"/>
      <c r="W11" s="1969"/>
      <c r="X11" s="1969"/>
      <c r="Y11" s="1969"/>
      <c r="Z11" s="1969"/>
      <c r="AA11" s="1969"/>
      <c r="AB11" s="1969"/>
      <c r="AC11" s="1969"/>
      <c r="AD11" s="1969"/>
      <c r="AE11" s="1969"/>
    </row>
    <row r="12" spans="1:31" s="123" customFormat="1" ht="24.6" customHeight="1">
      <c r="A12" s="2011"/>
      <c r="B12" s="1989"/>
      <c r="C12" s="1990"/>
      <c r="D12" s="941"/>
      <c r="E12" s="154" t="s">
        <v>240</v>
      </c>
      <c r="F12" s="155" t="s">
        <v>201</v>
      </c>
      <c r="G12" s="156"/>
      <c r="H12" s="157"/>
      <c r="I12" s="158"/>
      <c r="J12" s="158"/>
      <c r="K12" s="158"/>
      <c r="L12" s="159"/>
      <c r="M12" s="2038" t="s">
        <v>1382</v>
      </c>
      <c r="N12" s="1222" t="s">
        <v>1385</v>
      </c>
      <c r="O12" s="2029" t="str">
        <f>HYPERLINK(VLOOKUP(F12,LINK,2,FALSE),VLOOKUP(F12,LINK,3,FALSE))</f>
        <v>ACCESS</v>
      </c>
      <c r="P12" s="1969"/>
      <c r="Q12" s="1969"/>
      <c r="R12" s="1969"/>
      <c r="S12" s="1969"/>
      <c r="T12" s="1969"/>
      <c r="U12" s="1969"/>
      <c r="V12" s="1969"/>
      <c r="W12" s="1969"/>
      <c r="X12" s="1969"/>
      <c r="Y12" s="1969"/>
      <c r="Z12" s="1969"/>
      <c r="AA12" s="1969"/>
      <c r="AB12" s="1969"/>
      <c r="AC12" s="1969"/>
      <c r="AD12" s="1969"/>
      <c r="AE12" s="1969"/>
    </row>
    <row r="13" spans="1:31" s="123" customFormat="1" ht="24.6" customHeight="1">
      <c r="A13" s="2012"/>
      <c r="B13" s="1991"/>
      <c r="C13" s="1992"/>
      <c r="D13" s="942"/>
      <c r="E13" s="160" t="s">
        <v>1595</v>
      </c>
      <c r="F13" s="161" t="s">
        <v>1596</v>
      </c>
      <c r="G13" s="162"/>
      <c r="H13" s="163"/>
      <c r="I13" s="164"/>
      <c r="J13" s="164"/>
      <c r="K13" s="164"/>
      <c r="L13" s="165"/>
      <c r="M13" s="2039"/>
      <c r="N13" s="166"/>
      <c r="O13" s="2030"/>
      <c r="P13" s="1969"/>
      <c r="Q13" s="1969"/>
      <c r="R13" s="1969"/>
      <c r="S13" s="1969"/>
      <c r="T13" s="1969"/>
      <c r="U13" s="1969"/>
      <c r="V13" s="1969"/>
      <c r="W13" s="1969"/>
      <c r="X13" s="1969"/>
      <c r="Y13" s="1969"/>
      <c r="Z13" s="1969"/>
      <c r="AA13" s="1969"/>
      <c r="AB13" s="1969"/>
      <c r="AC13" s="1969"/>
      <c r="AD13" s="1969"/>
      <c r="AE13" s="1969"/>
    </row>
    <row r="14" spans="1:31" s="123" customFormat="1" ht="24.6" customHeight="1">
      <c r="A14" s="2015" t="s">
        <v>1078</v>
      </c>
      <c r="B14" s="1987" t="s">
        <v>244</v>
      </c>
      <c r="C14" s="1988"/>
      <c r="D14" s="939"/>
      <c r="E14" s="167" t="s">
        <v>1386</v>
      </c>
      <c r="F14" s="2035" t="s">
        <v>1603</v>
      </c>
      <c r="G14" s="2036"/>
      <c r="H14" s="2037"/>
      <c r="I14" s="1780"/>
      <c r="J14" s="152"/>
      <c r="K14" s="152"/>
      <c r="L14" s="153"/>
      <c r="M14" s="1324" t="s">
        <v>1381</v>
      </c>
      <c r="N14" s="1221" t="s">
        <v>1384</v>
      </c>
      <c r="O14" s="936" t="e">
        <f>HYPERLINK(VLOOKUP(F14,LINK,2,FALSE),VLOOKUP(F14,LINK,3,FALSE))</f>
        <v>#N/A</v>
      </c>
      <c r="P14" s="1971" t="s">
        <v>157</v>
      </c>
      <c r="Q14" s="1969"/>
      <c r="R14" s="1969"/>
      <c r="S14" s="1969"/>
      <c r="T14" s="1969"/>
      <c r="U14" s="1969"/>
      <c r="V14" s="1969"/>
      <c r="W14" s="1969"/>
      <c r="X14" s="1969"/>
      <c r="Y14" s="1969"/>
      <c r="Z14" s="1969"/>
      <c r="AA14" s="1969"/>
      <c r="AB14" s="1969"/>
      <c r="AC14" s="1969"/>
      <c r="AD14" s="1969"/>
      <c r="AE14" s="1969"/>
    </row>
    <row r="15" spans="1:31" s="123" customFormat="1" ht="24.6" customHeight="1">
      <c r="A15" s="2011"/>
      <c r="B15" s="1989"/>
      <c r="C15" s="1990"/>
      <c r="D15" s="941"/>
      <c r="E15" s="154" t="s">
        <v>240</v>
      </c>
      <c r="F15" s="155" t="s">
        <v>201</v>
      </c>
      <c r="G15" s="156"/>
      <c r="H15" s="157"/>
      <c r="I15" s="158"/>
      <c r="J15" s="158"/>
      <c r="K15" s="158"/>
      <c r="L15" s="159"/>
      <c r="M15" s="2038" t="s">
        <v>1382</v>
      </c>
      <c r="N15" s="1222" t="s">
        <v>1385</v>
      </c>
      <c r="O15" s="2029" t="str">
        <f>HYPERLINK(VLOOKUP(F15,LINK,2,FALSE),VLOOKUP(F15,LINK,3,FALSE))</f>
        <v>ACCESS</v>
      </c>
      <c r="P15" s="1969"/>
      <c r="Q15" s="1969"/>
      <c r="R15" s="1969"/>
      <c r="S15" s="1969"/>
      <c r="T15" s="1969"/>
      <c r="U15" s="1969"/>
      <c r="V15" s="1969"/>
      <c r="W15" s="1969"/>
      <c r="X15" s="1969"/>
      <c r="Y15" s="1969"/>
      <c r="Z15" s="1969"/>
      <c r="AA15" s="1969"/>
      <c r="AB15" s="1969"/>
      <c r="AC15" s="1969"/>
      <c r="AD15" s="1969"/>
      <c r="AE15" s="1969"/>
    </row>
    <row r="16" spans="1:31" s="123" customFormat="1" ht="24.6" customHeight="1">
      <c r="A16" s="2012"/>
      <c r="B16" s="1991"/>
      <c r="C16" s="1992"/>
      <c r="D16" s="942"/>
      <c r="E16" s="160" t="s">
        <v>242</v>
      </c>
      <c r="F16" s="161" t="s">
        <v>1596</v>
      </c>
      <c r="G16" s="162"/>
      <c r="H16" s="163"/>
      <c r="I16" s="164"/>
      <c r="J16" s="164"/>
      <c r="K16" s="164"/>
      <c r="L16" s="165"/>
      <c r="M16" s="2039"/>
      <c r="N16" s="166"/>
      <c r="O16" s="2030"/>
      <c r="P16" s="1969"/>
      <c r="Q16" s="1969"/>
      <c r="R16" s="1969"/>
      <c r="S16" s="1969"/>
      <c r="T16" s="1969"/>
      <c r="U16" s="1969"/>
      <c r="V16" s="1969"/>
      <c r="W16" s="1969"/>
      <c r="X16" s="1969"/>
      <c r="Y16" s="1969"/>
      <c r="Z16" s="1969"/>
      <c r="AA16" s="1969"/>
      <c r="AB16" s="1969"/>
      <c r="AC16" s="1969"/>
      <c r="AD16" s="1969"/>
      <c r="AE16" s="1969"/>
    </row>
    <row r="17" spans="1:31" s="123" customFormat="1" ht="24.6" customHeight="1">
      <c r="A17" s="2010" t="s">
        <v>1080</v>
      </c>
      <c r="B17" s="1989" t="s">
        <v>1394</v>
      </c>
      <c r="C17" s="1990"/>
      <c r="D17" s="940"/>
      <c r="E17" s="148" t="s">
        <v>245</v>
      </c>
      <c r="F17" s="949" t="s">
        <v>246</v>
      </c>
      <c r="G17" s="950"/>
      <c r="H17" s="951"/>
      <c r="I17" s="1894"/>
      <c r="J17" s="129"/>
      <c r="K17" s="129"/>
      <c r="L17" s="130"/>
      <c r="M17" s="131"/>
      <c r="N17" s="171" t="s">
        <v>1654</v>
      </c>
      <c r="O17" s="2018" t="s">
        <v>1241</v>
      </c>
      <c r="P17" s="1969"/>
      <c r="Q17" s="1969"/>
      <c r="R17" s="1969"/>
      <c r="S17" s="1969"/>
      <c r="T17" s="1969"/>
      <c r="U17" s="1969"/>
      <c r="V17" s="1969"/>
      <c r="W17" s="1969"/>
      <c r="X17" s="1969"/>
      <c r="Y17" s="1969"/>
      <c r="Z17" s="1969"/>
      <c r="AA17" s="1969"/>
      <c r="AB17" s="1969"/>
      <c r="AC17" s="1969"/>
      <c r="AD17" s="1969"/>
      <c r="AE17" s="1969"/>
    </row>
    <row r="18" spans="1:31" s="123" customFormat="1" ht="24.6" customHeight="1">
      <c r="A18" s="2011"/>
      <c r="B18" s="1989"/>
      <c r="C18" s="1990"/>
      <c r="D18" s="940"/>
      <c r="E18" s="133" t="s">
        <v>245</v>
      </c>
      <c r="F18" s="952" t="s">
        <v>246</v>
      </c>
      <c r="G18" s="953"/>
      <c r="H18" s="954"/>
      <c r="I18" s="1209"/>
      <c r="J18" s="137"/>
      <c r="K18" s="137"/>
      <c r="L18" s="138"/>
      <c r="M18" s="139"/>
      <c r="N18" s="171" t="s">
        <v>1654</v>
      </c>
      <c r="O18" s="2019"/>
      <c r="P18" s="1969"/>
      <c r="Q18" s="1969"/>
      <c r="R18" s="1969"/>
      <c r="S18" s="1969"/>
      <c r="T18" s="1969"/>
      <c r="U18" s="1969"/>
      <c r="V18" s="1969"/>
      <c r="W18" s="1969"/>
      <c r="X18" s="1969"/>
      <c r="Y18" s="1969"/>
      <c r="Z18" s="1969"/>
      <c r="AA18" s="1969"/>
      <c r="AB18" s="1969"/>
      <c r="AC18" s="1969"/>
      <c r="AD18" s="1969"/>
      <c r="AE18" s="1969"/>
    </row>
    <row r="19" spans="1:31" s="123" customFormat="1" ht="24.6" customHeight="1">
      <c r="A19" s="2011"/>
      <c r="B19" s="1989"/>
      <c r="C19" s="1990"/>
      <c r="D19" s="940"/>
      <c r="E19" s="987" t="s">
        <v>58</v>
      </c>
      <c r="F19" s="723" t="s">
        <v>191</v>
      </c>
      <c r="G19" s="724"/>
      <c r="H19" s="721"/>
      <c r="I19" s="1895"/>
      <c r="J19" s="218"/>
      <c r="K19" s="218"/>
      <c r="L19" s="219"/>
      <c r="M19" s="834"/>
      <c r="N19" s="171"/>
      <c r="O19" s="2019"/>
      <c r="P19" s="1969"/>
      <c r="Q19" s="1969"/>
      <c r="R19" s="1969"/>
      <c r="S19" s="1969"/>
      <c r="T19" s="1969"/>
      <c r="U19" s="1969"/>
      <c r="V19" s="1969"/>
      <c r="W19" s="1969"/>
      <c r="X19" s="1969"/>
      <c r="Y19" s="1969"/>
      <c r="Z19" s="1969"/>
      <c r="AA19" s="1969"/>
      <c r="AB19" s="1969"/>
      <c r="AC19" s="1969"/>
      <c r="AD19" s="1969"/>
      <c r="AE19" s="1969"/>
    </row>
    <row r="20" spans="1:31" s="123" customFormat="1" ht="24.6" customHeight="1">
      <c r="A20" s="2012"/>
      <c r="B20" s="1991"/>
      <c r="C20" s="1992"/>
      <c r="D20" s="940"/>
      <c r="E20" s="994" t="s">
        <v>58</v>
      </c>
      <c r="F20" s="983" t="s">
        <v>247</v>
      </c>
      <c r="G20" s="984"/>
      <c r="H20" s="985"/>
      <c r="I20" s="1210"/>
      <c r="J20" s="174"/>
      <c r="K20" s="174"/>
      <c r="L20" s="175"/>
      <c r="M20" s="176"/>
      <c r="N20" s="171"/>
      <c r="O20" s="2020"/>
      <c r="P20" s="1969"/>
      <c r="Q20" s="1969"/>
      <c r="R20" s="1969"/>
      <c r="S20" s="1969"/>
      <c r="T20" s="1969"/>
      <c r="U20" s="1969"/>
      <c r="V20" s="1969"/>
      <c r="W20" s="1969"/>
      <c r="X20" s="1969"/>
      <c r="Y20" s="1969"/>
      <c r="Z20" s="1969"/>
      <c r="AA20" s="1969"/>
      <c r="AB20" s="1969"/>
      <c r="AC20" s="1969"/>
      <c r="AD20" s="1969"/>
      <c r="AE20" s="1969"/>
    </row>
    <row r="21" spans="1:31" s="123" customFormat="1" ht="24.6" customHeight="1">
      <c r="A21" s="2016" t="s">
        <v>1117</v>
      </c>
      <c r="B21" s="1995" t="s">
        <v>1258</v>
      </c>
      <c r="C21" s="1998" t="s">
        <v>1416</v>
      </c>
      <c r="D21" s="188"/>
      <c r="E21" s="148" t="s">
        <v>433</v>
      </c>
      <c r="F21" s="1388" t="s">
        <v>434</v>
      </c>
      <c r="G21" s="1389"/>
      <c r="H21" s="1390"/>
      <c r="I21" s="188"/>
      <c r="J21" s="188"/>
      <c r="K21" s="188"/>
      <c r="L21" s="188"/>
      <c r="M21" s="188"/>
      <c r="N21" s="188"/>
      <c r="O21" s="2018" t="s">
        <v>1417</v>
      </c>
      <c r="P21" s="1969"/>
      <c r="Q21" s="1969"/>
      <c r="R21" s="1969"/>
      <c r="S21" s="1969"/>
      <c r="T21" s="1969"/>
      <c r="U21" s="1969"/>
      <c r="V21" s="1969"/>
      <c r="W21" s="1969"/>
      <c r="X21" s="1969"/>
      <c r="Y21" s="1969"/>
      <c r="Z21" s="1969"/>
      <c r="AA21" s="1969"/>
      <c r="AB21" s="1969"/>
      <c r="AC21" s="1969"/>
      <c r="AD21" s="1969"/>
      <c r="AE21" s="1969"/>
    </row>
    <row r="22" spans="1:31" s="123" customFormat="1" ht="24.6" customHeight="1">
      <c r="A22" s="2017"/>
      <c r="B22" s="1996"/>
      <c r="C22" s="1999"/>
      <c r="D22" s="428"/>
      <c r="E22" s="133" t="s">
        <v>1116</v>
      </c>
      <c r="F22" s="1391" t="s">
        <v>372</v>
      </c>
      <c r="G22" s="1392"/>
      <c r="H22" s="1393"/>
      <c r="I22" s="1737"/>
      <c r="J22" s="1737"/>
      <c r="K22" s="1737"/>
      <c r="L22" s="1737"/>
      <c r="M22" s="1737"/>
      <c r="N22" s="1737"/>
      <c r="O22" s="2019"/>
      <c r="P22" s="1969"/>
      <c r="Q22" s="1969"/>
      <c r="R22" s="1969"/>
      <c r="S22" s="1969"/>
      <c r="T22" s="1969"/>
      <c r="U22" s="1969"/>
      <c r="V22" s="1969"/>
      <c r="W22" s="1969"/>
      <c r="X22" s="1969"/>
      <c r="Y22" s="1969"/>
      <c r="Z22" s="1969"/>
      <c r="AA22" s="1969"/>
      <c r="AB22" s="1969"/>
      <c r="AC22" s="1969"/>
      <c r="AD22" s="1969"/>
      <c r="AE22" s="1969"/>
    </row>
    <row r="23" spans="1:31" s="123" customFormat="1" ht="24.6" customHeight="1">
      <c r="A23" s="2017"/>
      <c r="B23" s="1996"/>
      <c r="C23" s="1999"/>
      <c r="D23" s="1737"/>
      <c r="E23" s="133" t="s">
        <v>404</v>
      </c>
      <c r="F23" s="1391" t="s">
        <v>405</v>
      </c>
      <c r="G23" s="1392"/>
      <c r="H23" s="1393"/>
      <c r="I23" s="1737"/>
      <c r="J23" s="1737"/>
      <c r="K23" s="1737"/>
      <c r="L23" s="1737"/>
      <c r="M23" s="1737"/>
      <c r="N23" s="1737"/>
      <c r="O23" s="2019"/>
      <c r="P23" s="1969"/>
      <c r="Q23" s="1969"/>
      <c r="R23" s="1969"/>
      <c r="S23" s="1969"/>
      <c r="T23" s="1969"/>
      <c r="U23" s="1969"/>
      <c r="V23" s="1969"/>
      <c r="W23" s="1969"/>
      <c r="X23" s="1969"/>
      <c r="Y23" s="1969"/>
      <c r="Z23" s="1969"/>
      <c r="AA23" s="1969"/>
      <c r="AB23" s="1969"/>
      <c r="AC23" s="1969"/>
      <c r="AD23" s="1969"/>
      <c r="AE23" s="1969"/>
    </row>
    <row r="24" spans="1:31" s="123" customFormat="1" ht="24.6" customHeight="1">
      <c r="A24" s="2017"/>
      <c r="B24" s="1996"/>
      <c r="C24" s="1999"/>
      <c r="D24" s="1045"/>
      <c r="E24" s="1487" t="s">
        <v>406</v>
      </c>
      <c r="F24" s="2021" t="s">
        <v>438</v>
      </c>
      <c r="G24" s="2022"/>
      <c r="H24" s="2023"/>
      <c r="I24" s="1045"/>
      <c r="J24" s="1045"/>
      <c r="K24" s="1045"/>
      <c r="L24" s="1045"/>
      <c r="M24" s="1045"/>
      <c r="N24" s="1737" t="s">
        <v>1421</v>
      </c>
      <c r="O24" s="2019"/>
      <c r="P24" s="1969"/>
      <c r="Q24" s="1969"/>
      <c r="R24" s="1969"/>
      <c r="S24" s="1969"/>
      <c r="T24" s="1969"/>
      <c r="U24" s="1969"/>
      <c r="V24" s="1969"/>
      <c r="W24" s="1969"/>
      <c r="X24" s="1969"/>
      <c r="Y24" s="1969"/>
      <c r="Z24" s="1969"/>
      <c r="AA24" s="1969"/>
      <c r="AB24" s="1969"/>
      <c r="AC24" s="1969"/>
      <c r="AD24" s="1969"/>
      <c r="AE24" s="1969"/>
    </row>
    <row r="25" spans="1:31" s="123" customFormat="1" ht="24.6" customHeight="1">
      <c r="A25" s="2017"/>
      <c r="B25" s="1996"/>
      <c r="C25" s="1999"/>
      <c r="D25" s="698"/>
      <c r="E25" s="1487" t="s">
        <v>407</v>
      </c>
      <c r="F25" s="2024" t="s">
        <v>1420</v>
      </c>
      <c r="G25" s="2025"/>
      <c r="H25" s="2026"/>
      <c r="I25" s="698"/>
      <c r="J25" s="698"/>
      <c r="K25" s="698"/>
      <c r="L25" s="698"/>
      <c r="M25" s="698"/>
      <c r="N25" s="796" t="s">
        <v>1421</v>
      </c>
      <c r="O25" s="2019"/>
      <c r="P25" s="1969"/>
      <c r="Q25" s="1969"/>
      <c r="R25" s="1969"/>
      <c r="S25" s="1969"/>
      <c r="T25" s="1969"/>
      <c r="U25" s="1969"/>
      <c r="V25" s="1969"/>
      <c r="W25" s="1969"/>
      <c r="X25" s="1969"/>
      <c r="Y25" s="1969"/>
      <c r="Z25" s="1969"/>
      <c r="AA25" s="1969"/>
      <c r="AB25" s="1969"/>
      <c r="AC25" s="1969"/>
      <c r="AD25" s="1969"/>
      <c r="AE25" s="1969"/>
    </row>
    <row r="26" spans="1:31" s="123" customFormat="1" ht="24.6" customHeight="1">
      <c r="A26" s="2017"/>
      <c r="B26" s="1997"/>
      <c r="C26" s="2000"/>
      <c r="D26" s="1738"/>
      <c r="E26" s="1781" t="s">
        <v>750</v>
      </c>
      <c r="F26" s="1394" t="s">
        <v>408</v>
      </c>
      <c r="G26" s="1395"/>
      <c r="H26" s="1396"/>
      <c r="I26" s="1738"/>
      <c r="J26" s="1738"/>
      <c r="K26" s="1738"/>
      <c r="L26" s="1738"/>
      <c r="M26" s="1738"/>
      <c r="N26" s="1738" t="s">
        <v>1418</v>
      </c>
      <c r="O26" s="2020"/>
      <c r="P26" s="1969"/>
      <c r="Q26" s="1969"/>
      <c r="R26" s="1969"/>
      <c r="S26" s="1969"/>
      <c r="T26" s="1969"/>
      <c r="U26" s="1969"/>
      <c r="V26" s="1969"/>
      <c r="W26" s="1969"/>
      <c r="X26" s="1969"/>
      <c r="Y26" s="1969"/>
      <c r="Z26" s="1969"/>
      <c r="AA26" s="1969"/>
      <c r="AB26" s="1969"/>
      <c r="AC26" s="1969"/>
      <c r="AD26" s="1969"/>
      <c r="AE26" s="1969"/>
    </row>
    <row r="27" spans="1:31" s="123" customFormat="1" ht="24.6" customHeight="1">
      <c r="A27" s="2010" t="s">
        <v>1089</v>
      </c>
      <c r="B27" s="1987" t="s">
        <v>1245</v>
      </c>
      <c r="C27" s="1988"/>
      <c r="D27" s="939"/>
      <c r="E27" s="962" t="s">
        <v>248</v>
      </c>
      <c r="F27" s="949" t="s">
        <v>249</v>
      </c>
      <c r="G27" s="950"/>
      <c r="H27" s="951" t="s">
        <v>250</v>
      </c>
      <c r="I27" s="129"/>
      <c r="J27" s="129"/>
      <c r="K27" s="129"/>
      <c r="L27" s="130"/>
      <c r="M27" s="131"/>
      <c r="N27" s="1325" t="s">
        <v>1389</v>
      </c>
      <c r="O27" s="2018" t="s">
        <v>1241</v>
      </c>
      <c r="P27" s="1969" t="s">
        <v>1388</v>
      </c>
      <c r="Q27" s="1969"/>
      <c r="R27" s="1969"/>
      <c r="S27" s="1969"/>
      <c r="T27" s="1969"/>
      <c r="U27" s="1969"/>
      <c r="V27" s="1969"/>
      <c r="W27" s="1969"/>
      <c r="X27" s="1969"/>
      <c r="Y27" s="1969"/>
      <c r="Z27" s="1969"/>
      <c r="AA27" s="1969"/>
      <c r="AB27" s="1969"/>
      <c r="AC27" s="1969"/>
      <c r="AD27" s="1969"/>
      <c r="AE27" s="1969"/>
    </row>
    <row r="28" spans="1:31" s="123" customFormat="1" ht="24.6" customHeight="1">
      <c r="A28" s="2011"/>
      <c r="B28" s="1989"/>
      <c r="C28" s="1990"/>
      <c r="D28" s="941"/>
      <c r="E28" s="515" t="s">
        <v>251</v>
      </c>
      <c r="F28" s="952" t="s">
        <v>249</v>
      </c>
      <c r="G28" s="953"/>
      <c r="H28" s="954" t="s">
        <v>252</v>
      </c>
      <c r="I28" s="137"/>
      <c r="J28" s="1209"/>
      <c r="K28" s="1209"/>
      <c r="L28" s="172"/>
      <c r="M28" s="139"/>
      <c r="N28" s="179"/>
      <c r="O28" s="2019"/>
      <c r="P28" s="1969"/>
      <c r="Q28" s="1969"/>
      <c r="R28" s="1969"/>
      <c r="S28" s="1969"/>
      <c r="T28" s="1969"/>
      <c r="U28" s="1969"/>
      <c r="V28" s="1969"/>
      <c r="W28" s="1969"/>
      <c r="X28" s="1969"/>
      <c r="Y28" s="1969"/>
      <c r="Z28" s="1969"/>
      <c r="AA28" s="1969"/>
      <c r="AB28" s="1969"/>
      <c r="AC28" s="1969"/>
      <c r="AD28" s="1969"/>
      <c r="AE28" s="1969"/>
    </row>
    <row r="29" spans="1:31" s="123" customFormat="1" ht="24.6" customHeight="1">
      <c r="A29" s="2011"/>
      <c r="B29" s="1989"/>
      <c r="C29" s="1990"/>
      <c r="D29" s="941"/>
      <c r="E29" s="515" t="s">
        <v>253</v>
      </c>
      <c r="F29" s="181" t="s">
        <v>249</v>
      </c>
      <c r="G29" s="182"/>
      <c r="H29" s="183" t="s">
        <v>254</v>
      </c>
      <c r="I29" s="137"/>
      <c r="J29" s="1209"/>
      <c r="K29" s="1209"/>
      <c r="L29" s="172"/>
      <c r="M29" s="184"/>
      <c r="N29" s="179"/>
      <c r="O29" s="2019"/>
      <c r="P29" s="1969"/>
      <c r="Q29" s="1969"/>
      <c r="R29" s="1969"/>
      <c r="S29" s="1969"/>
      <c r="T29" s="1969"/>
      <c r="U29" s="1969"/>
      <c r="V29" s="1969"/>
      <c r="W29" s="1969"/>
      <c r="X29" s="1969"/>
      <c r="Y29" s="1969"/>
      <c r="Z29" s="1969"/>
      <c r="AA29" s="1969"/>
      <c r="AB29" s="1969"/>
      <c r="AC29" s="1969"/>
      <c r="AD29" s="1969"/>
      <c r="AE29" s="1969"/>
    </row>
    <row r="30" spans="1:31" s="123" customFormat="1" ht="24.6" customHeight="1">
      <c r="A30" s="2011"/>
      <c r="B30" s="1989"/>
      <c r="C30" s="1990"/>
      <c r="D30" s="941"/>
      <c r="E30" s="515" t="s">
        <v>255</v>
      </c>
      <c r="F30" s="952" t="s">
        <v>249</v>
      </c>
      <c r="G30" s="953"/>
      <c r="H30" s="954" t="s">
        <v>256</v>
      </c>
      <c r="I30" s="137"/>
      <c r="J30" s="1209"/>
      <c r="K30" s="1209"/>
      <c r="L30" s="172"/>
      <c r="M30" s="184"/>
      <c r="N30" s="179"/>
      <c r="O30" s="2019"/>
    </row>
    <row r="31" spans="1:31" s="123" customFormat="1" ht="24.6" customHeight="1">
      <c r="A31" s="2012"/>
      <c r="B31" s="1991"/>
      <c r="C31" s="1992"/>
      <c r="D31" s="942"/>
      <c r="E31" s="963" t="s">
        <v>257</v>
      </c>
      <c r="F31" s="946" t="s">
        <v>249</v>
      </c>
      <c r="G31" s="947"/>
      <c r="H31" s="948" t="s">
        <v>258</v>
      </c>
      <c r="I31" s="174"/>
      <c r="J31" s="1210"/>
      <c r="K31" s="1210"/>
      <c r="L31" s="175"/>
      <c r="M31" s="176"/>
      <c r="N31" s="166"/>
      <c r="O31" s="2020"/>
    </row>
    <row r="32" spans="1:31" s="123" customFormat="1" ht="24.6" customHeight="1">
      <c r="A32" s="750" t="s">
        <v>1090</v>
      </c>
      <c r="B32" s="1985" t="s">
        <v>259</v>
      </c>
      <c r="C32" s="1986"/>
      <c r="D32" s="943"/>
      <c r="E32" s="956" t="s">
        <v>260</v>
      </c>
      <c r="F32" s="726" t="s">
        <v>1604</v>
      </c>
      <c r="G32" s="727"/>
      <c r="H32" s="728"/>
      <c r="I32" s="1321"/>
      <c r="J32" s="185"/>
      <c r="K32" s="185"/>
      <c r="L32" s="945"/>
      <c r="M32" s="186"/>
      <c r="N32" s="122"/>
      <c r="O32" s="926" t="e">
        <f t="shared" ref="O32" si="0">HYPERLINK(VLOOKUP(F32,LINK,2,FALSE),VLOOKUP(F32,LINK,3,FALSE))</f>
        <v>#N/A</v>
      </c>
    </row>
    <row r="33" spans="1:15" s="123" customFormat="1" ht="24.6" customHeight="1">
      <c r="A33" s="750"/>
      <c r="B33" s="1985" t="s">
        <v>1081</v>
      </c>
      <c r="C33" s="1986"/>
      <c r="D33" s="943"/>
      <c r="E33" s="739" t="s">
        <v>261</v>
      </c>
      <c r="F33" s="1043" t="s">
        <v>1252</v>
      </c>
      <c r="G33" s="1044"/>
      <c r="H33" s="996"/>
      <c r="I33" s="1042"/>
      <c r="J33" s="185"/>
      <c r="K33" s="185"/>
      <c r="L33" s="945"/>
      <c r="M33" s="186"/>
      <c r="N33" s="187"/>
      <c r="O33" s="926"/>
    </row>
    <row r="34" spans="1:15" s="123" customFormat="1" ht="24.6" customHeight="1">
      <c r="A34" s="750" t="s">
        <v>1599</v>
      </c>
      <c r="B34" s="1985" t="s">
        <v>1598</v>
      </c>
      <c r="C34" s="1986"/>
      <c r="D34" s="943"/>
      <c r="E34" s="958" t="s">
        <v>262</v>
      </c>
      <c r="F34" s="964" t="s">
        <v>1605</v>
      </c>
      <c r="G34" s="965"/>
      <c r="H34" s="966"/>
      <c r="I34" s="1321"/>
      <c r="J34" s="185"/>
      <c r="K34" s="185"/>
      <c r="L34" s="945"/>
      <c r="M34" s="186"/>
      <c r="N34" s="122"/>
      <c r="O34" s="926" t="e">
        <f>HYPERLINK(VLOOKUP(F34,LINK,2,FALSE),VLOOKUP(F34,LINK,3,FALSE))</f>
        <v>#N/A</v>
      </c>
    </row>
    <row r="35" spans="1:15" s="123" customFormat="1" ht="24.6" customHeight="1">
      <c r="A35" s="2010" t="s">
        <v>1320</v>
      </c>
      <c r="B35" s="1987" t="s">
        <v>1395</v>
      </c>
      <c r="C35" s="1988"/>
      <c r="D35" s="1234"/>
      <c r="E35" s="1237" t="s">
        <v>1253</v>
      </c>
      <c r="F35" s="1225" t="s">
        <v>264</v>
      </c>
      <c r="G35" s="1226"/>
      <c r="H35" s="1227" t="s">
        <v>250</v>
      </c>
      <c r="I35" s="990"/>
      <c r="J35" s="990"/>
      <c r="K35" s="990"/>
      <c r="L35" s="188"/>
      <c r="M35" s="190"/>
      <c r="N35" s="177"/>
      <c r="O35" s="2018" t="s">
        <v>1241</v>
      </c>
    </row>
    <row r="36" spans="1:15" s="123" customFormat="1" ht="24.6" customHeight="1">
      <c r="A36" s="2011"/>
      <c r="B36" s="1989"/>
      <c r="C36" s="1990"/>
      <c r="D36" s="1235"/>
      <c r="E36" s="1223" t="s">
        <v>174</v>
      </c>
      <c r="F36" s="1228" t="s">
        <v>264</v>
      </c>
      <c r="G36" s="1229"/>
      <c r="H36" s="1230" t="s">
        <v>231</v>
      </c>
      <c r="I36" s="991"/>
      <c r="J36" s="1326"/>
      <c r="K36" s="1326"/>
      <c r="L36" s="228"/>
      <c r="M36" s="192"/>
      <c r="N36" s="179"/>
      <c r="O36" s="2019"/>
    </row>
    <row r="37" spans="1:15" s="123" customFormat="1" ht="24.6" customHeight="1">
      <c r="A37" s="2011"/>
      <c r="B37" s="1989"/>
      <c r="C37" s="1990"/>
      <c r="D37" s="1235"/>
      <c r="E37" s="1223" t="s">
        <v>175</v>
      </c>
      <c r="F37" s="1228" t="s">
        <v>264</v>
      </c>
      <c r="G37" s="1229"/>
      <c r="H37" s="1230" t="s">
        <v>232</v>
      </c>
      <c r="I37" s="991"/>
      <c r="J37" s="1326"/>
      <c r="K37" s="1326"/>
      <c r="L37" s="228"/>
      <c r="M37" s="192"/>
      <c r="N37" s="179"/>
      <c r="O37" s="2019"/>
    </row>
    <row r="38" spans="1:15" s="123" customFormat="1" ht="24.6" customHeight="1">
      <c r="A38" s="2012"/>
      <c r="B38" s="1991"/>
      <c r="C38" s="1992"/>
      <c r="D38" s="1236"/>
      <c r="E38" s="1224" t="s">
        <v>176</v>
      </c>
      <c r="F38" s="1231" t="s">
        <v>264</v>
      </c>
      <c r="G38" s="1232"/>
      <c r="H38" s="1233" t="s">
        <v>256</v>
      </c>
      <c r="I38" s="992"/>
      <c r="J38" s="1327"/>
      <c r="K38" s="1327"/>
      <c r="L38" s="229"/>
      <c r="M38" s="194"/>
      <c r="N38" s="166"/>
      <c r="O38" s="2020"/>
    </row>
    <row r="39" spans="1:15" ht="20.100000000000001" customHeight="1">
      <c r="A39"/>
      <c r="B39" s="1041"/>
      <c r="C39" s="836"/>
      <c r="D39" s="836"/>
      <c r="E39" s="836"/>
      <c r="F39" s="836"/>
      <c r="G39" s="836"/>
      <c r="H39" s="836"/>
      <c r="I39" s="836"/>
      <c r="J39" s="836"/>
      <c r="K39" s="836"/>
      <c r="L39" s="836"/>
      <c r="M39" s="200"/>
      <c r="O39"/>
    </row>
  </sheetData>
  <mergeCells count="50">
    <mergeCell ref="O21:O26"/>
    <mergeCell ref="F24:H24"/>
    <mergeCell ref="F25:H25"/>
    <mergeCell ref="P8:AE8"/>
    <mergeCell ref="O35:O38"/>
    <mergeCell ref="O27:O31"/>
    <mergeCell ref="O9:O10"/>
    <mergeCell ref="O17:O20"/>
    <mergeCell ref="M9:M10"/>
    <mergeCell ref="N9:N10"/>
    <mergeCell ref="F11:H11"/>
    <mergeCell ref="M12:M13"/>
    <mergeCell ref="M15:M16"/>
    <mergeCell ref="O12:O13"/>
    <mergeCell ref="O15:O16"/>
    <mergeCell ref="F14:H14"/>
    <mergeCell ref="A35:A38"/>
    <mergeCell ref="A2:A3"/>
    <mergeCell ref="A4:A5"/>
    <mergeCell ref="A8:A10"/>
    <mergeCell ref="A14:A16"/>
    <mergeCell ref="A11:A13"/>
    <mergeCell ref="A21:A26"/>
    <mergeCell ref="A17:A20"/>
    <mergeCell ref="A27:A31"/>
    <mergeCell ref="F6:H6"/>
    <mergeCell ref="B6:C6"/>
    <mergeCell ref="F2:G2"/>
    <mergeCell ref="F3:G3"/>
    <mergeCell ref="F4:G4"/>
    <mergeCell ref="F5:G5"/>
    <mergeCell ref="H2:L2"/>
    <mergeCell ref="H3:L3"/>
    <mergeCell ref="H4:L4"/>
    <mergeCell ref="H5:L5"/>
    <mergeCell ref="B7:C7"/>
    <mergeCell ref="B35:C38"/>
    <mergeCell ref="B4:E5"/>
    <mergeCell ref="B2:E3"/>
    <mergeCell ref="B14:C16"/>
    <mergeCell ref="C9:C10"/>
    <mergeCell ref="B8:B10"/>
    <mergeCell ref="B34:C34"/>
    <mergeCell ref="B33:C33"/>
    <mergeCell ref="B11:C13"/>
    <mergeCell ref="B21:B26"/>
    <mergeCell ref="C21:C26"/>
    <mergeCell ref="B32:C32"/>
    <mergeCell ref="B17:C20"/>
    <mergeCell ref="B27:C31"/>
  </mergeCells>
  <phoneticPr fontId="14"/>
  <pageMargins left="0.70866141732283472" right="0.70866141732283472" top="0" bottom="0" header="0.31496062992125984" footer="0.31496062992125984"/>
  <pageSetup paperSize="9" scale="52"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9"/>
    <pageSetUpPr fitToPage="1"/>
  </sheetPr>
  <dimension ref="A1:Q219"/>
  <sheetViews>
    <sheetView showGridLines="0" view="pageBreakPreview" topLeftCell="A176" zoomScale="85" zoomScaleNormal="70" zoomScaleSheetLayoutView="85" workbookViewId="0">
      <selection activeCell="A180" sqref="A180:A181"/>
    </sheetView>
  </sheetViews>
  <sheetFormatPr defaultRowHeight="13.8"/>
  <cols>
    <col min="1" max="1" width="12.5" bestFit="1" customWidth="1"/>
    <col min="2" max="2" width="17" bestFit="1" customWidth="1"/>
    <col min="3" max="3" width="25.69921875" customWidth="1"/>
    <col min="4" max="4" width="5.59765625" customWidth="1"/>
    <col min="5" max="5" width="36.19921875" bestFit="1" customWidth="1"/>
    <col min="6" max="6" width="12.19921875" bestFit="1" customWidth="1"/>
    <col min="7" max="7" width="11.5" style="1009" customWidth="1"/>
    <col min="8" max="8" width="9.09765625" style="1455" customWidth="1"/>
    <col min="9" max="12" width="5.59765625" customWidth="1"/>
    <col min="13" max="13" width="15" customWidth="1"/>
    <col min="14" max="14" width="89" bestFit="1" customWidth="1"/>
    <col min="15" max="15" width="9" style="91"/>
  </cols>
  <sheetData>
    <row r="1" spans="1:17">
      <c r="A1" s="835" t="s">
        <v>1054</v>
      </c>
      <c r="B1" s="835"/>
      <c r="C1" s="835"/>
      <c r="D1" s="835"/>
      <c r="E1" s="835"/>
      <c r="F1" s="835"/>
      <c r="G1" s="1358"/>
      <c r="H1" s="1358"/>
      <c r="I1" s="835"/>
      <c r="J1" s="835"/>
      <c r="K1" s="835"/>
      <c r="L1" s="835"/>
      <c r="M1" s="835"/>
      <c r="N1" s="835"/>
      <c r="O1" s="835"/>
      <c r="P1" s="835"/>
      <c r="Q1" s="835"/>
    </row>
    <row r="2" spans="1:17" ht="30" customHeight="1">
      <c r="A2" s="2013" t="s">
        <v>5</v>
      </c>
      <c r="B2" s="1993"/>
      <c r="C2" s="1993"/>
      <c r="D2" s="1993"/>
      <c r="E2" s="1993"/>
      <c r="F2" s="2006" t="s">
        <v>1391</v>
      </c>
      <c r="G2" s="2006"/>
      <c r="H2" s="2009"/>
      <c r="I2" s="2009"/>
      <c r="J2" s="2009"/>
      <c r="K2" s="2009"/>
      <c r="L2" s="2009"/>
      <c r="M2" s="904" t="s">
        <v>1187</v>
      </c>
      <c r="N2" s="838" t="s">
        <v>1393</v>
      </c>
      <c r="O2" s="1356"/>
    </row>
    <row r="3" spans="1:17" ht="30" customHeight="1">
      <c r="A3" s="2014"/>
      <c r="B3" s="1993"/>
      <c r="C3" s="1993"/>
      <c r="D3" s="1993"/>
      <c r="E3" s="1993"/>
      <c r="F3" s="2006" t="s">
        <v>1371</v>
      </c>
      <c r="G3" s="2006"/>
      <c r="H3" s="2009"/>
      <c r="I3" s="2009"/>
      <c r="J3" s="2009"/>
      <c r="K3" s="2009"/>
      <c r="L3" s="2009"/>
      <c r="M3" s="35"/>
      <c r="N3" s="7"/>
      <c r="O3" s="839"/>
    </row>
    <row r="4" spans="1:17" ht="30" customHeight="1">
      <c r="A4" s="2013" t="s">
        <v>38</v>
      </c>
      <c r="B4" s="1993"/>
      <c r="C4" s="1993"/>
      <c r="D4" s="1993"/>
      <c r="E4" s="1993"/>
      <c r="F4" s="2007" t="s">
        <v>1392</v>
      </c>
      <c r="G4" s="2007"/>
      <c r="H4" s="2009"/>
      <c r="I4" s="2009"/>
      <c r="J4" s="2009"/>
      <c r="K4" s="2009"/>
      <c r="L4" s="2009"/>
      <c r="M4" s="35"/>
      <c r="N4" s="7"/>
      <c r="O4" s="839"/>
    </row>
    <row r="5" spans="1:17" ht="30" customHeight="1">
      <c r="A5" s="2014"/>
      <c r="B5" s="1993"/>
      <c r="C5" s="1993"/>
      <c r="D5" s="1993"/>
      <c r="E5" s="1993"/>
      <c r="F5" s="2008" t="s">
        <v>1372</v>
      </c>
      <c r="G5" s="2008"/>
      <c r="H5" s="2009"/>
      <c r="I5" s="2009"/>
      <c r="J5" s="2009"/>
      <c r="K5" s="2009"/>
      <c r="L5" s="2009"/>
      <c r="M5" s="35"/>
      <c r="N5" s="7"/>
      <c r="O5" s="839"/>
    </row>
    <row r="6" spans="1:17" ht="60.6" customHeight="1">
      <c r="A6" s="908" t="s">
        <v>1227</v>
      </c>
      <c r="B6" s="2004" t="s">
        <v>6</v>
      </c>
      <c r="C6" s="2005"/>
      <c r="D6" s="1323" t="s">
        <v>1407</v>
      </c>
      <c r="E6" s="82" t="s">
        <v>64</v>
      </c>
      <c r="F6" s="2001" t="s">
        <v>1</v>
      </c>
      <c r="G6" s="2002"/>
      <c r="H6" s="2003"/>
      <c r="I6" s="1038" t="s">
        <v>66</v>
      </c>
      <c r="J6" s="1038" t="s">
        <v>1376</v>
      </c>
      <c r="K6" s="1372" t="s">
        <v>1377</v>
      </c>
      <c r="L6" s="1372" t="s">
        <v>1375</v>
      </c>
      <c r="M6" s="1069" t="s">
        <v>1378</v>
      </c>
      <c r="N6" s="1069" t="s">
        <v>1387</v>
      </c>
      <c r="O6" s="1322" t="s">
        <v>1379</v>
      </c>
    </row>
    <row r="7" spans="1:17" ht="24" customHeight="1">
      <c r="A7" s="2010" t="s">
        <v>1088</v>
      </c>
      <c r="B7" s="2055" t="s">
        <v>1589</v>
      </c>
      <c r="C7" s="2055"/>
      <c r="D7" s="1338"/>
      <c r="E7" s="1360" t="s">
        <v>397</v>
      </c>
      <c r="F7" s="2056" t="s">
        <v>398</v>
      </c>
      <c r="G7" s="2057"/>
      <c r="H7" s="2058"/>
      <c r="I7" s="119"/>
      <c r="J7" s="120"/>
      <c r="K7" s="120"/>
      <c r="L7" s="120"/>
      <c r="M7" s="1430" t="s">
        <v>1401</v>
      </c>
      <c r="N7" s="1429" t="s">
        <v>1578</v>
      </c>
      <c r="O7" s="1359" t="s">
        <v>1236</v>
      </c>
      <c r="P7" t="s">
        <v>1396</v>
      </c>
    </row>
    <row r="8" spans="1:17" ht="39.9" hidden="1" customHeight="1">
      <c r="A8" s="2012"/>
      <c r="B8" s="2055"/>
      <c r="C8" s="2055"/>
      <c r="D8" s="1355"/>
      <c r="E8" s="1211" t="s">
        <v>399</v>
      </c>
      <c r="F8" s="1427" t="s">
        <v>184</v>
      </c>
      <c r="G8" s="1456"/>
      <c r="H8" s="1443"/>
      <c r="I8" s="1428"/>
      <c r="J8" s="1428"/>
      <c r="K8" s="1428"/>
      <c r="L8" s="1428"/>
      <c r="M8" s="1431"/>
      <c r="N8" s="1212"/>
      <c r="O8" s="1328"/>
      <c r="P8" s="1108" t="s">
        <v>1397</v>
      </c>
    </row>
    <row r="9" spans="1:17" ht="24" customHeight="1">
      <c r="A9" s="2010" t="s">
        <v>1083</v>
      </c>
      <c r="B9" s="2059" t="s">
        <v>400</v>
      </c>
      <c r="C9" s="2049"/>
      <c r="D9" s="940"/>
      <c r="E9" s="1426" t="s">
        <v>1400</v>
      </c>
      <c r="F9" s="202" t="s">
        <v>189</v>
      </c>
      <c r="G9" s="1457"/>
      <c r="H9" s="680"/>
      <c r="I9" s="204"/>
      <c r="J9" s="205"/>
      <c r="K9" s="205"/>
      <c r="L9" s="205"/>
      <c r="M9" s="2062" t="s">
        <v>1402</v>
      </c>
      <c r="N9" s="2052" t="s">
        <v>1587</v>
      </c>
      <c r="O9" s="936" t="str">
        <f t="shared" ref="O9:O12" si="0">HYPERLINK(VLOOKUP(F9,LINK,2,FALSE),VLOOKUP(F9,LINK,3,FALSE))</f>
        <v>EXCEL</v>
      </c>
      <c r="P9" s="761" t="s">
        <v>1133</v>
      </c>
    </row>
    <row r="10" spans="1:17" ht="24" customHeight="1">
      <c r="A10" s="2012"/>
      <c r="B10" s="2060"/>
      <c r="C10" s="2061"/>
      <c r="D10" s="942"/>
      <c r="E10" s="142" t="s">
        <v>106</v>
      </c>
      <c r="F10" s="206" t="s">
        <v>10</v>
      </c>
      <c r="G10" s="1458"/>
      <c r="H10" s="1444"/>
      <c r="I10" s="968"/>
      <c r="J10" s="147"/>
      <c r="K10" s="147"/>
      <c r="L10" s="147"/>
      <c r="M10" s="2063"/>
      <c r="N10" s="2053"/>
      <c r="O10" s="930" t="str">
        <f t="shared" si="0"/>
        <v>EXCEL</v>
      </c>
      <c r="P10" s="1425" t="s">
        <v>1398</v>
      </c>
    </row>
    <row r="11" spans="1:17" ht="24" customHeight="1">
      <c r="A11" s="2010" t="s">
        <v>1099</v>
      </c>
      <c r="B11" s="2054" t="s">
        <v>1079</v>
      </c>
      <c r="C11" s="2054"/>
      <c r="D11" s="939"/>
      <c r="E11" s="167" t="s">
        <v>1386</v>
      </c>
      <c r="F11" s="149" t="s">
        <v>190</v>
      </c>
      <c r="G11" s="1459"/>
      <c r="H11" s="1445"/>
      <c r="I11" s="152"/>
      <c r="J11" s="153"/>
      <c r="K11" s="153"/>
      <c r="L11" s="153"/>
      <c r="M11" s="1324" t="s">
        <v>1381</v>
      </c>
      <c r="N11" s="1221" t="s">
        <v>1384</v>
      </c>
      <c r="O11" s="936" t="str">
        <f t="shared" si="0"/>
        <v>EXCEL</v>
      </c>
    </row>
    <row r="12" spans="1:17" ht="24" customHeight="1">
      <c r="A12" s="2011"/>
      <c r="B12" s="2054"/>
      <c r="C12" s="2054"/>
      <c r="D12" s="941"/>
      <c r="E12" s="154" t="s">
        <v>265</v>
      </c>
      <c r="F12" s="155" t="s">
        <v>11</v>
      </c>
      <c r="G12" s="1460"/>
      <c r="H12" s="1446"/>
      <c r="I12" s="158"/>
      <c r="J12" s="159"/>
      <c r="K12" s="159"/>
      <c r="L12" s="159"/>
      <c r="M12" s="2038" t="s">
        <v>1382</v>
      </c>
      <c r="N12" s="1222" t="s">
        <v>1385</v>
      </c>
      <c r="O12" s="2029" t="str">
        <f t="shared" si="0"/>
        <v>ACCESS</v>
      </c>
    </row>
    <row r="13" spans="1:17" ht="24" customHeight="1">
      <c r="A13" s="2011"/>
      <c r="B13" s="2054"/>
      <c r="C13" s="2054"/>
      <c r="D13" s="942"/>
      <c r="E13" s="160" t="s">
        <v>266</v>
      </c>
      <c r="F13" s="161" t="s">
        <v>12</v>
      </c>
      <c r="G13" s="1461"/>
      <c r="H13" s="1447"/>
      <c r="I13" s="164"/>
      <c r="J13" s="165"/>
      <c r="K13" s="165"/>
      <c r="L13" s="165"/>
      <c r="M13" s="2039"/>
      <c r="N13" s="166"/>
      <c r="O13" s="2030"/>
    </row>
    <row r="14" spans="1:17" ht="24" customHeight="1">
      <c r="A14" s="2015" t="s">
        <v>1403</v>
      </c>
      <c r="B14" s="2054" t="s">
        <v>1100</v>
      </c>
      <c r="C14" s="2054"/>
      <c r="D14" s="939"/>
      <c r="E14" s="167" t="s">
        <v>1386</v>
      </c>
      <c r="F14" s="149" t="s">
        <v>190</v>
      </c>
      <c r="G14" s="1459"/>
      <c r="H14" s="1445"/>
      <c r="I14" s="152"/>
      <c r="J14" s="153"/>
      <c r="K14" s="153"/>
      <c r="L14" s="153"/>
      <c r="M14" s="1324" t="s">
        <v>1381</v>
      </c>
      <c r="N14" s="1221" t="s">
        <v>1384</v>
      </c>
      <c r="O14" s="936" t="str">
        <f>HYPERLINK(VLOOKUP(F14,LINK,2,FALSE),VLOOKUP(F14,LINK,3,FALSE))</f>
        <v>EXCEL</v>
      </c>
    </row>
    <row r="15" spans="1:17" ht="24" customHeight="1">
      <c r="A15" s="2011"/>
      <c r="B15" s="2054"/>
      <c r="C15" s="2054"/>
      <c r="D15" s="941"/>
      <c r="E15" s="154" t="s">
        <v>265</v>
      </c>
      <c r="F15" s="155" t="s">
        <v>11</v>
      </c>
      <c r="G15" s="1460"/>
      <c r="H15" s="1446"/>
      <c r="I15" s="158"/>
      <c r="J15" s="159"/>
      <c r="K15" s="159"/>
      <c r="L15" s="159"/>
      <c r="M15" s="2038" t="s">
        <v>1382</v>
      </c>
      <c r="N15" s="1222" t="s">
        <v>1385</v>
      </c>
      <c r="O15" s="2029" t="str">
        <f>HYPERLINK(VLOOKUP(F15,LINK,2,FALSE),VLOOKUP(F15,LINK,3,FALSE))</f>
        <v>ACCESS</v>
      </c>
    </row>
    <row r="16" spans="1:17" ht="24" customHeight="1">
      <c r="A16" s="2012"/>
      <c r="B16" s="2054"/>
      <c r="C16" s="2054"/>
      <c r="D16" s="942"/>
      <c r="E16" s="160" t="s">
        <v>266</v>
      </c>
      <c r="F16" s="161" t="s">
        <v>12</v>
      </c>
      <c r="G16" s="1461"/>
      <c r="H16" s="1447"/>
      <c r="I16" s="164"/>
      <c r="J16" s="165"/>
      <c r="K16" s="165"/>
      <c r="L16" s="165"/>
      <c r="M16" s="2039"/>
      <c r="N16" s="166"/>
      <c r="O16" s="2030"/>
    </row>
    <row r="17" spans="1:15" ht="24" customHeight="1">
      <c r="A17" s="2010" t="s">
        <v>1084</v>
      </c>
      <c r="B17" s="1987" t="s">
        <v>13</v>
      </c>
      <c r="C17" s="1988"/>
      <c r="D17" s="939"/>
      <c r="E17" s="148" t="s">
        <v>267</v>
      </c>
      <c r="F17" s="202" t="s">
        <v>14</v>
      </c>
      <c r="G17" s="1457"/>
      <c r="H17" s="680"/>
      <c r="I17" s="1894"/>
      <c r="J17" s="130"/>
      <c r="K17" s="130"/>
      <c r="L17" s="130"/>
      <c r="M17" s="130"/>
      <c r="N17" s="209" t="s">
        <v>1660</v>
      </c>
      <c r="O17" s="2018" t="s">
        <v>1243</v>
      </c>
    </row>
    <row r="18" spans="1:15" ht="24" customHeight="1">
      <c r="A18" s="2011"/>
      <c r="B18" s="1989"/>
      <c r="C18" s="1990"/>
      <c r="D18" s="215"/>
      <c r="E18" s="216" t="s">
        <v>267</v>
      </c>
      <c r="F18" s="211" t="s">
        <v>14</v>
      </c>
      <c r="G18" s="1462"/>
      <c r="H18" s="1448"/>
      <c r="I18" s="1209"/>
      <c r="J18" s="138"/>
      <c r="K18" s="138"/>
      <c r="L18" s="138"/>
      <c r="M18" s="138"/>
      <c r="N18" s="213" t="s">
        <v>1660</v>
      </c>
      <c r="O18" s="2019"/>
    </row>
    <row r="19" spans="1:15" ht="24" customHeight="1">
      <c r="A19" s="2011"/>
      <c r="B19" s="1989"/>
      <c r="C19" s="1990"/>
      <c r="D19" s="215"/>
      <c r="E19" s="216" t="s">
        <v>1028</v>
      </c>
      <c r="F19" s="720" t="s">
        <v>1029</v>
      </c>
      <c r="G19" s="1463"/>
      <c r="H19" s="1449"/>
      <c r="I19" s="1895"/>
      <c r="J19" s="220"/>
      <c r="K19" s="220"/>
      <c r="L19" s="220"/>
      <c r="M19" s="220"/>
      <c r="N19" s="221"/>
      <c r="O19" s="2019"/>
    </row>
    <row r="20" spans="1:15" ht="24" customHeight="1">
      <c r="A20" s="2012"/>
      <c r="B20" s="1991"/>
      <c r="C20" s="1992"/>
      <c r="D20" s="215"/>
      <c r="E20" s="957" t="s">
        <v>58</v>
      </c>
      <c r="F20" s="206" t="s">
        <v>191</v>
      </c>
      <c r="G20" s="1458"/>
      <c r="H20" s="1444"/>
      <c r="I20" s="1210"/>
      <c r="J20" s="147"/>
      <c r="K20" s="220"/>
      <c r="L20" s="220"/>
      <c r="M20" s="220"/>
      <c r="N20" s="221"/>
      <c r="O20" s="2020"/>
    </row>
    <row r="21" spans="1:15" ht="24" customHeight="1">
      <c r="A21" s="2016" t="s">
        <v>1117</v>
      </c>
      <c r="B21" s="1995" t="s">
        <v>1258</v>
      </c>
      <c r="C21" s="1998" t="s">
        <v>1416</v>
      </c>
      <c r="D21" s="188"/>
      <c r="E21" s="148" t="s">
        <v>433</v>
      </c>
      <c r="F21" s="1388" t="s">
        <v>434</v>
      </c>
      <c r="G21" s="1389"/>
      <c r="H21" s="1390"/>
      <c r="I21" s="188"/>
      <c r="J21" s="188"/>
      <c r="K21" s="188"/>
      <c r="L21" s="188"/>
      <c r="M21" s="188"/>
      <c r="N21" s="188"/>
      <c r="O21" s="2018" t="s">
        <v>1417</v>
      </c>
    </row>
    <row r="22" spans="1:15" ht="24" customHeight="1">
      <c r="A22" s="2017"/>
      <c r="B22" s="1996"/>
      <c r="C22" s="1999"/>
      <c r="D22" s="428"/>
      <c r="E22" s="133" t="s">
        <v>1116</v>
      </c>
      <c r="F22" s="1391" t="s">
        <v>372</v>
      </c>
      <c r="G22" s="1392"/>
      <c r="H22" s="1393"/>
      <c r="I22" s="1737"/>
      <c r="J22" s="1737"/>
      <c r="K22" s="1737"/>
      <c r="L22" s="1737"/>
      <c r="M22" s="1737"/>
      <c r="N22" s="1737"/>
      <c r="O22" s="2019"/>
    </row>
    <row r="23" spans="1:15" ht="24" customHeight="1">
      <c r="A23" s="2017"/>
      <c r="B23" s="1996"/>
      <c r="C23" s="1999"/>
      <c r="D23" s="1737"/>
      <c r="E23" s="133" t="s">
        <v>404</v>
      </c>
      <c r="F23" s="1391" t="s">
        <v>405</v>
      </c>
      <c r="G23" s="1392"/>
      <c r="H23" s="1393"/>
      <c r="I23" s="1737"/>
      <c r="J23" s="1737"/>
      <c r="K23" s="1737"/>
      <c r="L23" s="1737"/>
      <c r="M23" s="1737"/>
      <c r="N23" s="1737"/>
      <c r="O23" s="2019"/>
    </row>
    <row r="24" spans="1:15" ht="24" customHeight="1">
      <c r="A24" s="2017"/>
      <c r="B24" s="1996"/>
      <c r="C24" s="1999"/>
      <c r="D24" s="1045"/>
      <c r="E24" s="1487" t="s">
        <v>406</v>
      </c>
      <c r="F24" s="2021" t="s">
        <v>438</v>
      </c>
      <c r="G24" s="2022"/>
      <c r="H24" s="2023"/>
      <c r="I24" s="1045"/>
      <c r="J24" s="1045"/>
      <c r="K24" s="1045"/>
      <c r="L24" s="1045"/>
      <c r="M24" s="1045"/>
      <c r="N24" s="1737" t="s">
        <v>1421</v>
      </c>
      <c r="O24" s="2019"/>
    </row>
    <row r="25" spans="1:15" ht="24" customHeight="1">
      <c r="A25" s="2017"/>
      <c r="B25" s="1996"/>
      <c r="C25" s="1999"/>
      <c r="D25" s="698"/>
      <c r="E25" s="1487" t="s">
        <v>407</v>
      </c>
      <c r="F25" s="2024" t="s">
        <v>1420</v>
      </c>
      <c r="G25" s="2025"/>
      <c r="H25" s="2026"/>
      <c r="I25" s="698"/>
      <c r="J25" s="698"/>
      <c r="K25" s="698"/>
      <c r="L25" s="698"/>
      <c r="M25" s="698"/>
      <c r="N25" s="796" t="s">
        <v>1421</v>
      </c>
      <c r="O25" s="2019"/>
    </row>
    <row r="26" spans="1:15" ht="24" customHeight="1">
      <c r="A26" s="2017"/>
      <c r="B26" s="1997"/>
      <c r="C26" s="2000"/>
      <c r="D26" s="1738"/>
      <c r="E26" s="1889" t="s">
        <v>750</v>
      </c>
      <c r="F26" s="1394" t="s">
        <v>408</v>
      </c>
      <c r="G26" s="1395"/>
      <c r="H26" s="1396"/>
      <c r="I26" s="1738"/>
      <c r="J26" s="1738"/>
      <c r="K26" s="1738"/>
      <c r="L26" s="1738"/>
      <c r="M26" s="1738"/>
      <c r="N26" s="1738" t="s">
        <v>1418</v>
      </c>
      <c r="O26" s="2020"/>
    </row>
    <row r="27" spans="1:15" ht="30" customHeight="1">
      <c r="A27" s="2015" t="s">
        <v>1369</v>
      </c>
      <c r="B27" s="1987" t="s">
        <v>1370</v>
      </c>
      <c r="C27" s="1988"/>
      <c r="D27" s="939"/>
      <c r="E27" s="967" t="s">
        <v>1186</v>
      </c>
      <c r="F27" s="202" t="s">
        <v>17</v>
      </c>
      <c r="G27" s="1457"/>
      <c r="H27" s="680"/>
      <c r="I27" s="129"/>
      <c r="J27" s="130"/>
      <c r="K27" s="130"/>
      <c r="L27" s="170"/>
      <c r="M27" s="130"/>
      <c r="N27" s="209"/>
      <c r="O27" s="936" t="str">
        <f>HYPERLINK(VLOOKUP(F27,LINK,2,FALSE),VLOOKUP(F27,LINK,3,FALSE))</f>
        <v>EXCEL</v>
      </c>
    </row>
    <row r="28" spans="1:15" ht="30" customHeight="1">
      <c r="A28" s="2011"/>
      <c r="B28" s="1989"/>
      <c r="C28" s="1990"/>
      <c r="D28" s="942"/>
      <c r="E28" s="963" t="s">
        <v>18</v>
      </c>
      <c r="F28" s="206" t="s">
        <v>401</v>
      </c>
      <c r="G28" s="1458"/>
      <c r="H28" s="1444"/>
      <c r="I28" s="174"/>
      <c r="J28" s="147"/>
      <c r="K28" s="147"/>
      <c r="L28" s="175"/>
      <c r="M28" s="147"/>
      <c r="N28" s="210"/>
      <c r="O28" s="930" t="str">
        <f>HYPERLINK(VLOOKUP(F28,LINK,2,FALSE),VLOOKUP(F28,LINK,3,FALSE))</f>
        <v>EXCEL</v>
      </c>
    </row>
    <row r="29" spans="1:15" ht="24" customHeight="1">
      <c r="A29" s="750" t="s">
        <v>1082</v>
      </c>
      <c r="B29" s="1985" t="s">
        <v>1255</v>
      </c>
      <c r="C29" s="1986"/>
      <c r="D29" s="1315"/>
      <c r="E29" s="1319" t="s">
        <v>262</v>
      </c>
      <c r="F29" s="1320" t="s">
        <v>263</v>
      </c>
      <c r="G29" s="1464"/>
      <c r="H29" s="1450"/>
      <c r="I29" s="1339"/>
      <c r="J29" s="1316"/>
      <c r="K29" s="1316"/>
      <c r="L29" s="1351"/>
      <c r="M29" s="186"/>
      <c r="N29" s="122"/>
      <c r="O29" s="1314" t="str">
        <f>HYPERLINK(VLOOKUP(F29,LINK,2,FALSE),VLOOKUP(F29,LINK,3,FALSE))</f>
        <v>EXCEL</v>
      </c>
    </row>
    <row r="30" spans="1:15" ht="24" customHeight="1">
      <c r="A30" s="2010" t="s">
        <v>1085</v>
      </c>
      <c r="B30" s="1989" t="s">
        <v>1414</v>
      </c>
      <c r="C30" s="1990"/>
      <c r="D30" s="939"/>
      <c r="E30" s="967" t="s">
        <v>1186</v>
      </c>
      <c r="F30" s="202" t="s">
        <v>17</v>
      </c>
      <c r="G30" s="1457"/>
      <c r="H30" s="680"/>
      <c r="I30" s="129"/>
      <c r="J30" s="130"/>
      <c r="K30" s="130"/>
      <c r="L30" s="170"/>
      <c r="M30" s="130"/>
      <c r="N30" s="209"/>
      <c r="O30" s="936" t="str">
        <f>HYPERLINK(VLOOKUP(F30,LINK,2,FALSE),VLOOKUP(F30,LINK,3,FALSE))</f>
        <v>EXCEL</v>
      </c>
    </row>
    <row r="31" spans="1:15" ht="24" customHeight="1">
      <c r="A31" s="2011"/>
      <c r="B31" s="1989"/>
      <c r="C31" s="1990"/>
      <c r="D31" s="941"/>
      <c r="E31" s="515" t="s">
        <v>18</v>
      </c>
      <c r="F31" s="211" t="s">
        <v>401</v>
      </c>
      <c r="G31" s="1462"/>
      <c r="H31" s="1448"/>
      <c r="I31" s="137"/>
      <c r="J31" s="138"/>
      <c r="K31" s="138"/>
      <c r="L31" s="172"/>
      <c r="M31" s="138"/>
      <c r="N31" s="213"/>
      <c r="O31" s="929" t="str">
        <f>HYPERLINK(VLOOKUP(F31,LINK,2,FALSE),VLOOKUP(F31,LINK,3,FALSE))</f>
        <v>EXCEL</v>
      </c>
    </row>
    <row r="32" spans="1:15" ht="24" customHeight="1">
      <c r="A32" s="2011"/>
      <c r="B32" s="1989"/>
      <c r="C32" s="1990"/>
      <c r="D32" s="941"/>
      <c r="E32" s="515" t="s">
        <v>15</v>
      </c>
      <c r="F32" s="211" t="s">
        <v>983</v>
      </c>
      <c r="G32" s="1465" t="s">
        <v>984</v>
      </c>
      <c r="H32" s="1448" t="s">
        <v>392</v>
      </c>
      <c r="I32" s="970" t="s">
        <v>1652</v>
      </c>
      <c r="J32" s="172"/>
      <c r="K32" s="172"/>
      <c r="L32" s="172"/>
      <c r="M32" s="138"/>
      <c r="N32" s="2050" t="s">
        <v>1404</v>
      </c>
      <c r="O32" s="2029"/>
    </row>
    <row r="33" spans="1:16" ht="24" customHeight="1">
      <c r="A33" s="2012"/>
      <c r="B33" s="1991"/>
      <c r="C33" s="1992"/>
      <c r="D33" s="942"/>
      <c r="E33" s="963" t="s">
        <v>16</v>
      </c>
      <c r="F33" s="206" t="s">
        <v>395</v>
      </c>
      <c r="G33" s="1458"/>
      <c r="H33" s="1444" t="s">
        <v>390</v>
      </c>
      <c r="I33" s="968"/>
      <c r="J33" s="147"/>
      <c r="K33" s="147"/>
      <c r="L33" s="175"/>
      <c r="M33" s="147"/>
      <c r="N33" s="2051"/>
      <c r="O33" s="2030"/>
    </row>
    <row r="34" spans="1:16" ht="24" customHeight="1">
      <c r="A34" s="2010" t="s">
        <v>1086</v>
      </c>
      <c r="B34" s="2059" t="s">
        <v>1246</v>
      </c>
      <c r="C34" s="2049"/>
      <c r="D34" s="939"/>
      <c r="E34" s="962" t="s">
        <v>4</v>
      </c>
      <c r="F34" s="202" t="s">
        <v>17</v>
      </c>
      <c r="G34" s="1457"/>
      <c r="H34" s="680"/>
      <c r="I34" s="129"/>
      <c r="J34" s="130"/>
      <c r="K34" s="130"/>
      <c r="L34" s="170"/>
      <c r="M34" s="130"/>
      <c r="N34" s="209"/>
      <c r="O34" s="2018" t="str">
        <f>HYPERLINK(VLOOKUP(F34,LINK,2,FALSE),VLOOKUP(F34,LINK,3,FALSE))</f>
        <v>EXCEL</v>
      </c>
    </row>
    <row r="35" spans="1:16" ht="24" customHeight="1">
      <c r="A35" s="2012"/>
      <c r="B35" s="2060"/>
      <c r="C35" s="2061"/>
      <c r="D35" s="941"/>
      <c r="E35" s="515" t="s">
        <v>18</v>
      </c>
      <c r="F35" s="206" t="s">
        <v>401</v>
      </c>
      <c r="G35" s="1458"/>
      <c r="H35" s="1444"/>
      <c r="I35" s="137"/>
      <c r="J35" s="138"/>
      <c r="K35" s="138"/>
      <c r="L35" s="172"/>
      <c r="M35" s="138"/>
      <c r="N35" s="213"/>
      <c r="O35" s="2020"/>
    </row>
    <row r="36" spans="1:16" ht="24" customHeight="1">
      <c r="A36" s="2010" t="s">
        <v>1087</v>
      </c>
      <c r="B36" s="1987" t="s">
        <v>1245</v>
      </c>
      <c r="C36" s="1988"/>
      <c r="D36" s="939"/>
      <c r="E36" s="962" t="s">
        <v>192</v>
      </c>
      <c r="F36" s="949" t="s">
        <v>396</v>
      </c>
      <c r="G36" s="679"/>
      <c r="H36" s="680" t="s">
        <v>391</v>
      </c>
      <c r="I36" s="129"/>
      <c r="J36" s="130"/>
      <c r="K36" s="130"/>
      <c r="L36" s="170"/>
      <c r="M36" s="130"/>
      <c r="N36" s="747"/>
      <c r="O36" s="2018" t="s">
        <v>1406</v>
      </c>
      <c r="P36" t="s">
        <v>1405</v>
      </c>
    </row>
    <row r="37" spans="1:16" ht="24" customHeight="1">
      <c r="A37" s="2011"/>
      <c r="B37" s="1989"/>
      <c r="C37" s="1990"/>
      <c r="D37" s="940"/>
      <c r="E37" s="515" t="s">
        <v>193</v>
      </c>
      <c r="F37" s="952" t="s">
        <v>233</v>
      </c>
      <c r="G37" s="1466"/>
      <c r="H37" s="1448" t="s">
        <v>392</v>
      </c>
      <c r="I37" s="137"/>
      <c r="J37" s="172"/>
      <c r="K37" s="172"/>
      <c r="L37" s="172"/>
      <c r="M37" s="138"/>
      <c r="N37" s="213"/>
      <c r="O37" s="2019"/>
    </row>
    <row r="38" spans="1:16" ht="24" customHeight="1">
      <c r="A38" s="2011"/>
      <c r="B38" s="1989"/>
      <c r="C38" s="1990"/>
      <c r="D38" s="941"/>
      <c r="E38" s="515" t="s">
        <v>194</v>
      </c>
      <c r="F38" s="181" t="s">
        <v>233</v>
      </c>
      <c r="G38" s="1467"/>
      <c r="H38" s="1451" t="s">
        <v>390</v>
      </c>
      <c r="I38" s="137"/>
      <c r="J38" s="172"/>
      <c r="K38" s="172"/>
      <c r="L38" s="172"/>
      <c r="M38" s="138"/>
      <c r="N38" s="214"/>
      <c r="O38" s="2019"/>
    </row>
    <row r="39" spans="1:16" ht="24" customHeight="1">
      <c r="A39" s="2011"/>
      <c r="B39" s="1989"/>
      <c r="C39" s="1990"/>
      <c r="D39" s="215"/>
      <c r="E39" s="515" t="s">
        <v>195</v>
      </c>
      <c r="F39" s="952" t="s">
        <v>233</v>
      </c>
      <c r="G39" s="1466"/>
      <c r="H39" s="1448" t="s">
        <v>393</v>
      </c>
      <c r="I39" s="137"/>
      <c r="J39" s="172"/>
      <c r="K39" s="172"/>
      <c r="L39" s="172"/>
      <c r="M39" s="205"/>
      <c r="N39" s="222"/>
      <c r="O39" s="2019"/>
    </row>
    <row r="40" spans="1:16" ht="24" customHeight="1">
      <c r="A40" s="2012"/>
      <c r="B40" s="1991"/>
      <c r="C40" s="1992"/>
      <c r="D40" s="942"/>
      <c r="E40" s="963" t="s">
        <v>196</v>
      </c>
      <c r="F40" s="723" t="s">
        <v>233</v>
      </c>
      <c r="G40" s="1468"/>
      <c r="H40" s="1449" t="s">
        <v>394</v>
      </c>
      <c r="I40" s="174"/>
      <c r="J40" s="175"/>
      <c r="K40" s="175"/>
      <c r="L40" s="175"/>
      <c r="M40" s="147"/>
      <c r="N40" s="210"/>
      <c r="O40" s="2020"/>
    </row>
    <row r="41" spans="1:16" ht="24" customHeight="1">
      <c r="A41" s="2066" t="s">
        <v>1321</v>
      </c>
      <c r="B41" s="2054" t="s">
        <v>1319</v>
      </c>
      <c r="C41" s="2054"/>
      <c r="D41" s="1368"/>
      <c r="E41" s="1436" t="s">
        <v>1253</v>
      </c>
      <c r="F41" s="726" t="s">
        <v>234</v>
      </c>
      <c r="G41" s="1469"/>
      <c r="H41" s="1452" t="s">
        <v>391</v>
      </c>
      <c r="I41" s="1439"/>
      <c r="J41" s="188"/>
      <c r="K41" s="188"/>
      <c r="L41" s="188"/>
      <c r="M41" s="190"/>
      <c r="N41" s="177"/>
      <c r="O41" s="2067" t="s">
        <v>1406</v>
      </c>
    </row>
    <row r="42" spans="1:16" ht="24" customHeight="1">
      <c r="A42" s="2066"/>
      <c r="B42" s="2054"/>
      <c r="C42" s="2054"/>
      <c r="D42" s="1369"/>
      <c r="E42" s="1437" t="s">
        <v>174</v>
      </c>
      <c r="F42" s="1432" t="s">
        <v>234</v>
      </c>
      <c r="G42" s="1470"/>
      <c r="H42" s="1453" t="s">
        <v>392</v>
      </c>
      <c r="I42" s="1440"/>
      <c r="J42" s="228"/>
      <c r="K42" s="228"/>
      <c r="L42" s="228"/>
      <c r="M42" s="192"/>
      <c r="N42" s="179"/>
      <c r="O42" s="2029"/>
    </row>
    <row r="43" spans="1:16" ht="24" customHeight="1">
      <c r="A43" s="2066"/>
      <c r="B43" s="2054"/>
      <c r="C43" s="2054"/>
      <c r="D43" s="1369"/>
      <c r="E43" s="1437" t="s">
        <v>175</v>
      </c>
      <c r="F43" s="1432" t="s">
        <v>234</v>
      </c>
      <c r="G43" s="1470"/>
      <c r="H43" s="1453" t="s">
        <v>390</v>
      </c>
      <c r="I43" s="1440"/>
      <c r="J43" s="228"/>
      <c r="K43" s="228"/>
      <c r="L43" s="228"/>
      <c r="M43" s="192"/>
      <c r="N43" s="179"/>
      <c r="O43" s="2029"/>
    </row>
    <row r="44" spans="1:16" ht="24" customHeight="1">
      <c r="A44" s="2066"/>
      <c r="B44" s="2054"/>
      <c r="C44" s="2054"/>
      <c r="D44" s="1370"/>
      <c r="E44" s="1438" t="s">
        <v>176</v>
      </c>
      <c r="F44" s="1442" t="s">
        <v>234</v>
      </c>
      <c r="G44" s="1471"/>
      <c r="H44" s="1454" t="s">
        <v>393</v>
      </c>
      <c r="I44" s="1441"/>
      <c r="J44" s="229"/>
      <c r="K44" s="229"/>
      <c r="L44" s="229"/>
      <c r="M44" s="194"/>
      <c r="N44" s="166"/>
      <c r="O44" s="2030"/>
    </row>
    <row r="45" spans="1:16" ht="25.5" customHeight="1">
      <c r="A45" s="749"/>
    </row>
    <row r="46" spans="1:16">
      <c r="A46" s="100" t="s">
        <v>1054</v>
      </c>
      <c r="B46" s="100"/>
      <c r="C46" s="100"/>
      <c r="D46" s="100"/>
      <c r="E46" s="100"/>
      <c r="F46" s="100"/>
      <c r="G46" s="1139"/>
      <c r="H46" s="1139"/>
      <c r="I46" s="100"/>
      <c r="J46" s="100"/>
      <c r="K46" s="100"/>
      <c r="L46" s="100"/>
      <c r="M46" s="100"/>
      <c r="N46" s="100"/>
      <c r="O46" s="100"/>
    </row>
    <row r="47" spans="1:16" ht="30" customHeight="1">
      <c r="A47" s="2013" t="s">
        <v>5</v>
      </c>
      <c r="B47" s="1993"/>
      <c r="C47" s="1993"/>
      <c r="D47" s="1993"/>
      <c r="E47" s="1993"/>
      <c r="F47" s="2006" t="s">
        <v>1391</v>
      </c>
      <c r="G47" s="2006"/>
      <c r="H47" s="2009"/>
      <c r="I47" s="2009"/>
      <c r="J47" s="2009"/>
      <c r="K47" s="2009"/>
      <c r="L47" s="2009"/>
      <c r="M47" s="904" t="s">
        <v>1187</v>
      </c>
      <c r="N47" s="838" t="s">
        <v>1393</v>
      </c>
      <c r="O47" s="1356"/>
    </row>
    <row r="48" spans="1:16" ht="30" customHeight="1">
      <c r="A48" s="2014"/>
      <c r="B48" s="1993"/>
      <c r="C48" s="1993"/>
      <c r="D48" s="1993"/>
      <c r="E48" s="1993"/>
      <c r="F48" s="2006" t="s">
        <v>1371</v>
      </c>
      <c r="G48" s="2006"/>
      <c r="H48" s="2009"/>
      <c r="I48" s="2009"/>
      <c r="J48" s="2009"/>
      <c r="K48" s="2009"/>
      <c r="L48" s="2009"/>
      <c r="M48" s="35"/>
      <c r="N48" s="7"/>
      <c r="O48" s="839"/>
    </row>
    <row r="49" spans="1:16" ht="30" customHeight="1">
      <c r="A49" s="2013" t="s">
        <v>38</v>
      </c>
      <c r="B49" s="1993"/>
      <c r="C49" s="1993"/>
      <c r="D49" s="1993"/>
      <c r="E49" s="1993"/>
      <c r="F49" s="2007" t="s">
        <v>1392</v>
      </c>
      <c r="G49" s="2007"/>
      <c r="H49" s="2009"/>
      <c r="I49" s="2009"/>
      <c r="J49" s="2009"/>
      <c r="K49" s="2009"/>
      <c r="L49" s="2009"/>
      <c r="M49" s="35"/>
      <c r="N49" s="7"/>
      <c r="O49" s="839"/>
    </row>
    <row r="50" spans="1:16" ht="30" customHeight="1">
      <c r="A50" s="2014"/>
      <c r="B50" s="1993"/>
      <c r="C50" s="1993"/>
      <c r="D50" s="1993"/>
      <c r="E50" s="1993"/>
      <c r="F50" s="2008" t="s">
        <v>1372</v>
      </c>
      <c r="G50" s="2008"/>
      <c r="H50" s="2009"/>
      <c r="I50" s="2009"/>
      <c r="J50" s="2009"/>
      <c r="K50" s="2009"/>
      <c r="L50" s="2009"/>
      <c r="M50" s="35"/>
      <c r="N50" s="7"/>
      <c r="O50" s="839"/>
    </row>
    <row r="51" spans="1:16" ht="60" customHeight="1">
      <c r="A51" s="908" t="s">
        <v>1227</v>
      </c>
      <c r="B51" s="2004" t="s">
        <v>6</v>
      </c>
      <c r="C51" s="2005"/>
      <c r="D51" s="1323" t="s">
        <v>1407</v>
      </c>
      <c r="E51" s="82" t="s">
        <v>64</v>
      </c>
      <c r="F51" s="2001" t="s">
        <v>1</v>
      </c>
      <c r="G51" s="2002"/>
      <c r="H51" s="2003"/>
      <c r="I51" s="1038" t="s">
        <v>66</v>
      </c>
      <c r="J51" s="1038" t="s">
        <v>1376</v>
      </c>
      <c r="K51" s="1372" t="s">
        <v>1377</v>
      </c>
      <c r="L51" s="1372" t="s">
        <v>1375</v>
      </c>
      <c r="M51" s="1069" t="s">
        <v>1378</v>
      </c>
      <c r="N51" s="1069" t="s">
        <v>1387</v>
      </c>
      <c r="O51" s="1322" t="s">
        <v>1379</v>
      </c>
    </row>
    <row r="52" spans="1:16" ht="23.4" customHeight="1">
      <c r="A52" s="2066" t="s">
        <v>1088</v>
      </c>
      <c r="B52" s="2068" t="s">
        <v>1577</v>
      </c>
      <c r="C52" s="2069"/>
      <c r="D52" s="1338"/>
      <c r="E52" s="1360" t="s">
        <v>397</v>
      </c>
      <c r="F52" s="2056" t="s">
        <v>398</v>
      </c>
      <c r="G52" s="2057"/>
      <c r="H52" s="2058"/>
      <c r="I52" s="119"/>
      <c r="J52" s="120"/>
      <c r="K52" s="120"/>
      <c r="L52" s="120"/>
      <c r="M52" s="1430" t="s">
        <v>1401</v>
      </c>
      <c r="N52" s="1429" t="s">
        <v>1588</v>
      </c>
      <c r="O52" s="938" t="s">
        <v>1236</v>
      </c>
    </row>
    <row r="53" spans="1:16" ht="20.100000000000001" hidden="1" customHeight="1">
      <c r="A53" s="2066"/>
      <c r="B53" s="2068"/>
      <c r="C53" s="2069"/>
      <c r="D53" s="1474"/>
      <c r="E53" s="1475" t="s">
        <v>399</v>
      </c>
      <c r="F53" s="1427" t="s">
        <v>184</v>
      </c>
      <c r="G53" s="1456"/>
      <c r="H53" s="1443"/>
      <c r="I53" s="1428"/>
      <c r="J53" s="1428"/>
      <c r="K53" s="1428"/>
      <c r="L53" s="1428"/>
      <c r="M53" s="1431"/>
      <c r="N53" s="1212"/>
      <c r="O53" s="930"/>
      <c r="P53" t="s">
        <v>1396</v>
      </c>
    </row>
    <row r="54" spans="1:16" ht="23.4" customHeight="1">
      <c r="A54" s="2010" t="s">
        <v>1083</v>
      </c>
      <c r="B54" s="2059" t="s">
        <v>400</v>
      </c>
      <c r="C54" s="2049"/>
      <c r="D54" s="1334"/>
      <c r="E54" s="1426" t="s">
        <v>1400</v>
      </c>
      <c r="F54" s="202" t="s">
        <v>189</v>
      </c>
      <c r="G54" s="1457"/>
      <c r="H54" s="680"/>
      <c r="I54" s="204"/>
      <c r="J54" s="205"/>
      <c r="K54" s="205"/>
      <c r="L54" s="205"/>
      <c r="M54" s="2062" t="s">
        <v>1402</v>
      </c>
      <c r="N54" s="2052" t="s">
        <v>1587</v>
      </c>
      <c r="O54" s="936" t="str">
        <f t="shared" ref="O54:O57" si="1">HYPERLINK(VLOOKUP(F54,LINK,2,FALSE),VLOOKUP(F54,LINK,3,FALSE))</f>
        <v>EXCEL</v>
      </c>
      <c r="P54" t="s">
        <v>1398</v>
      </c>
    </row>
    <row r="55" spans="1:16" ht="23.4" customHeight="1">
      <c r="A55" s="2012"/>
      <c r="B55" s="2060"/>
      <c r="C55" s="2061"/>
      <c r="D55" s="1336"/>
      <c r="E55" s="142" t="s">
        <v>106</v>
      </c>
      <c r="F55" s="206" t="s">
        <v>10</v>
      </c>
      <c r="G55" s="1458"/>
      <c r="H55" s="1444"/>
      <c r="I55" s="1370"/>
      <c r="J55" s="147"/>
      <c r="K55" s="147"/>
      <c r="L55" s="147"/>
      <c r="M55" s="2063"/>
      <c r="N55" s="2053"/>
      <c r="O55" s="930" t="str">
        <f t="shared" si="1"/>
        <v>EXCEL</v>
      </c>
    </row>
    <row r="56" spans="1:16" ht="23.4" customHeight="1">
      <c r="A56" s="2066" t="s">
        <v>1099</v>
      </c>
      <c r="B56" s="2054" t="s">
        <v>1079</v>
      </c>
      <c r="C56" s="2054"/>
      <c r="D56" s="1333"/>
      <c r="E56" s="167" t="s">
        <v>1386</v>
      </c>
      <c r="F56" s="149" t="s">
        <v>190</v>
      </c>
      <c r="G56" s="1459"/>
      <c r="H56" s="1445"/>
      <c r="I56" s="152"/>
      <c r="J56" s="153"/>
      <c r="K56" s="153"/>
      <c r="L56" s="153"/>
      <c r="M56" s="1324" t="s">
        <v>1381</v>
      </c>
      <c r="N56" s="1221" t="s">
        <v>1384</v>
      </c>
      <c r="O56" s="936" t="str">
        <f t="shared" si="1"/>
        <v>EXCEL</v>
      </c>
    </row>
    <row r="57" spans="1:16" ht="23.4" customHeight="1">
      <c r="A57" s="2066"/>
      <c r="B57" s="2054"/>
      <c r="C57" s="2054"/>
      <c r="D57" s="1335"/>
      <c r="E57" s="154" t="s">
        <v>240</v>
      </c>
      <c r="F57" s="155" t="s">
        <v>11</v>
      </c>
      <c r="G57" s="1460"/>
      <c r="H57" s="1446"/>
      <c r="I57" s="158"/>
      <c r="J57" s="159"/>
      <c r="K57" s="159"/>
      <c r="L57" s="159"/>
      <c r="M57" s="2038" t="s">
        <v>1382</v>
      </c>
      <c r="N57" s="1222" t="s">
        <v>1385</v>
      </c>
      <c r="O57" s="2029" t="str">
        <f t="shared" si="1"/>
        <v>ACCESS</v>
      </c>
    </row>
    <row r="58" spans="1:16" ht="23.4" customHeight="1">
      <c r="A58" s="2066"/>
      <c r="B58" s="2054"/>
      <c r="C58" s="2054"/>
      <c r="D58" s="1336"/>
      <c r="E58" s="160" t="s">
        <v>242</v>
      </c>
      <c r="F58" s="161" t="s">
        <v>12</v>
      </c>
      <c r="G58" s="1461"/>
      <c r="H58" s="1447"/>
      <c r="I58" s="164"/>
      <c r="J58" s="165"/>
      <c r="K58" s="165"/>
      <c r="L58" s="165"/>
      <c r="M58" s="2039"/>
      <c r="N58" s="166"/>
      <c r="O58" s="2030"/>
    </row>
    <row r="59" spans="1:16" ht="23.4" customHeight="1">
      <c r="A59" s="2011" t="s">
        <v>1084</v>
      </c>
      <c r="B59" s="1987" t="s">
        <v>13</v>
      </c>
      <c r="C59" s="1988"/>
      <c r="D59" s="939"/>
      <c r="E59" s="148" t="s">
        <v>245</v>
      </c>
      <c r="F59" s="202" t="s">
        <v>14</v>
      </c>
      <c r="G59" s="1457"/>
      <c r="H59" s="680"/>
      <c r="I59" s="129"/>
      <c r="J59" s="130"/>
      <c r="K59" s="130"/>
      <c r="L59" s="130"/>
      <c r="M59" s="130"/>
      <c r="N59" s="209" t="s">
        <v>1661</v>
      </c>
      <c r="O59" s="2018" t="s">
        <v>1243</v>
      </c>
    </row>
    <row r="60" spans="1:16" ht="23.4" customHeight="1">
      <c r="A60" s="2011"/>
      <c r="B60" s="1989"/>
      <c r="C60" s="1990"/>
      <c r="D60" s="215"/>
      <c r="E60" s="216" t="s">
        <v>245</v>
      </c>
      <c r="F60" s="211" t="s">
        <v>14</v>
      </c>
      <c r="G60" s="1462"/>
      <c r="H60" s="1448"/>
      <c r="I60" s="137"/>
      <c r="J60" s="138"/>
      <c r="K60" s="138"/>
      <c r="L60" s="138"/>
      <c r="M60" s="138"/>
      <c r="N60" s="213" t="s">
        <v>1661</v>
      </c>
      <c r="O60" s="2019"/>
    </row>
    <row r="61" spans="1:16" ht="23.4" customHeight="1">
      <c r="A61" s="2011"/>
      <c r="B61" s="1989"/>
      <c r="C61" s="1990"/>
      <c r="D61" s="215"/>
      <c r="E61" s="216" t="s">
        <v>1028</v>
      </c>
      <c r="F61" s="720" t="s">
        <v>191</v>
      </c>
      <c r="G61" s="1463"/>
      <c r="H61" s="1449"/>
      <c r="I61" s="218"/>
      <c r="J61" s="220"/>
      <c r="K61" s="220"/>
      <c r="L61" s="220"/>
      <c r="M61" s="220"/>
      <c r="N61" s="221"/>
      <c r="O61" s="2019"/>
    </row>
    <row r="62" spans="1:16" ht="23.4" customHeight="1">
      <c r="A62" s="2012"/>
      <c r="B62" s="1991"/>
      <c r="C62" s="1992"/>
      <c r="D62" s="215"/>
      <c r="E62" s="957" t="s">
        <v>58</v>
      </c>
      <c r="F62" s="206" t="s">
        <v>191</v>
      </c>
      <c r="G62" s="1458"/>
      <c r="H62" s="1444"/>
      <c r="I62" s="218"/>
      <c r="J62" s="147"/>
      <c r="K62" s="220"/>
      <c r="L62" s="220"/>
      <c r="M62" s="220"/>
      <c r="N62" s="221"/>
      <c r="O62" s="2020"/>
    </row>
    <row r="63" spans="1:16" ht="33.6" customHeight="1">
      <c r="A63" s="2015" t="s">
        <v>1369</v>
      </c>
      <c r="B63" s="1987" t="s">
        <v>1370</v>
      </c>
      <c r="C63" s="1988"/>
      <c r="D63" s="939"/>
      <c r="E63" s="967" t="s">
        <v>1186</v>
      </c>
      <c r="F63" s="202" t="s">
        <v>17</v>
      </c>
      <c r="G63" s="1457"/>
      <c r="H63" s="680"/>
      <c r="I63" s="129"/>
      <c r="J63" s="130"/>
      <c r="K63" s="130"/>
      <c r="L63" s="130"/>
      <c r="M63" s="130"/>
      <c r="N63" s="209"/>
      <c r="O63" s="936" t="str">
        <f>HYPERLINK(VLOOKUP(F63,LINK,2,FALSE),VLOOKUP(F63,LINK,3,FALSE))</f>
        <v>EXCEL</v>
      </c>
    </row>
    <row r="64" spans="1:16" ht="33.6" customHeight="1">
      <c r="A64" s="2011"/>
      <c r="B64" s="1989"/>
      <c r="C64" s="1990"/>
      <c r="D64" s="942"/>
      <c r="E64" s="963" t="s">
        <v>18</v>
      </c>
      <c r="F64" s="206" t="s">
        <v>401</v>
      </c>
      <c r="G64" s="1458"/>
      <c r="H64" s="1444"/>
      <c r="I64" s="174"/>
      <c r="J64" s="147"/>
      <c r="K64" s="147"/>
      <c r="L64" s="147"/>
      <c r="M64" s="147"/>
      <c r="N64" s="210"/>
      <c r="O64" s="930" t="str">
        <f>HYPERLINK(VLOOKUP(F64,LINK,2,FALSE),VLOOKUP(F64,LINK,3,FALSE))</f>
        <v>EXCEL</v>
      </c>
    </row>
    <row r="65" spans="1:16" ht="23.4" hidden="1" customHeight="1">
      <c r="A65" s="2012"/>
      <c r="B65" s="1991"/>
      <c r="C65" s="1992"/>
      <c r="D65" s="972"/>
      <c r="E65" s="719" t="s">
        <v>1025</v>
      </c>
      <c r="F65" s="715"/>
      <c r="G65" s="1472"/>
      <c r="H65" s="1453"/>
      <c r="I65" s="2064" t="s">
        <v>1026</v>
      </c>
      <c r="J65" s="2065"/>
      <c r="K65" s="2065"/>
      <c r="L65" s="2065"/>
      <c r="M65" s="718"/>
      <c r="N65" s="1213" t="s">
        <v>1027</v>
      </c>
      <c r="O65" s="927"/>
    </row>
    <row r="66" spans="1:16" ht="23.4" customHeight="1">
      <c r="A66" s="750" t="s">
        <v>1082</v>
      </c>
      <c r="B66" s="1985" t="s">
        <v>1255</v>
      </c>
      <c r="C66" s="1986"/>
      <c r="D66" s="1315"/>
      <c r="E66" s="1319" t="s">
        <v>262</v>
      </c>
      <c r="F66" s="1320" t="s">
        <v>263</v>
      </c>
      <c r="G66" s="1464"/>
      <c r="H66" s="1450"/>
      <c r="I66" s="1339"/>
      <c r="J66" s="1316"/>
      <c r="K66" s="1316"/>
      <c r="L66" s="1317"/>
      <c r="M66" s="186"/>
      <c r="N66" s="122"/>
      <c r="O66" s="1314" t="str">
        <f>HYPERLINK(VLOOKUP(F66,LINK,2,FALSE),VLOOKUP(F66,LINK,3,FALSE))</f>
        <v>EXCEL</v>
      </c>
    </row>
    <row r="67" spans="1:16" ht="23.4" customHeight="1">
      <c r="A67" s="2010" t="s">
        <v>1085</v>
      </c>
      <c r="B67" s="1989" t="s">
        <v>1414</v>
      </c>
      <c r="C67" s="1990"/>
      <c r="D67" s="939"/>
      <c r="E67" s="967" t="s">
        <v>1186</v>
      </c>
      <c r="F67" s="202" t="s">
        <v>17</v>
      </c>
      <c r="G67" s="1457"/>
      <c r="H67" s="680"/>
      <c r="I67" s="129"/>
      <c r="J67" s="130"/>
      <c r="K67" s="130"/>
      <c r="L67" s="130"/>
      <c r="M67" s="130"/>
      <c r="N67" s="209"/>
      <c r="O67" s="936" t="str">
        <f>HYPERLINK(VLOOKUP(F67,LINK,2,FALSE),VLOOKUP(F67,LINK,3,FALSE))</f>
        <v>EXCEL</v>
      </c>
    </row>
    <row r="68" spans="1:16" ht="23.4" customHeight="1">
      <c r="A68" s="2011"/>
      <c r="B68" s="1989"/>
      <c r="C68" s="1990"/>
      <c r="D68" s="941"/>
      <c r="E68" s="515" t="s">
        <v>18</v>
      </c>
      <c r="F68" s="211" t="s">
        <v>401</v>
      </c>
      <c r="G68" s="1462"/>
      <c r="H68" s="1448"/>
      <c r="I68" s="137"/>
      <c r="J68" s="138"/>
      <c r="K68" s="138"/>
      <c r="L68" s="138"/>
      <c r="M68" s="138"/>
      <c r="N68" s="213"/>
      <c r="O68" s="929" t="str">
        <f>HYPERLINK(VLOOKUP(F68,LINK,2,FALSE),VLOOKUP(F68,LINK,3,FALSE))</f>
        <v>EXCEL</v>
      </c>
    </row>
    <row r="69" spans="1:16" ht="23.4" customHeight="1">
      <c r="A69" s="2011"/>
      <c r="B69" s="1989"/>
      <c r="C69" s="1990"/>
      <c r="D69" s="941"/>
      <c r="E69" s="515" t="s">
        <v>15</v>
      </c>
      <c r="F69" s="211" t="s">
        <v>395</v>
      </c>
      <c r="G69" s="1465" t="s">
        <v>984</v>
      </c>
      <c r="H69" s="1448" t="s">
        <v>392</v>
      </c>
      <c r="I69" s="970" t="s">
        <v>1655</v>
      </c>
      <c r="J69" s="172"/>
      <c r="K69" s="172"/>
      <c r="L69" s="172"/>
      <c r="M69" s="138"/>
      <c r="N69" s="2050" t="s">
        <v>1404</v>
      </c>
      <c r="O69" s="2029"/>
    </row>
    <row r="70" spans="1:16" ht="23.4" customHeight="1">
      <c r="A70" s="2012"/>
      <c r="B70" s="1991"/>
      <c r="C70" s="1992"/>
      <c r="D70" s="942"/>
      <c r="E70" s="963" t="s">
        <v>16</v>
      </c>
      <c r="F70" s="206" t="s">
        <v>395</v>
      </c>
      <c r="G70" s="1458"/>
      <c r="H70" s="1444" t="s">
        <v>390</v>
      </c>
      <c r="I70" s="968"/>
      <c r="J70" s="147"/>
      <c r="K70" s="147"/>
      <c r="L70" s="175"/>
      <c r="M70" s="147"/>
      <c r="N70" s="2051"/>
      <c r="O70" s="2030"/>
    </row>
    <row r="71" spans="1:16" ht="23.4" customHeight="1">
      <c r="A71" s="2015" t="s">
        <v>1403</v>
      </c>
      <c r="B71" s="1987" t="s">
        <v>1100</v>
      </c>
      <c r="C71" s="1988"/>
      <c r="D71" s="939"/>
      <c r="E71" s="167" t="s">
        <v>1386</v>
      </c>
      <c r="F71" s="149" t="s">
        <v>190</v>
      </c>
      <c r="G71" s="1459"/>
      <c r="H71" s="1445"/>
      <c r="I71" s="152"/>
      <c r="J71" s="153"/>
      <c r="K71" s="153"/>
      <c r="L71" s="153"/>
      <c r="M71" s="1324" t="s">
        <v>1381</v>
      </c>
      <c r="N71" s="1221" t="s">
        <v>1384</v>
      </c>
      <c r="O71" s="936" t="str">
        <f>HYPERLINK(VLOOKUP(F71,LINK,2,FALSE),VLOOKUP(F71,LINK,3,FALSE))</f>
        <v>EXCEL</v>
      </c>
    </row>
    <row r="72" spans="1:16" ht="24">
      <c r="A72" s="2011"/>
      <c r="B72" s="1989"/>
      <c r="C72" s="1990"/>
      <c r="D72" s="941"/>
      <c r="E72" s="154" t="s">
        <v>240</v>
      </c>
      <c r="F72" s="155" t="s">
        <v>11</v>
      </c>
      <c r="G72" s="1460"/>
      <c r="H72" s="1446"/>
      <c r="I72" s="158"/>
      <c r="J72" s="159"/>
      <c r="K72" s="159"/>
      <c r="L72" s="159"/>
      <c r="M72" s="2038" t="s">
        <v>1382</v>
      </c>
      <c r="N72" s="1222" t="s">
        <v>1385</v>
      </c>
      <c r="O72" s="2029" t="str">
        <f>HYPERLINK(VLOOKUP(F72,LINK,2,FALSE),VLOOKUP(F72,LINK,3,FALSE))</f>
        <v>ACCESS</v>
      </c>
    </row>
    <row r="73" spans="1:16" ht="23.4" customHeight="1">
      <c r="A73" s="2012"/>
      <c r="B73" s="1991"/>
      <c r="C73" s="1992"/>
      <c r="D73" s="942"/>
      <c r="E73" s="160" t="s">
        <v>242</v>
      </c>
      <c r="F73" s="161" t="s">
        <v>12</v>
      </c>
      <c r="G73" s="1461"/>
      <c r="H73" s="1447"/>
      <c r="I73" s="164"/>
      <c r="J73" s="165"/>
      <c r="K73" s="165"/>
      <c r="L73" s="165"/>
      <c r="M73" s="2039"/>
      <c r="N73" s="166"/>
      <c r="O73" s="2030"/>
    </row>
    <row r="74" spans="1:16" ht="23.4" customHeight="1">
      <c r="A74" s="2010" t="s">
        <v>1086</v>
      </c>
      <c r="B74" s="2059" t="s">
        <v>1246</v>
      </c>
      <c r="C74" s="2049"/>
      <c r="D74" s="939"/>
      <c r="E74" s="962" t="s">
        <v>4</v>
      </c>
      <c r="F74" s="202" t="s">
        <v>17</v>
      </c>
      <c r="G74" s="1457"/>
      <c r="H74" s="680"/>
      <c r="I74" s="129"/>
      <c r="J74" s="130"/>
      <c r="K74" s="130"/>
      <c r="L74" s="130"/>
      <c r="M74" s="130"/>
      <c r="N74" s="209"/>
      <c r="O74" s="2018" t="str">
        <f>HYPERLINK(VLOOKUP(F74,LINK,2,FALSE),VLOOKUP(F74,LINK,3,FALSE))</f>
        <v>EXCEL</v>
      </c>
    </row>
    <row r="75" spans="1:16" ht="23.4" customHeight="1">
      <c r="A75" s="2012"/>
      <c r="B75" s="2060"/>
      <c r="C75" s="2061"/>
      <c r="D75" s="941"/>
      <c r="E75" s="515" t="s">
        <v>18</v>
      </c>
      <c r="F75" s="206" t="s">
        <v>401</v>
      </c>
      <c r="G75" s="1458"/>
      <c r="H75" s="1444"/>
      <c r="I75" s="137"/>
      <c r="J75" s="138"/>
      <c r="K75" s="138"/>
      <c r="L75" s="138"/>
      <c r="M75" s="138"/>
      <c r="N75" s="213"/>
      <c r="O75" s="2020"/>
    </row>
    <row r="76" spans="1:16" ht="23.4" customHeight="1">
      <c r="A76" s="2010" t="s">
        <v>1087</v>
      </c>
      <c r="B76" s="1987" t="s">
        <v>1245</v>
      </c>
      <c r="C76" s="1988"/>
      <c r="D76" s="939"/>
      <c r="E76" s="962" t="s">
        <v>192</v>
      </c>
      <c r="F76" s="949" t="s">
        <v>396</v>
      </c>
      <c r="G76" s="679"/>
      <c r="H76" s="680" t="s">
        <v>391</v>
      </c>
      <c r="I76" s="129"/>
      <c r="J76" s="130"/>
      <c r="K76" s="130"/>
      <c r="L76" s="130"/>
      <c r="M76" s="130"/>
      <c r="N76" s="747"/>
      <c r="O76" s="2018" t="s">
        <v>1406</v>
      </c>
      <c r="P76" t="s">
        <v>1405</v>
      </c>
    </row>
    <row r="77" spans="1:16" ht="23.4" customHeight="1">
      <c r="A77" s="2011"/>
      <c r="B77" s="1989"/>
      <c r="C77" s="1990"/>
      <c r="D77" s="940"/>
      <c r="E77" s="515" t="s">
        <v>193</v>
      </c>
      <c r="F77" s="952" t="s">
        <v>233</v>
      </c>
      <c r="G77" s="1466"/>
      <c r="H77" s="1448" t="s">
        <v>392</v>
      </c>
      <c r="I77" s="137"/>
      <c r="J77" s="172"/>
      <c r="K77" s="172"/>
      <c r="L77" s="172"/>
      <c r="M77" s="138"/>
      <c r="N77" s="213"/>
      <c r="O77" s="2019"/>
    </row>
    <row r="78" spans="1:16" ht="23.4" customHeight="1">
      <c r="A78" s="2011"/>
      <c r="B78" s="1989"/>
      <c r="C78" s="1990"/>
      <c r="D78" s="941"/>
      <c r="E78" s="515" t="s">
        <v>194</v>
      </c>
      <c r="F78" s="181" t="s">
        <v>233</v>
      </c>
      <c r="G78" s="1467"/>
      <c r="H78" s="1451" t="s">
        <v>390</v>
      </c>
      <c r="I78" s="137"/>
      <c r="J78" s="172"/>
      <c r="K78" s="172"/>
      <c r="L78" s="172"/>
      <c r="M78" s="138"/>
      <c r="N78" s="214"/>
      <c r="O78" s="2019"/>
    </row>
    <row r="79" spans="1:16" ht="23.4" customHeight="1">
      <c r="A79" s="2011"/>
      <c r="B79" s="1989"/>
      <c r="C79" s="1990"/>
      <c r="D79" s="215"/>
      <c r="E79" s="515" t="s">
        <v>195</v>
      </c>
      <c r="F79" s="952" t="s">
        <v>233</v>
      </c>
      <c r="G79" s="1466"/>
      <c r="H79" s="1448" t="s">
        <v>393</v>
      </c>
      <c r="I79" s="137"/>
      <c r="J79" s="172"/>
      <c r="K79" s="172"/>
      <c r="L79" s="172"/>
      <c r="M79" s="205"/>
      <c r="N79" s="222"/>
      <c r="O79" s="2019"/>
    </row>
    <row r="80" spans="1:16" ht="23.4" customHeight="1">
      <c r="A80" s="2012"/>
      <c r="B80" s="1991"/>
      <c r="C80" s="1992"/>
      <c r="D80" s="942"/>
      <c r="E80" s="963" t="s">
        <v>196</v>
      </c>
      <c r="F80" s="946" t="s">
        <v>233</v>
      </c>
      <c r="G80" s="1473"/>
      <c r="H80" s="1444" t="s">
        <v>394</v>
      </c>
      <c r="I80" s="174"/>
      <c r="J80" s="175"/>
      <c r="K80" s="175"/>
      <c r="L80" s="175"/>
      <c r="M80" s="147"/>
      <c r="N80" s="210"/>
      <c r="O80" s="2020"/>
    </row>
    <row r="81" spans="1:16" ht="23.4" customHeight="1">
      <c r="A81" s="2010" t="s">
        <v>1321</v>
      </c>
      <c r="B81" s="1987" t="s">
        <v>1319</v>
      </c>
      <c r="C81" s="1988"/>
      <c r="D81" s="969"/>
      <c r="E81" s="1436" t="s">
        <v>1253</v>
      </c>
      <c r="F81" s="726" t="s">
        <v>234</v>
      </c>
      <c r="G81" s="1469"/>
      <c r="H81" s="1452" t="s">
        <v>391</v>
      </c>
      <c r="I81" s="959"/>
      <c r="J81" s="188"/>
      <c r="K81" s="188"/>
      <c r="L81" s="188"/>
      <c r="M81" s="190"/>
      <c r="N81" s="177"/>
      <c r="O81" s="2018" t="s">
        <v>1406</v>
      </c>
    </row>
    <row r="82" spans="1:16" ht="23.4" customHeight="1">
      <c r="A82" s="2011"/>
      <c r="B82" s="1989"/>
      <c r="C82" s="1990"/>
      <c r="D82" s="970"/>
      <c r="E82" s="1437" t="s">
        <v>174</v>
      </c>
      <c r="F82" s="1432" t="s">
        <v>234</v>
      </c>
      <c r="G82" s="1470"/>
      <c r="H82" s="1453" t="s">
        <v>392</v>
      </c>
      <c r="I82" s="960"/>
      <c r="J82" s="228"/>
      <c r="K82" s="228"/>
      <c r="L82" s="228"/>
      <c r="M82" s="192"/>
      <c r="N82" s="179"/>
      <c r="O82" s="2019"/>
    </row>
    <row r="83" spans="1:16" ht="23.4" customHeight="1">
      <c r="A83" s="2011"/>
      <c r="B83" s="1989"/>
      <c r="C83" s="1990"/>
      <c r="D83" s="970"/>
      <c r="E83" s="1437" t="s">
        <v>175</v>
      </c>
      <c r="F83" s="1432" t="s">
        <v>234</v>
      </c>
      <c r="G83" s="1470"/>
      <c r="H83" s="1453" t="s">
        <v>390</v>
      </c>
      <c r="I83" s="960"/>
      <c r="J83" s="228"/>
      <c r="K83" s="228"/>
      <c r="L83" s="228"/>
      <c r="M83" s="192"/>
      <c r="N83" s="179"/>
      <c r="O83" s="2019"/>
    </row>
    <row r="84" spans="1:16" ht="23.4" customHeight="1">
      <c r="A84" s="2012"/>
      <c r="B84" s="1991"/>
      <c r="C84" s="1992"/>
      <c r="D84" s="968"/>
      <c r="E84" s="1438" t="s">
        <v>176</v>
      </c>
      <c r="F84" s="1442" t="s">
        <v>234</v>
      </c>
      <c r="G84" s="1471"/>
      <c r="H84" s="1454" t="s">
        <v>393</v>
      </c>
      <c r="I84" s="961"/>
      <c r="J84" s="229"/>
      <c r="K84" s="229"/>
      <c r="L84" s="229"/>
      <c r="M84" s="194"/>
      <c r="N84" s="166"/>
      <c r="O84" s="2020"/>
    </row>
    <row r="87" spans="1:16">
      <c r="A87" s="100" t="s">
        <v>1054</v>
      </c>
      <c r="B87" s="100"/>
      <c r="C87" s="100"/>
      <c r="D87" s="100"/>
      <c r="E87" s="100"/>
      <c r="F87" s="100"/>
      <c r="G87" s="1139"/>
      <c r="H87" s="1139"/>
      <c r="I87" s="100"/>
      <c r="J87" s="100"/>
      <c r="K87" s="100"/>
      <c r="L87" s="100"/>
      <c r="M87" s="100"/>
      <c r="N87" s="100"/>
      <c r="O87" s="100"/>
    </row>
    <row r="88" spans="1:16" ht="30" customHeight="1">
      <c r="A88" s="2013" t="s">
        <v>5</v>
      </c>
      <c r="B88" s="1993"/>
      <c r="C88" s="1993"/>
      <c r="D88" s="1993"/>
      <c r="E88" s="1993"/>
      <c r="F88" s="2006" t="s">
        <v>1391</v>
      </c>
      <c r="G88" s="2006"/>
      <c r="H88" s="2009"/>
      <c r="I88" s="2009"/>
      <c r="J88" s="2009"/>
      <c r="K88" s="2009"/>
      <c r="L88" s="2009"/>
      <c r="M88" s="904" t="s">
        <v>1187</v>
      </c>
      <c r="N88" s="838" t="s">
        <v>1393</v>
      </c>
      <c r="O88" s="1356"/>
    </row>
    <row r="89" spans="1:16" ht="30" customHeight="1">
      <c r="A89" s="2014"/>
      <c r="B89" s="1993"/>
      <c r="C89" s="1993"/>
      <c r="D89" s="1993"/>
      <c r="E89" s="1993"/>
      <c r="F89" s="2006" t="s">
        <v>1371</v>
      </c>
      <c r="G89" s="2006"/>
      <c r="H89" s="2009"/>
      <c r="I89" s="2009"/>
      <c r="J89" s="2009"/>
      <c r="K89" s="2009"/>
      <c r="L89" s="2009"/>
      <c r="M89" s="35"/>
      <c r="N89" s="7"/>
      <c r="O89" s="839"/>
    </row>
    <row r="90" spans="1:16" ht="30" customHeight="1">
      <c r="A90" s="2013" t="s">
        <v>38</v>
      </c>
      <c r="B90" s="1993"/>
      <c r="C90" s="1993"/>
      <c r="D90" s="1993"/>
      <c r="E90" s="1993"/>
      <c r="F90" s="2007" t="s">
        <v>1392</v>
      </c>
      <c r="G90" s="2007"/>
      <c r="H90" s="2009"/>
      <c r="I90" s="2009"/>
      <c r="J90" s="2009"/>
      <c r="K90" s="2009"/>
      <c r="L90" s="2009"/>
      <c r="M90" s="35"/>
      <c r="N90" s="7"/>
      <c r="O90" s="839"/>
    </row>
    <row r="91" spans="1:16" ht="30" customHeight="1">
      <c r="A91" s="2014"/>
      <c r="B91" s="1993"/>
      <c r="C91" s="1993"/>
      <c r="D91" s="1993"/>
      <c r="E91" s="1993"/>
      <c r="F91" s="2008" t="s">
        <v>1372</v>
      </c>
      <c r="G91" s="2008"/>
      <c r="H91" s="2009"/>
      <c r="I91" s="2009"/>
      <c r="J91" s="2009"/>
      <c r="K91" s="2009"/>
      <c r="L91" s="2009"/>
      <c r="M91" s="35"/>
      <c r="N91" s="7"/>
      <c r="O91" s="839"/>
    </row>
    <row r="92" spans="1:16" ht="60" customHeight="1">
      <c r="A92" s="908" t="s">
        <v>1227</v>
      </c>
      <c r="B92" s="2004" t="s">
        <v>6</v>
      </c>
      <c r="C92" s="2005"/>
      <c r="D92" s="1323" t="s">
        <v>1407</v>
      </c>
      <c r="E92" s="82" t="s">
        <v>64</v>
      </c>
      <c r="F92" s="2001" t="s">
        <v>1</v>
      </c>
      <c r="G92" s="2002"/>
      <c r="H92" s="2003"/>
      <c r="I92" s="1038" t="s">
        <v>66</v>
      </c>
      <c r="J92" s="1038" t="s">
        <v>1376</v>
      </c>
      <c r="K92" s="1372" t="s">
        <v>1377</v>
      </c>
      <c r="L92" s="1372" t="s">
        <v>1375</v>
      </c>
      <c r="M92" s="1069" t="s">
        <v>1378</v>
      </c>
      <c r="N92" s="1069" t="s">
        <v>1387</v>
      </c>
      <c r="O92" s="1322" t="s">
        <v>1379</v>
      </c>
    </row>
    <row r="93" spans="1:16" ht="24.6" customHeight="1">
      <c r="A93" s="2066" t="s">
        <v>1088</v>
      </c>
      <c r="B93" s="2068" t="s">
        <v>1585</v>
      </c>
      <c r="C93" s="2069"/>
      <c r="D93" s="1338"/>
      <c r="E93" s="1360" t="s">
        <v>397</v>
      </c>
      <c r="F93" s="2056" t="s">
        <v>398</v>
      </c>
      <c r="G93" s="2057"/>
      <c r="H93" s="2058"/>
      <c r="I93" s="119"/>
      <c r="J93" s="120"/>
      <c r="K93" s="120"/>
      <c r="L93" s="120"/>
      <c r="M93" s="1430" t="s">
        <v>1401</v>
      </c>
      <c r="N93" s="1429" t="s">
        <v>1586</v>
      </c>
      <c r="O93" s="938" t="s">
        <v>1236</v>
      </c>
    </row>
    <row r="94" spans="1:16" ht="20.100000000000001" hidden="1" customHeight="1">
      <c r="A94" s="2066"/>
      <c r="B94" s="2068"/>
      <c r="C94" s="2069"/>
      <c r="D94" s="1474"/>
      <c r="E94" s="1475" t="s">
        <v>399</v>
      </c>
      <c r="F94" s="1427" t="s">
        <v>184</v>
      </c>
      <c r="G94" s="1456"/>
      <c r="H94" s="1443"/>
      <c r="I94" s="1428"/>
      <c r="J94" s="1428"/>
      <c r="K94" s="1428"/>
      <c r="L94" s="1428"/>
      <c r="M94" s="1431"/>
      <c r="N94" s="1212"/>
      <c r="O94" s="930"/>
    </row>
    <row r="95" spans="1:16" ht="39.9" customHeight="1">
      <c r="A95" s="2010" t="s">
        <v>1083</v>
      </c>
      <c r="B95" s="2059" t="s">
        <v>400</v>
      </c>
      <c r="C95" s="2049"/>
      <c r="D95" s="1334"/>
      <c r="E95" s="1426" t="s">
        <v>1400</v>
      </c>
      <c r="F95" s="202" t="s">
        <v>189</v>
      </c>
      <c r="G95" s="1457"/>
      <c r="H95" s="680"/>
      <c r="I95" s="204"/>
      <c r="J95" s="205"/>
      <c r="K95" s="205"/>
      <c r="L95" s="205"/>
      <c r="M95" s="2062" t="s">
        <v>1402</v>
      </c>
      <c r="N95" s="2052" t="s">
        <v>1587</v>
      </c>
      <c r="O95" s="2018" t="str">
        <f t="shared" ref="O95" si="2">HYPERLINK(VLOOKUP(F95,LINK,2,FALSE),VLOOKUP(F95,LINK,3,FALSE))</f>
        <v>EXCEL</v>
      </c>
      <c r="P95" t="s">
        <v>1398</v>
      </c>
    </row>
    <row r="96" spans="1:16" ht="20.100000000000001" customHeight="1">
      <c r="A96" s="2012"/>
      <c r="B96" s="2060"/>
      <c r="C96" s="2061"/>
      <c r="D96" s="1336"/>
      <c r="E96" s="142" t="s">
        <v>106</v>
      </c>
      <c r="F96" s="206" t="s">
        <v>10</v>
      </c>
      <c r="G96" s="1458"/>
      <c r="H96" s="1444"/>
      <c r="I96" s="1370"/>
      <c r="J96" s="147"/>
      <c r="K96" s="147"/>
      <c r="L96" s="147"/>
      <c r="M96" s="2063"/>
      <c r="N96" s="2053"/>
      <c r="O96" s="2020"/>
    </row>
    <row r="97" spans="1:16" ht="24.6" customHeight="1">
      <c r="A97" s="2015" t="s">
        <v>1403</v>
      </c>
      <c r="B97" s="1987" t="s">
        <v>1100</v>
      </c>
      <c r="C97" s="1988"/>
      <c r="D97" s="939"/>
      <c r="E97" s="167" t="s">
        <v>1386</v>
      </c>
      <c r="F97" s="149" t="s">
        <v>190</v>
      </c>
      <c r="G97" s="1459"/>
      <c r="H97" s="1445"/>
      <c r="I97" s="152"/>
      <c r="J97" s="153"/>
      <c r="K97" s="153"/>
      <c r="L97" s="153"/>
      <c r="M97" s="1324" t="s">
        <v>1381</v>
      </c>
      <c r="N97" s="1221" t="s">
        <v>1384</v>
      </c>
      <c r="O97" s="936" t="str">
        <f>HYPERLINK(VLOOKUP(F97,LINK,2,FALSE),VLOOKUP(F97,LINK,3,FALSE))</f>
        <v>EXCEL</v>
      </c>
    </row>
    <row r="98" spans="1:16" ht="24.6" customHeight="1">
      <c r="A98" s="2070"/>
      <c r="B98" s="1989"/>
      <c r="C98" s="1990"/>
      <c r="D98" s="941"/>
      <c r="E98" s="154" t="s">
        <v>240</v>
      </c>
      <c r="F98" s="155" t="s">
        <v>11</v>
      </c>
      <c r="G98" s="1460"/>
      <c r="H98" s="1446"/>
      <c r="I98" s="158"/>
      <c r="J98" s="159"/>
      <c r="K98" s="159"/>
      <c r="L98" s="159"/>
      <c r="M98" s="2038" t="s">
        <v>1382</v>
      </c>
      <c r="N98" s="1222" t="s">
        <v>1385</v>
      </c>
      <c r="O98" s="929" t="str">
        <f>HYPERLINK(VLOOKUP(F98,LINK,2,FALSE),VLOOKUP(F98,LINK,3,FALSE))</f>
        <v>ACCESS</v>
      </c>
    </row>
    <row r="99" spans="1:16" ht="24.6" customHeight="1">
      <c r="A99" s="2071"/>
      <c r="B99" s="1991"/>
      <c r="C99" s="1992"/>
      <c r="D99" s="942"/>
      <c r="E99" s="160" t="s">
        <v>242</v>
      </c>
      <c r="F99" s="161" t="s">
        <v>12</v>
      </c>
      <c r="G99" s="1461"/>
      <c r="H99" s="1447"/>
      <c r="I99" s="164"/>
      <c r="J99" s="165"/>
      <c r="K99" s="165"/>
      <c r="L99" s="165"/>
      <c r="M99" s="2039"/>
      <c r="N99" s="166"/>
      <c r="O99" s="930"/>
    </row>
    <row r="100" spans="1:16" ht="24.6" customHeight="1">
      <c r="A100" s="2010" t="s">
        <v>1086</v>
      </c>
      <c r="B100" s="2059" t="s">
        <v>1246</v>
      </c>
      <c r="C100" s="2049"/>
      <c r="D100" s="939"/>
      <c r="E100" s="962" t="s">
        <v>4</v>
      </c>
      <c r="F100" s="202" t="s">
        <v>17</v>
      </c>
      <c r="G100" s="1457"/>
      <c r="H100" s="680"/>
      <c r="I100" s="129"/>
      <c r="J100" s="130"/>
      <c r="K100" s="130"/>
      <c r="L100" s="130"/>
      <c r="M100" s="130"/>
      <c r="N100" s="209"/>
      <c r="O100" s="926" t="str">
        <f>HYPERLINK(VLOOKUP(F100,LINK,2,FALSE),VLOOKUP(F100,LINK,3,FALSE))</f>
        <v>EXCEL</v>
      </c>
    </row>
    <row r="101" spans="1:16" ht="24.6" customHeight="1">
      <c r="A101" s="2012"/>
      <c r="B101" s="2060"/>
      <c r="C101" s="2061"/>
      <c r="D101" s="941"/>
      <c r="E101" s="515" t="s">
        <v>18</v>
      </c>
      <c r="F101" s="206" t="s">
        <v>401</v>
      </c>
      <c r="G101" s="1458"/>
      <c r="H101" s="1444"/>
      <c r="I101" s="137"/>
      <c r="J101" s="138"/>
      <c r="K101" s="138"/>
      <c r="L101" s="138"/>
      <c r="M101" s="138"/>
      <c r="N101" s="213"/>
      <c r="O101" s="928"/>
    </row>
    <row r="102" spans="1:16" ht="24.6" customHeight="1">
      <c r="A102" s="2010" t="s">
        <v>1085</v>
      </c>
      <c r="B102" s="1987" t="s">
        <v>1414</v>
      </c>
      <c r="C102" s="1988"/>
      <c r="D102" s="939"/>
      <c r="E102" s="967" t="s">
        <v>1186</v>
      </c>
      <c r="F102" s="202" t="s">
        <v>17</v>
      </c>
      <c r="G102" s="1457"/>
      <c r="H102" s="680"/>
      <c r="I102" s="129"/>
      <c r="J102" s="130"/>
      <c r="K102" s="130"/>
      <c r="L102" s="130"/>
      <c r="M102" s="130"/>
      <c r="N102" s="209"/>
      <c r="O102" s="936" t="str">
        <f>HYPERLINK(VLOOKUP(F102,LINK,2,FALSE),VLOOKUP(F102,LINK,3,FALSE))</f>
        <v>EXCEL</v>
      </c>
    </row>
    <row r="103" spans="1:16" ht="24.6" customHeight="1">
      <c r="A103" s="2011"/>
      <c r="B103" s="1989"/>
      <c r="C103" s="1990"/>
      <c r="D103" s="941"/>
      <c r="E103" s="515" t="s">
        <v>18</v>
      </c>
      <c r="F103" s="211" t="s">
        <v>401</v>
      </c>
      <c r="G103" s="1462"/>
      <c r="H103" s="1448"/>
      <c r="I103" s="137"/>
      <c r="J103" s="138"/>
      <c r="K103" s="138"/>
      <c r="L103" s="138"/>
      <c r="M103" s="138"/>
      <c r="N103" s="213"/>
      <c r="O103" s="929" t="str">
        <f>HYPERLINK(VLOOKUP(F103,LINK,2,FALSE),VLOOKUP(F103,LINK,3,FALSE))</f>
        <v>EXCEL</v>
      </c>
    </row>
    <row r="104" spans="1:16" ht="24.6" customHeight="1">
      <c r="A104" s="2011"/>
      <c r="B104" s="1989"/>
      <c r="C104" s="1990"/>
      <c r="D104" s="941"/>
      <c r="E104" s="515" t="s">
        <v>15</v>
      </c>
      <c r="F104" s="211" t="s">
        <v>395</v>
      </c>
      <c r="G104" s="1465" t="s">
        <v>984</v>
      </c>
      <c r="H104" s="1448" t="s">
        <v>392</v>
      </c>
      <c r="I104" s="970" t="s">
        <v>1655</v>
      </c>
      <c r="J104" s="172"/>
      <c r="K104" s="172"/>
      <c r="L104" s="172"/>
      <c r="M104" s="138"/>
      <c r="N104" s="2050" t="s">
        <v>1404</v>
      </c>
      <c r="O104" s="929"/>
    </row>
    <row r="105" spans="1:16" ht="24.6" customHeight="1">
      <c r="A105" s="2012"/>
      <c r="B105" s="1991"/>
      <c r="C105" s="1992"/>
      <c r="D105" s="942"/>
      <c r="E105" s="963" t="s">
        <v>16</v>
      </c>
      <c r="F105" s="720" t="s">
        <v>395</v>
      </c>
      <c r="G105" s="1463"/>
      <c r="H105" s="1449" t="s">
        <v>390</v>
      </c>
      <c r="I105" s="968"/>
      <c r="J105" s="147"/>
      <c r="K105" s="147"/>
      <c r="L105" s="175"/>
      <c r="M105" s="147"/>
      <c r="N105" s="2051"/>
      <c r="O105" s="930"/>
    </row>
    <row r="106" spans="1:16" ht="24.6" customHeight="1">
      <c r="A106" s="2015" t="s">
        <v>1234</v>
      </c>
      <c r="B106" s="1987" t="s">
        <v>1235</v>
      </c>
      <c r="C106" s="1988"/>
      <c r="D106" s="939"/>
      <c r="E106" s="1477" t="s">
        <v>1186</v>
      </c>
      <c r="F106" s="202" t="s">
        <v>17</v>
      </c>
      <c r="G106" s="1457"/>
      <c r="H106" s="680"/>
      <c r="I106" s="1479"/>
      <c r="J106" s="130"/>
      <c r="K106" s="130"/>
      <c r="L106" s="130"/>
      <c r="M106" s="130"/>
      <c r="N106" s="209"/>
      <c r="O106" s="2067" t="str">
        <f>HYPERLINK(VLOOKUP(F106,LINK,2,FALSE),VLOOKUP(F106,LINK,3,FALSE))</f>
        <v>EXCEL</v>
      </c>
    </row>
    <row r="107" spans="1:16" ht="24.6" customHeight="1">
      <c r="A107" s="2071"/>
      <c r="B107" s="1991"/>
      <c r="C107" s="1992"/>
      <c r="D107" s="942"/>
      <c r="E107" s="1478" t="s">
        <v>18</v>
      </c>
      <c r="F107" s="206" t="s">
        <v>401</v>
      </c>
      <c r="G107" s="1458"/>
      <c r="H107" s="1444"/>
      <c r="I107" s="1480"/>
      <c r="J107" s="147"/>
      <c r="K107" s="147"/>
      <c r="L107" s="147"/>
      <c r="M107" s="147"/>
      <c r="N107" s="210"/>
      <c r="O107" s="2030"/>
    </row>
    <row r="108" spans="1:16" ht="20.100000000000001" hidden="1" customHeight="1">
      <c r="A108" s="1476"/>
      <c r="B108" s="1985"/>
      <c r="C108" s="1986"/>
      <c r="D108" s="933"/>
      <c r="E108" s="924" t="s">
        <v>1025</v>
      </c>
      <c r="F108" s="1481"/>
      <c r="G108" s="1482"/>
      <c r="H108" s="1454"/>
      <c r="I108" s="934" t="s">
        <v>1026</v>
      </c>
      <c r="J108" s="935"/>
      <c r="K108" s="973"/>
      <c r="L108" s="935"/>
      <c r="M108" s="120"/>
      <c r="N108" s="121"/>
      <c r="O108" s="931"/>
      <c r="P108" s="7" t="s">
        <v>1408</v>
      </c>
    </row>
    <row r="110" spans="1:16">
      <c r="A110" s="835" t="s">
        <v>1054</v>
      </c>
      <c r="B110" s="835"/>
      <c r="C110" s="835"/>
      <c r="D110" s="835"/>
      <c r="E110" s="835"/>
      <c r="F110" s="835"/>
      <c r="G110" s="1768"/>
      <c r="H110" s="1768"/>
      <c r="I110" s="835"/>
      <c r="J110" s="835"/>
      <c r="K110" s="835"/>
      <c r="L110" s="835"/>
      <c r="M110" s="835"/>
      <c r="N110" s="835"/>
      <c r="O110" s="835"/>
    </row>
    <row r="111" spans="1:16" ht="20.399999999999999">
      <c r="A111" s="2013" t="s">
        <v>5</v>
      </c>
      <c r="B111" s="1993"/>
      <c r="C111" s="1993"/>
      <c r="D111" s="1993"/>
      <c r="E111" s="1993"/>
      <c r="F111" s="2006" t="s">
        <v>1391</v>
      </c>
      <c r="G111" s="2006"/>
      <c r="H111" s="2009"/>
      <c r="I111" s="2009"/>
      <c r="J111" s="2009"/>
      <c r="K111" s="2009"/>
      <c r="L111" s="2009"/>
      <c r="M111" s="904" t="s">
        <v>1187</v>
      </c>
      <c r="N111" s="838" t="s">
        <v>1393</v>
      </c>
      <c r="O111" s="1744"/>
    </row>
    <row r="112" spans="1:16" ht="17.399999999999999">
      <c r="A112" s="2014"/>
      <c r="B112" s="1993"/>
      <c r="C112" s="1993"/>
      <c r="D112" s="1993"/>
      <c r="E112" s="1993"/>
      <c r="F112" s="2006" t="s">
        <v>1371</v>
      </c>
      <c r="G112" s="2006"/>
      <c r="H112" s="2009"/>
      <c r="I112" s="2009"/>
      <c r="J112" s="2009"/>
      <c r="K112" s="2009"/>
      <c r="L112" s="2009"/>
      <c r="M112" s="35"/>
      <c r="N112" s="7"/>
      <c r="O112" s="839"/>
    </row>
    <row r="113" spans="1:15" ht="17.399999999999999">
      <c r="A113" s="2013" t="s">
        <v>38</v>
      </c>
      <c r="B113" s="1993"/>
      <c r="C113" s="1993"/>
      <c r="D113" s="1993"/>
      <c r="E113" s="1993"/>
      <c r="F113" s="2007" t="s">
        <v>1392</v>
      </c>
      <c r="G113" s="2007"/>
      <c r="H113" s="2009"/>
      <c r="I113" s="2009"/>
      <c r="J113" s="2009"/>
      <c r="K113" s="2009"/>
      <c r="L113" s="2009"/>
      <c r="M113" s="35"/>
      <c r="N113" s="7"/>
      <c r="O113" s="839"/>
    </row>
    <row r="114" spans="1:15" ht="17.399999999999999">
      <c r="A114" s="2014"/>
      <c r="B114" s="1993"/>
      <c r="C114" s="1993"/>
      <c r="D114" s="1993"/>
      <c r="E114" s="1993"/>
      <c r="F114" s="2008" t="s">
        <v>1372</v>
      </c>
      <c r="G114" s="2008"/>
      <c r="H114" s="2009"/>
      <c r="I114" s="2009"/>
      <c r="J114" s="2009"/>
      <c r="K114" s="2009"/>
      <c r="L114" s="2009"/>
      <c r="M114" s="35"/>
      <c r="N114" s="7"/>
      <c r="O114" s="839"/>
    </row>
    <row r="115" spans="1:15" ht="52.2">
      <c r="A115" s="908" t="s">
        <v>1227</v>
      </c>
      <c r="B115" s="2004" t="s">
        <v>6</v>
      </c>
      <c r="C115" s="2005"/>
      <c r="D115" s="1323" t="s">
        <v>1407</v>
      </c>
      <c r="E115" s="82" t="s">
        <v>64</v>
      </c>
      <c r="F115" s="2001" t="s">
        <v>1</v>
      </c>
      <c r="G115" s="2002"/>
      <c r="H115" s="2003"/>
      <c r="I115" s="1038" t="s">
        <v>66</v>
      </c>
      <c r="J115" s="1038" t="s">
        <v>1376</v>
      </c>
      <c r="K115" s="1372" t="s">
        <v>1377</v>
      </c>
      <c r="L115" s="1372" t="s">
        <v>1375</v>
      </c>
      <c r="M115" s="1069" t="s">
        <v>1378</v>
      </c>
      <c r="N115" s="1069" t="s">
        <v>1387</v>
      </c>
      <c r="O115" s="1322" t="s">
        <v>1379</v>
      </c>
    </row>
    <row r="116" spans="1:15" ht="22.8">
      <c r="A116" s="1757" t="s">
        <v>1088</v>
      </c>
      <c r="B116" s="2068" t="s">
        <v>1577</v>
      </c>
      <c r="C116" s="2069"/>
      <c r="D116" s="1759"/>
      <c r="E116" s="1765" t="s">
        <v>397</v>
      </c>
      <c r="F116" s="2056" t="s">
        <v>398</v>
      </c>
      <c r="G116" s="2057"/>
      <c r="H116" s="2058"/>
      <c r="I116" s="119"/>
      <c r="J116" s="120"/>
      <c r="K116" s="120"/>
      <c r="L116" s="120"/>
      <c r="M116" s="1430" t="s">
        <v>1401</v>
      </c>
      <c r="N116" s="1429" t="s">
        <v>1581</v>
      </c>
      <c r="O116" s="1769" t="s">
        <v>1236</v>
      </c>
    </row>
    <row r="117" spans="1:15" ht="17.399999999999999">
      <c r="A117" s="2010" t="s">
        <v>1083</v>
      </c>
      <c r="B117" s="2059" t="s">
        <v>400</v>
      </c>
      <c r="C117" s="2049"/>
      <c r="D117" s="1761"/>
      <c r="E117" s="1426" t="s">
        <v>1400</v>
      </c>
      <c r="F117" s="202" t="s">
        <v>189</v>
      </c>
      <c r="G117" s="1457"/>
      <c r="H117" s="680"/>
      <c r="I117" s="204"/>
      <c r="J117" s="205"/>
      <c r="K117" s="205"/>
      <c r="L117" s="205"/>
      <c r="M117" s="2062" t="s">
        <v>1402</v>
      </c>
      <c r="N117" s="2052" t="s">
        <v>1582</v>
      </c>
      <c r="O117" s="1758" t="str">
        <f t="shared" ref="O117:O118" si="3">HYPERLINK(VLOOKUP(F117,LINK,2,FALSE),VLOOKUP(F117,LINK,3,FALSE))</f>
        <v>EXCEL</v>
      </c>
    </row>
    <row r="118" spans="1:15" ht="17.399999999999999">
      <c r="A118" s="2012"/>
      <c r="B118" s="2060"/>
      <c r="C118" s="2061"/>
      <c r="D118" s="1763"/>
      <c r="E118" s="142" t="s">
        <v>106</v>
      </c>
      <c r="F118" s="206" t="s">
        <v>10</v>
      </c>
      <c r="G118" s="1458"/>
      <c r="H118" s="1444"/>
      <c r="I118" s="1767"/>
      <c r="J118" s="147"/>
      <c r="K118" s="147"/>
      <c r="L118" s="147"/>
      <c r="M118" s="2063"/>
      <c r="N118" s="2053"/>
      <c r="O118" s="1756" t="str">
        <f t="shared" si="3"/>
        <v>EXCEL</v>
      </c>
    </row>
    <row r="119" spans="1:15" ht="16.5" customHeight="1">
      <c r="A119" s="2015" t="s">
        <v>1580</v>
      </c>
      <c r="B119" s="1987" t="s">
        <v>1579</v>
      </c>
      <c r="C119" s="1988"/>
      <c r="D119" s="1760"/>
      <c r="E119" s="167" t="s">
        <v>1386</v>
      </c>
      <c r="F119" s="149" t="s">
        <v>190</v>
      </c>
      <c r="G119" s="1459"/>
      <c r="H119" s="1445"/>
      <c r="I119" s="152"/>
      <c r="J119" s="153"/>
      <c r="K119" s="153"/>
      <c r="L119" s="153"/>
      <c r="M119" s="1324" t="s">
        <v>1381</v>
      </c>
      <c r="N119" s="1221" t="s">
        <v>1384</v>
      </c>
      <c r="O119" s="1758" t="str">
        <f>HYPERLINK(VLOOKUP(F119,LINK,2,FALSE),VLOOKUP(F119,LINK,3,FALSE))</f>
        <v>EXCEL</v>
      </c>
    </row>
    <row r="120" spans="1:15" ht="24">
      <c r="A120" s="2011"/>
      <c r="B120" s="1989"/>
      <c r="C120" s="1990"/>
      <c r="D120" s="1762"/>
      <c r="E120" s="154" t="s">
        <v>240</v>
      </c>
      <c r="F120" s="155" t="s">
        <v>11</v>
      </c>
      <c r="G120" s="1460"/>
      <c r="H120" s="1446"/>
      <c r="I120" s="158"/>
      <c r="J120" s="159"/>
      <c r="K120" s="159"/>
      <c r="L120" s="159"/>
      <c r="M120" s="2038" t="s">
        <v>1382</v>
      </c>
      <c r="N120" s="1222" t="s">
        <v>1385</v>
      </c>
      <c r="O120" s="2029" t="str">
        <f>HYPERLINK(VLOOKUP(F120,LINK,2,FALSE),VLOOKUP(F120,LINK,3,FALSE))</f>
        <v>ACCESS</v>
      </c>
    </row>
    <row r="121" spans="1:15" ht="17.399999999999999">
      <c r="A121" s="2012"/>
      <c r="B121" s="1991"/>
      <c r="C121" s="1992"/>
      <c r="D121" s="1763"/>
      <c r="E121" s="160" t="s">
        <v>242</v>
      </c>
      <c r="F121" s="161" t="s">
        <v>12</v>
      </c>
      <c r="G121" s="1461"/>
      <c r="H121" s="1447"/>
      <c r="I121" s="164"/>
      <c r="J121" s="165"/>
      <c r="K121" s="165"/>
      <c r="L121" s="165"/>
      <c r="M121" s="2039"/>
      <c r="N121" s="166"/>
      <c r="O121" s="2030"/>
    </row>
    <row r="122" spans="1:15" ht="24.9" customHeight="1">
      <c r="A122" s="2015" t="s">
        <v>1583</v>
      </c>
      <c r="B122" s="1987" t="s">
        <v>1584</v>
      </c>
      <c r="C122" s="1988"/>
      <c r="D122" s="1760"/>
      <c r="E122" s="1764" t="s">
        <v>1186</v>
      </c>
      <c r="F122" s="202" t="s">
        <v>17</v>
      </c>
      <c r="G122" s="1457"/>
      <c r="H122" s="680"/>
      <c r="I122" s="129"/>
      <c r="J122" s="130"/>
      <c r="K122" s="130"/>
      <c r="L122" s="130"/>
      <c r="M122" s="130"/>
      <c r="N122" s="209"/>
      <c r="O122" s="1758" t="str">
        <f>HYPERLINK(VLOOKUP(F122,LINK,2,FALSE),VLOOKUP(F122,LINK,3,FALSE))</f>
        <v>EXCEL</v>
      </c>
    </row>
    <row r="123" spans="1:15" ht="24.9" customHeight="1">
      <c r="A123" s="2011"/>
      <c r="B123" s="1991"/>
      <c r="C123" s="1992"/>
      <c r="D123" s="1763"/>
      <c r="E123" s="1770" t="s">
        <v>18</v>
      </c>
      <c r="F123" s="206" t="s">
        <v>401</v>
      </c>
      <c r="G123" s="1458"/>
      <c r="H123" s="1444"/>
      <c r="I123" s="174"/>
      <c r="J123" s="147"/>
      <c r="K123" s="147"/>
      <c r="L123" s="147"/>
      <c r="M123" s="147"/>
      <c r="N123" s="210"/>
      <c r="O123" s="1756" t="str">
        <f>HYPERLINK(VLOOKUP(F123,LINK,2,FALSE),VLOOKUP(F123,LINK,3,FALSE))</f>
        <v>EXCEL</v>
      </c>
    </row>
    <row r="124" spans="1:15" ht="17.399999999999999">
      <c r="A124" s="2010" t="s">
        <v>1085</v>
      </c>
      <c r="B124" s="1989" t="s">
        <v>1414</v>
      </c>
      <c r="C124" s="1990"/>
      <c r="D124" s="1760"/>
      <c r="E124" s="1764" t="s">
        <v>1186</v>
      </c>
      <c r="F124" s="202" t="s">
        <v>17</v>
      </c>
      <c r="G124" s="1457"/>
      <c r="H124" s="680"/>
      <c r="I124" s="129"/>
      <c r="J124" s="130"/>
      <c r="K124" s="130"/>
      <c r="L124" s="130"/>
      <c r="M124" s="130"/>
      <c r="N124" s="209"/>
      <c r="O124" s="1758" t="str">
        <f>HYPERLINK(VLOOKUP(F124,LINK,2,FALSE),VLOOKUP(F124,LINK,3,FALSE))</f>
        <v>EXCEL</v>
      </c>
    </row>
    <row r="125" spans="1:15" ht="17.399999999999999">
      <c r="A125" s="2011"/>
      <c r="B125" s="1989"/>
      <c r="C125" s="1990"/>
      <c r="D125" s="1762"/>
      <c r="E125" s="515" t="s">
        <v>18</v>
      </c>
      <c r="F125" s="211" t="s">
        <v>401</v>
      </c>
      <c r="G125" s="1462"/>
      <c r="H125" s="1448"/>
      <c r="I125" s="137"/>
      <c r="J125" s="138"/>
      <c r="K125" s="138"/>
      <c r="L125" s="138"/>
      <c r="M125" s="138"/>
      <c r="N125" s="213"/>
      <c r="O125" s="1755" t="str">
        <f>HYPERLINK(VLOOKUP(F125,LINK,2,FALSE),VLOOKUP(F125,LINK,3,FALSE))</f>
        <v>EXCEL</v>
      </c>
    </row>
    <row r="126" spans="1:15" ht="17.399999999999999">
      <c r="A126" s="2011"/>
      <c r="B126" s="1989"/>
      <c r="C126" s="1990"/>
      <c r="D126" s="1762"/>
      <c r="E126" s="515" t="s">
        <v>15</v>
      </c>
      <c r="F126" s="211" t="s">
        <v>395</v>
      </c>
      <c r="G126" s="1465" t="s">
        <v>984</v>
      </c>
      <c r="H126" s="1448" t="s">
        <v>392</v>
      </c>
      <c r="I126" s="1766" t="s">
        <v>1655</v>
      </c>
      <c r="J126" s="172"/>
      <c r="K126" s="172"/>
      <c r="L126" s="172"/>
      <c r="M126" s="138"/>
      <c r="N126" s="2050" t="s">
        <v>1404</v>
      </c>
      <c r="O126" s="2029"/>
    </row>
    <row r="127" spans="1:15" ht="17.399999999999999">
      <c r="A127" s="2012"/>
      <c r="B127" s="1991"/>
      <c r="C127" s="1992"/>
      <c r="D127" s="1763"/>
      <c r="E127" s="1770" t="s">
        <v>16</v>
      </c>
      <c r="F127" s="206" t="s">
        <v>395</v>
      </c>
      <c r="G127" s="1458"/>
      <c r="H127" s="1444" t="s">
        <v>390</v>
      </c>
      <c r="I127" s="1767"/>
      <c r="J127" s="147"/>
      <c r="K127" s="147"/>
      <c r="L127" s="219"/>
      <c r="M127" s="147"/>
      <c r="N127" s="2051"/>
      <c r="O127" s="2030"/>
    </row>
    <row r="129" spans="1:15" ht="20.399999999999999">
      <c r="A129" s="2013" t="s">
        <v>5</v>
      </c>
      <c r="B129" s="1993"/>
      <c r="C129" s="1993"/>
      <c r="D129" s="1993"/>
      <c r="E129" s="1993"/>
      <c r="F129" s="2006" t="s">
        <v>1391</v>
      </c>
      <c r="G129" s="2006"/>
      <c r="H129" s="2009"/>
      <c r="I129" s="2009"/>
      <c r="J129" s="2009"/>
      <c r="K129" s="2009"/>
      <c r="L129" s="2009"/>
      <c r="M129" s="904" t="s">
        <v>1187</v>
      </c>
      <c r="N129" s="838" t="s">
        <v>1393</v>
      </c>
      <c r="O129" s="1744"/>
    </row>
    <row r="130" spans="1:15" ht="17.399999999999999">
      <c r="A130" s="2014"/>
      <c r="B130" s="1993"/>
      <c r="C130" s="1993"/>
      <c r="D130" s="1993"/>
      <c r="E130" s="1993"/>
      <c r="F130" s="2006" t="s">
        <v>1371</v>
      </c>
      <c r="G130" s="2006"/>
      <c r="H130" s="2009"/>
      <c r="I130" s="2009"/>
      <c r="J130" s="2009"/>
      <c r="K130" s="2009"/>
      <c r="L130" s="2009"/>
      <c r="M130" s="35"/>
      <c r="N130" s="7"/>
      <c r="O130" s="839"/>
    </row>
    <row r="131" spans="1:15" ht="17.399999999999999">
      <c r="A131" s="2013" t="s">
        <v>38</v>
      </c>
      <c r="B131" s="1993"/>
      <c r="C131" s="1993"/>
      <c r="D131" s="1993"/>
      <c r="E131" s="1993"/>
      <c r="F131" s="2007" t="s">
        <v>1392</v>
      </c>
      <c r="G131" s="2007"/>
      <c r="H131" s="2009"/>
      <c r="I131" s="2009"/>
      <c r="J131" s="2009"/>
      <c r="K131" s="2009"/>
      <c r="L131" s="2009"/>
      <c r="M131" s="35"/>
      <c r="N131" s="7"/>
      <c r="O131" s="839"/>
    </row>
    <row r="132" spans="1:15" ht="17.399999999999999">
      <c r="A132" s="2014"/>
      <c r="B132" s="1993"/>
      <c r="C132" s="1993"/>
      <c r="D132" s="1993"/>
      <c r="E132" s="1993"/>
      <c r="F132" s="2008" t="s">
        <v>1372</v>
      </c>
      <c r="G132" s="2008"/>
      <c r="H132" s="2009"/>
      <c r="I132" s="2009"/>
      <c r="J132" s="2009"/>
      <c r="K132" s="2009"/>
      <c r="L132" s="2009"/>
      <c r="M132" s="35"/>
      <c r="N132" s="7"/>
      <c r="O132" s="839"/>
    </row>
    <row r="133" spans="1:15" ht="52.2">
      <c r="A133" s="908" t="s">
        <v>1227</v>
      </c>
      <c r="B133" s="2004" t="s">
        <v>6</v>
      </c>
      <c r="C133" s="2005"/>
      <c r="D133" s="1323" t="s">
        <v>1407</v>
      </c>
      <c r="E133" s="82" t="s">
        <v>64</v>
      </c>
      <c r="F133" s="2001" t="s">
        <v>1</v>
      </c>
      <c r="G133" s="2002"/>
      <c r="H133" s="2003"/>
      <c r="I133" s="1038" t="s">
        <v>66</v>
      </c>
      <c r="J133" s="1038" t="s">
        <v>1376</v>
      </c>
      <c r="K133" s="1372" t="s">
        <v>1377</v>
      </c>
      <c r="L133" s="1372" t="s">
        <v>1375</v>
      </c>
      <c r="M133" s="1069" t="s">
        <v>1378</v>
      </c>
      <c r="N133" s="1069" t="s">
        <v>1387</v>
      </c>
      <c r="O133" s="1322" t="s">
        <v>1379</v>
      </c>
    </row>
    <row r="134" spans="1:15" ht="22.8">
      <c r="A134" s="1904" t="s">
        <v>1088</v>
      </c>
      <c r="B134" s="2055" t="s">
        <v>1577</v>
      </c>
      <c r="C134" s="2055"/>
      <c r="D134" s="1910"/>
      <c r="E134" s="1916" t="s">
        <v>397</v>
      </c>
      <c r="F134" s="2056" t="s">
        <v>398</v>
      </c>
      <c r="G134" s="2057"/>
      <c r="H134" s="2058"/>
      <c r="I134" s="119"/>
      <c r="J134" s="120"/>
      <c r="K134" s="120"/>
      <c r="L134" s="120"/>
      <c r="M134" s="1430" t="s">
        <v>1401</v>
      </c>
      <c r="N134" s="1429" t="s">
        <v>1578</v>
      </c>
      <c r="O134" s="1922" t="s">
        <v>1236</v>
      </c>
    </row>
    <row r="135" spans="1:15" ht="17.399999999999999">
      <c r="A135" s="2010" t="s">
        <v>1083</v>
      </c>
      <c r="B135" s="2059" t="s">
        <v>400</v>
      </c>
      <c r="C135" s="2049"/>
      <c r="D135" s="1912"/>
      <c r="E135" s="1426" t="s">
        <v>1400</v>
      </c>
      <c r="F135" s="202" t="s">
        <v>189</v>
      </c>
      <c r="G135" s="1457"/>
      <c r="H135" s="680"/>
      <c r="I135" s="204"/>
      <c r="J135" s="205"/>
      <c r="K135" s="205"/>
      <c r="L135" s="205"/>
      <c r="M135" s="2062" t="s">
        <v>1402</v>
      </c>
      <c r="N135" s="2052" t="s">
        <v>1582</v>
      </c>
      <c r="O135" s="1909" t="str">
        <f t="shared" ref="O135:O138" si="4">HYPERLINK(VLOOKUP(F135,LINK,2,FALSE),VLOOKUP(F135,LINK,3,FALSE))</f>
        <v>EXCEL</v>
      </c>
    </row>
    <row r="136" spans="1:15" ht="17.399999999999999">
      <c r="A136" s="2012"/>
      <c r="B136" s="2060"/>
      <c r="C136" s="2061"/>
      <c r="D136" s="1914"/>
      <c r="E136" s="142" t="s">
        <v>106</v>
      </c>
      <c r="F136" s="206" t="s">
        <v>10</v>
      </c>
      <c r="G136" s="1458"/>
      <c r="H136" s="1444"/>
      <c r="I136" s="1920"/>
      <c r="J136" s="147"/>
      <c r="K136" s="147"/>
      <c r="L136" s="147"/>
      <c r="M136" s="2063"/>
      <c r="N136" s="2053"/>
      <c r="O136" s="1906" t="str">
        <f t="shared" si="4"/>
        <v>EXCEL</v>
      </c>
    </row>
    <row r="137" spans="1:15" ht="17.399999999999999">
      <c r="A137" s="2010" t="s">
        <v>1663</v>
      </c>
      <c r="B137" s="2054" t="s">
        <v>1664</v>
      </c>
      <c r="C137" s="2054"/>
      <c r="D137" s="1911"/>
      <c r="E137" s="167" t="s">
        <v>1386</v>
      </c>
      <c r="F137" s="1908" t="s">
        <v>190</v>
      </c>
      <c r="G137" s="1459"/>
      <c r="H137" s="1445"/>
      <c r="I137" s="152"/>
      <c r="J137" s="153"/>
      <c r="K137" s="153"/>
      <c r="L137" s="153"/>
      <c r="M137" s="1324" t="s">
        <v>1381</v>
      </c>
      <c r="N137" s="1221" t="s">
        <v>1384</v>
      </c>
      <c r="O137" s="1909" t="str">
        <f t="shared" si="4"/>
        <v>EXCEL</v>
      </c>
    </row>
    <row r="138" spans="1:15" ht="24">
      <c r="A138" s="2011"/>
      <c r="B138" s="2054"/>
      <c r="C138" s="2054"/>
      <c r="D138" s="1913"/>
      <c r="E138" s="154" t="s">
        <v>240</v>
      </c>
      <c r="F138" s="155" t="s">
        <v>11</v>
      </c>
      <c r="G138" s="1460"/>
      <c r="H138" s="1446"/>
      <c r="I138" s="158"/>
      <c r="J138" s="159"/>
      <c r="K138" s="159"/>
      <c r="L138" s="159"/>
      <c r="M138" s="2038" t="s">
        <v>1382</v>
      </c>
      <c r="N138" s="1222" t="s">
        <v>1385</v>
      </c>
      <c r="O138" s="2029" t="str">
        <f t="shared" si="4"/>
        <v>ACCESS</v>
      </c>
    </row>
    <row r="139" spans="1:15" ht="17.399999999999999">
      <c r="A139" s="2011"/>
      <c r="B139" s="2054"/>
      <c r="C139" s="2054"/>
      <c r="D139" s="1914"/>
      <c r="E139" s="160" t="s">
        <v>242</v>
      </c>
      <c r="F139" s="161" t="s">
        <v>12</v>
      </c>
      <c r="G139" s="1461"/>
      <c r="H139" s="1447"/>
      <c r="I139" s="164"/>
      <c r="J139" s="165"/>
      <c r="K139" s="165"/>
      <c r="L139" s="165"/>
      <c r="M139" s="2039"/>
      <c r="N139" s="166"/>
      <c r="O139" s="2030"/>
    </row>
    <row r="140" spans="1:15" ht="17.399999999999999">
      <c r="A140" s="2015" t="s">
        <v>1234</v>
      </c>
      <c r="B140" s="1987" t="s">
        <v>1235</v>
      </c>
      <c r="C140" s="1988"/>
      <c r="D140" s="1911"/>
      <c r="E140" s="1917" t="s">
        <v>1186</v>
      </c>
      <c r="F140" s="202" t="s">
        <v>17</v>
      </c>
      <c r="G140" s="1457"/>
      <c r="H140" s="680"/>
      <c r="I140" s="129"/>
      <c r="J140" s="130"/>
      <c r="K140" s="130"/>
      <c r="L140" s="170"/>
      <c r="M140" s="130"/>
      <c r="N140" s="209"/>
      <c r="O140" s="1909" t="str">
        <f>HYPERLINK(VLOOKUP(F140,LINK,2,FALSE),VLOOKUP(F140,LINK,3,FALSE))</f>
        <v>EXCEL</v>
      </c>
    </row>
    <row r="141" spans="1:15" ht="17.399999999999999">
      <c r="A141" s="2011"/>
      <c r="B141" s="1989"/>
      <c r="C141" s="1990"/>
      <c r="D141" s="1914"/>
      <c r="E141" s="1924" t="s">
        <v>18</v>
      </c>
      <c r="F141" s="206" t="s">
        <v>401</v>
      </c>
      <c r="G141" s="1458"/>
      <c r="H141" s="1444"/>
      <c r="I141" s="174"/>
      <c r="J141" s="147"/>
      <c r="K141" s="147"/>
      <c r="L141" s="175"/>
      <c r="M141" s="147"/>
      <c r="N141" s="210"/>
      <c r="O141" s="1906" t="str">
        <f>HYPERLINK(VLOOKUP(F141,LINK,2,FALSE),VLOOKUP(F141,LINK,3,FALSE))</f>
        <v>EXCEL</v>
      </c>
    </row>
    <row r="142" spans="1:15" ht="17.399999999999999">
      <c r="A142" s="2015" t="s">
        <v>1099</v>
      </c>
      <c r="B142" s="2054" t="s">
        <v>1079</v>
      </c>
      <c r="C142" s="2054"/>
      <c r="D142" s="1911"/>
      <c r="E142" s="167" t="s">
        <v>1386</v>
      </c>
      <c r="F142" s="1908" t="s">
        <v>190</v>
      </c>
      <c r="G142" s="1459"/>
      <c r="H142" s="1445"/>
      <c r="I142" s="152"/>
      <c r="J142" s="153"/>
      <c r="K142" s="153"/>
      <c r="L142" s="153"/>
      <c r="M142" s="1324" t="s">
        <v>1381</v>
      </c>
      <c r="N142" s="1221" t="s">
        <v>1384</v>
      </c>
      <c r="O142" s="1909" t="str">
        <f>HYPERLINK(VLOOKUP(F142,LINK,2,FALSE),VLOOKUP(F142,LINK,3,FALSE))</f>
        <v>EXCEL</v>
      </c>
    </row>
    <row r="143" spans="1:15" ht="24">
      <c r="A143" s="2011"/>
      <c r="B143" s="2054"/>
      <c r="C143" s="2054"/>
      <c r="D143" s="1913"/>
      <c r="E143" s="154" t="s">
        <v>240</v>
      </c>
      <c r="F143" s="155" t="s">
        <v>11</v>
      </c>
      <c r="G143" s="1460"/>
      <c r="H143" s="1446"/>
      <c r="I143" s="158"/>
      <c r="J143" s="159"/>
      <c r="K143" s="159"/>
      <c r="L143" s="159"/>
      <c r="M143" s="2038" t="s">
        <v>1382</v>
      </c>
      <c r="N143" s="1222" t="s">
        <v>1385</v>
      </c>
      <c r="O143" s="2029" t="str">
        <f>HYPERLINK(VLOOKUP(F143,LINK,2,FALSE),VLOOKUP(F143,LINK,3,FALSE))</f>
        <v>ACCESS</v>
      </c>
    </row>
    <row r="144" spans="1:15" ht="17.399999999999999">
      <c r="A144" s="2012"/>
      <c r="B144" s="2054"/>
      <c r="C144" s="2054"/>
      <c r="D144" s="1914"/>
      <c r="E144" s="160" t="s">
        <v>242</v>
      </c>
      <c r="F144" s="161" t="s">
        <v>12</v>
      </c>
      <c r="G144" s="1461"/>
      <c r="H144" s="1447"/>
      <c r="I144" s="164"/>
      <c r="J144" s="165"/>
      <c r="K144" s="165"/>
      <c r="L144" s="165"/>
      <c r="M144" s="2039"/>
      <c r="N144" s="166"/>
      <c r="O144" s="2030"/>
    </row>
    <row r="145" spans="1:15" ht="17.399999999999999">
      <c r="A145" s="2010" t="s">
        <v>1084</v>
      </c>
      <c r="B145" s="1987" t="s">
        <v>13</v>
      </c>
      <c r="C145" s="1988"/>
      <c r="D145" s="1911"/>
      <c r="E145" s="148" t="s">
        <v>245</v>
      </c>
      <c r="F145" s="202" t="s">
        <v>14</v>
      </c>
      <c r="G145" s="1457"/>
      <c r="H145" s="680"/>
      <c r="I145" s="1894"/>
      <c r="J145" s="130"/>
      <c r="K145" s="130"/>
      <c r="L145" s="170"/>
      <c r="M145" s="130"/>
      <c r="N145" s="209" t="s">
        <v>1660</v>
      </c>
      <c r="O145" s="2018" t="s">
        <v>1239</v>
      </c>
    </row>
    <row r="146" spans="1:15" ht="17.399999999999999">
      <c r="A146" s="2011"/>
      <c r="B146" s="1989"/>
      <c r="C146" s="1990"/>
      <c r="D146" s="215"/>
      <c r="E146" s="216" t="s">
        <v>245</v>
      </c>
      <c r="F146" s="211" t="s">
        <v>14</v>
      </c>
      <c r="G146" s="1462"/>
      <c r="H146" s="1448"/>
      <c r="I146" s="1209"/>
      <c r="J146" s="138"/>
      <c r="K146" s="138"/>
      <c r="L146" s="172"/>
      <c r="M146" s="138"/>
      <c r="N146" s="213" t="s">
        <v>1660</v>
      </c>
      <c r="O146" s="2019"/>
    </row>
    <row r="147" spans="1:15" ht="17.399999999999999">
      <c r="A147" s="2011"/>
      <c r="B147" s="1989"/>
      <c r="C147" s="1990"/>
      <c r="D147" s="215"/>
      <c r="E147" s="216" t="s">
        <v>1028</v>
      </c>
      <c r="F147" s="720" t="s">
        <v>191</v>
      </c>
      <c r="G147" s="1463"/>
      <c r="H147" s="1449"/>
      <c r="I147" s="1895"/>
      <c r="J147" s="220"/>
      <c r="K147" s="220"/>
      <c r="L147" s="219"/>
      <c r="M147" s="220"/>
      <c r="N147" s="221"/>
      <c r="O147" s="2019"/>
    </row>
    <row r="148" spans="1:15" ht="17.399999999999999">
      <c r="A148" s="2012"/>
      <c r="B148" s="1991"/>
      <c r="C148" s="1992"/>
      <c r="D148" s="215"/>
      <c r="E148" s="1921" t="s">
        <v>58</v>
      </c>
      <c r="F148" s="206" t="s">
        <v>191</v>
      </c>
      <c r="G148" s="1458"/>
      <c r="H148" s="1444"/>
      <c r="I148" s="1210"/>
      <c r="J148" s="147"/>
      <c r="K148" s="220"/>
      <c r="L148" s="175"/>
      <c r="M148" s="220"/>
      <c r="N148" s="221"/>
      <c r="O148" s="2020"/>
    </row>
    <row r="149" spans="1:15" ht="17.399999999999999">
      <c r="A149" s="2010" t="s">
        <v>1087</v>
      </c>
      <c r="B149" s="1987" t="s">
        <v>1245</v>
      </c>
      <c r="C149" s="1988"/>
      <c r="D149" s="1911"/>
      <c r="E149" s="1923" t="s">
        <v>192</v>
      </c>
      <c r="F149" s="1388" t="s">
        <v>396</v>
      </c>
      <c r="G149" s="679"/>
      <c r="H149" s="680" t="s">
        <v>391</v>
      </c>
      <c r="I149" s="129"/>
      <c r="J149" s="130"/>
      <c r="K149" s="130"/>
      <c r="L149" s="170"/>
      <c r="M149" s="130"/>
      <c r="N149" s="747"/>
      <c r="O149" s="2018" t="s">
        <v>1239</v>
      </c>
    </row>
    <row r="150" spans="1:15" ht="17.399999999999999">
      <c r="A150" s="2011"/>
      <c r="B150" s="1989"/>
      <c r="C150" s="1990"/>
      <c r="D150" s="1912"/>
      <c r="E150" s="515" t="s">
        <v>193</v>
      </c>
      <c r="F150" s="1391" t="s">
        <v>233</v>
      </c>
      <c r="G150" s="1466"/>
      <c r="H150" s="1448" t="s">
        <v>392</v>
      </c>
      <c r="I150" s="137"/>
      <c r="J150" s="172"/>
      <c r="K150" s="172"/>
      <c r="L150" s="172"/>
      <c r="M150" s="138"/>
      <c r="N150" s="213"/>
      <c r="O150" s="2019"/>
    </row>
    <row r="151" spans="1:15" ht="17.399999999999999">
      <c r="A151" s="2011"/>
      <c r="B151" s="1989"/>
      <c r="C151" s="1990"/>
      <c r="D151" s="1913"/>
      <c r="E151" s="515" t="s">
        <v>194</v>
      </c>
      <c r="F151" s="181" t="s">
        <v>233</v>
      </c>
      <c r="G151" s="1467"/>
      <c r="H151" s="1451" t="s">
        <v>390</v>
      </c>
      <c r="I151" s="137"/>
      <c r="J151" s="172"/>
      <c r="K151" s="172"/>
      <c r="L151" s="172"/>
      <c r="M151" s="138"/>
      <c r="N151" s="214"/>
      <c r="O151" s="2019"/>
    </row>
    <row r="152" spans="1:15" ht="17.399999999999999">
      <c r="A152" s="2011"/>
      <c r="B152" s="1989"/>
      <c r="C152" s="1990"/>
      <c r="D152" s="215"/>
      <c r="E152" s="515" t="s">
        <v>195</v>
      </c>
      <c r="F152" s="1391" t="s">
        <v>233</v>
      </c>
      <c r="G152" s="1466"/>
      <c r="H152" s="1448" t="s">
        <v>393</v>
      </c>
      <c r="I152" s="137"/>
      <c r="J152" s="172"/>
      <c r="K152" s="172"/>
      <c r="L152" s="172"/>
      <c r="M152" s="205"/>
      <c r="N152" s="222"/>
      <c r="O152" s="2019"/>
    </row>
    <row r="153" spans="1:15" ht="17.399999999999999">
      <c r="A153" s="2012"/>
      <c r="B153" s="1991"/>
      <c r="C153" s="1992"/>
      <c r="D153" s="1914"/>
      <c r="E153" s="1924" t="s">
        <v>196</v>
      </c>
      <c r="F153" s="723" t="s">
        <v>233</v>
      </c>
      <c r="G153" s="1468"/>
      <c r="H153" s="1449" t="s">
        <v>394</v>
      </c>
      <c r="I153" s="174"/>
      <c r="J153" s="175"/>
      <c r="K153" s="175"/>
      <c r="L153" s="175"/>
      <c r="M153" s="147"/>
      <c r="N153" s="210"/>
      <c r="O153" s="2020"/>
    </row>
    <row r="154" spans="1:15" ht="16.5" customHeight="1">
      <c r="A154" s="2015" t="s">
        <v>1666</v>
      </c>
      <c r="B154" s="1987" t="s">
        <v>1665</v>
      </c>
      <c r="C154" s="1988"/>
      <c r="D154" s="1911"/>
      <c r="E154" s="167" t="s">
        <v>1386</v>
      </c>
      <c r="F154" s="1908" t="s">
        <v>190</v>
      </c>
      <c r="G154" s="1459"/>
      <c r="H154" s="1445"/>
      <c r="I154" s="152"/>
      <c r="J154" s="153"/>
      <c r="K154" s="153"/>
      <c r="L154" s="153"/>
      <c r="M154" s="1324" t="s">
        <v>1381</v>
      </c>
      <c r="N154" s="1221" t="s">
        <v>1384</v>
      </c>
      <c r="O154" s="1909" t="str">
        <f>HYPERLINK(VLOOKUP(F154,LINK,2,FALSE),VLOOKUP(F154,LINK,3,FALSE))</f>
        <v>EXCEL</v>
      </c>
    </row>
    <row r="155" spans="1:15" ht="24">
      <c r="A155" s="2011"/>
      <c r="B155" s="1989"/>
      <c r="C155" s="1990"/>
      <c r="D155" s="1913"/>
      <c r="E155" s="154" t="s">
        <v>240</v>
      </c>
      <c r="F155" s="155" t="s">
        <v>11</v>
      </c>
      <c r="G155" s="1460"/>
      <c r="H155" s="1446"/>
      <c r="I155" s="158"/>
      <c r="J155" s="159"/>
      <c r="K155" s="159"/>
      <c r="L155" s="159"/>
      <c r="M155" s="2038" t="s">
        <v>1382</v>
      </c>
      <c r="N155" s="1222" t="s">
        <v>1385</v>
      </c>
      <c r="O155" s="2029" t="str">
        <f>HYPERLINK(VLOOKUP(F155,LINK,2,FALSE),VLOOKUP(F155,LINK,3,FALSE))</f>
        <v>ACCESS</v>
      </c>
    </row>
    <row r="156" spans="1:15" ht="17.399999999999999">
      <c r="A156" s="2012"/>
      <c r="B156" s="1991"/>
      <c r="C156" s="1992"/>
      <c r="D156" s="1914"/>
      <c r="E156" s="160" t="s">
        <v>242</v>
      </c>
      <c r="F156" s="161" t="s">
        <v>12</v>
      </c>
      <c r="G156" s="1461"/>
      <c r="H156" s="1447"/>
      <c r="I156" s="164"/>
      <c r="J156" s="165"/>
      <c r="K156" s="165"/>
      <c r="L156" s="165"/>
      <c r="M156" s="2039"/>
      <c r="N156" s="166"/>
      <c r="O156" s="2030"/>
    </row>
    <row r="157" spans="1:15" ht="17.399999999999999">
      <c r="A157" s="2015" t="s">
        <v>1667</v>
      </c>
      <c r="B157" s="1987" t="s">
        <v>1668</v>
      </c>
      <c r="C157" s="1988"/>
      <c r="D157" s="1911"/>
      <c r="E157" s="1917" t="s">
        <v>1186</v>
      </c>
      <c r="F157" s="202" t="s">
        <v>17</v>
      </c>
      <c r="G157" s="1457"/>
      <c r="H157" s="680"/>
      <c r="I157" s="129"/>
      <c r="J157" s="130"/>
      <c r="K157" s="130"/>
      <c r="L157" s="170"/>
      <c r="M157" s="130"/>
      <c r="N157" s="209"/>
      <c r="O157" s="1909" t="str">
        <f t="shared" ref="O157:O163" si="5">HYPERLINK(VLOOKUP(F157,LINK,2,FALSE),VLOOKUP(F157,LINK,3,FALSE))</f>
        <v>EXCEL</v>
      </c>
    </row>
    <row r="158" spans="1:15" ht="17.399999999999999">
      <c r="A158" s="2011"/>
      <c r="B158" s="1989"/>
      <c r="C158" s="1990"/>
      <c r="D158" s="1914"/>
      <c r="E158" s="1924" t="s">
        <v>18</v>
      </c>
      <c r="F158" s="206" t="s">
        <v>401</v>
      </c>
      <c r="G158" s="1458"/>
      <c r="H158" s="1444"/>
      <c r="I158" s="174"/>
      <c r="J158" s="147"/>
      <c r="K158" s="147"/>
      <c r="L158" s="175"/>
      <c r="M158" s="147"/>
      <c r="N158" s="210"/>
      <c r="O158" s="1906" t="str">
        <f t="shared" si="5"/>
        <v>EXCEL</v>
      </c>
    </row>
    <row r="159" spans="1:15" ht="17.399999999999999">
      <c r="A159" s="750" t="s">
        <v>1082</v>
      </c>
      <c r="B159" s="1985" t="s">
        <v>1255</v>
      </c>
      <c r="C159" s="1986"/>
      <c r="D159" s="1910"/>
      <c r="E159" s="1918" t="s">
        <v>262</v>
      </c>
      <c r="F159" s="1926" t="s">
        <v>263</v>
      </c>
      <c r="G159" s="1464"/>
      <c r="H159" s="1450"/>
      <c r="I159" s="1915"/>
      <c r="J159" s="1915"/>
      <c r="K159" s="1915"/>
      <c r="L159" s="1927"/>
      <c r="M159" s="186"/>
      <c r="N159" s="122"/>
      <c r="O159" s="1907" t="str">
        <f t="shared" si="5"/>
        <v>EXCEL</v>
      </c>
    </row>
    <row r="160" spans="1:15" ht="17.399999999999999">
      <c r="A160" s="2015" t="s">
        <v>1669</v>
      </c>
      <c r="B160" s="1987" t="s">
        <v>1670</v>
      </c>
      <c r="C160" s="1988"/>
      <c r="D160" s="1911"/>
      <c r="E160" s="1917" t="s">
        <v>1186</v>
      </c>
      <c r="F160" s="202" t="s">
        <v>17</v>
      </c>
      <c r="G160" s="1457"/>
      <c r="H160" s="680"/>
      <c r="I160" s="129"/>
      <c r="J160" s="130"/>
      <c r="K160" s="130"/>
      <c r="L160" s="170"/>
      <c r="M160" s="130"/>
      <c r="N160" s="209"/>
      <c r="O160" s="1909" t="str">
        <f t="shared" si="5"/>
        <v>EXCEL</v>
      </c>
    </row>
    <row r="161" spans="1:15" ht="17.399999999999999">
      <c r="A161" s="2011"/>
      <c r="B161" s="1991"/>
      <c r="C161" s="1992"/>
      <c r="D161" s="1914"/>
      <c r="E161" s="1924" t="s">
        <v>18</v>
      </c>
      <c r="F161" s="206" t="s">
        <v>401</v>
      </c>
      <c r="G161" s="1458"/>
      <c r="H161" s="1444"/>
      <c r="I161" s="174"/>
      <c r="J161" s="147"/>
      <c r="K161" s="147"/>
      <c r="L161" s="175"/>
      <c r="M161" s="147"/>
      <c r="N161" s="210"/>
      <c r="O161" s="1906" t="str">
        <f t="shared" si="5"/>
        <v>EXCEL</v>
      </c>
    </row>
    <row r="162" spans="1:15" ht="17.399999999999999">
      <c r="A162" s="2010" t="s">
        <v>1085</v>
      </c>
      <c r="B162" s="1989" t="s">
        <v>1414</v>
      </c>
      <c r="C162" s="1990"/>
      <c r="D162" s="1911"/>
      <c r="E162" s="1917" t="s">
        <v>1186</v>
      </c>
      <c r="F162" s="202" t="s">
        <v>17</v>
      </c>
      <c r="G162" s="1457"/>
      <c r="H162" s="680"/>
      <c r="I162" s="129"/>
      <c r="J162" s="130"/>
      <c r="K162" s="130"/>
      <c r="L162" s="170"/>
      <c r="M162" s="130"/>
      <c r="N162" s="209"/>
      <c r="O162" s="1909" t="str">
        <f t="shared" si="5"/>
        <v>EXCEL</v>
      </c>
    </row>
    <row r="163" spans="1:15" ht="17.399999999999999">
      <c r="A163" s="2011"/>
      <c r="B163" s="1989"/>
      <c r="C163" s="1990"/>
      <c r="D163" s="1913"/>
      <c r="E163" s="515" t="s">
        <v>18</v>
      </c>
      <c r="F163" s="211" t="s">
        <v>401</v>
      </c>
      <c r="G163" s="1462"/>
      <c r="H163" s="1448"/>
      <c r="I163" s="137"/>
      <c r="J163" s="138"/>
      <c r="K163" s="138"/>
      <c r="L163" s="172"/>
      <c r="M163" s="138"/>
      <c r="N163" s="213"/>
      <c r="O163" s="1905" t="str">
        <f t="shared" si="5"/>
        <v>EXCEL</v>
      </c>
    </row>
    <row r="164" spans="1:15" ht="17.399999999999999">
      <c r="A164" s="2011"/>
      <c r="B164" s="1989"/>
      <c r="C164" s="1990"/>
      <c r="D164" s="1913"/>
      <c r="E164" s="515" t="s">
        <v>15</v>
      </c>
      <c r="F164" s="211" t="s">
        <v>395</v>
      </c>
      <c r="G164" s="1465" t="s">
        <v>984</v>
      </c>
      <c r="H164" s="1448" t="s">
        <v>392</v>
      </c>
      <c r="I164" s="1919" t="s">
        <v>96</v>
      </c>
      <c r="J164" s="172"/>
      <c r="K164" s="172"/>
      <c r="L164" s="172"/>
      <c r="M164" s="138"/>
      <c r="N164" s="2050" t="s">
        <v>1404</v>
      </c>
      <c r="O164" s="2029"/>
    </row>
    <row r="165" spans="1:15" ht="17.399999999999999">
      <c r="A165" s="2012"/>
      <c r="B165" s="1991"/>
      <c r="C165" s="1992"/>
      <c r="D165" s="1914"/>
      <c r="E165" s="1924" t="s">
        <v>16</v>
      </c>
      <c r="F165" s="206" t="s">
        <v>395</v>
      </c>
      <c r="G165" s="1458"/>
      <c r="H165" s="1444" t="s">
        <v>390</v>
      </c>
      <c r="I165" s="1920"/>
      <c r="J165" s="147"/>
      <c r="K165" s="147"/>
      <c r="L165" s="175"/>
      <c r="M165" s="147"/>
      <c r="N165" s="2051"/>
      <c r="O165" s="2030"/>
    </row>
    <row r="166" spans="1:15" ht="17.399999999999999">
      <c r="A166" s="2046" t="s">
        <v>1671</v>
      </c>
      <c r="B166" s="1995" t="s">
        <v>708</v>
      </c>
      <c r="C166" s="2049" t="s">
        <v>1672</v>
      </c>
      <c r="D166" s="188"/>
      <c r="E166" s="148" t="s">
        <v>433</v>
      </c>
      <c r="F166" s="1388" t="s">
        <v>434</v>
      </c>
      <c r="G166" s="1389"/>
      <c r="H166" s="1390"/>
      <c r="I166" s="188"/>
      <c r="J166" s="188"/>
      <c r="K166" s="188"/>
      <c r="L166" s="188"/>
      <c r="M166" s="188"/>
      <c r="N166" s="188"/>
      <c r="O166" s="2018" t="s">
        <v>1417</v>
      </c>
    </row>
    <row r="167" spans="1:15" ht="17.399999999999999">
      <c r="A167" s="2047"/>
      <c r="B167" s="1996"/>
      <c r="C167" s="1999"/>
      <c r="D167" s="428"/>
      <c r="E167" s="133" t="s">
        <v>1116</v>
      </c>
      <c r="F167" s="1391" t="s">
        <v>372</v>
      </c>
      <c r="G167" s="1392"/>
      <c r="H167" s="1393"/>
      <c r="I167" s="1737"/>
      <c r="J167" s="1737"/>
      <c r="K167" s="1737"/>
      <c r="L167" s="1737"/>
      <c r="M167" s="1737"/>
      <c r="N167" s="1737"/>
      <c r="O167" s="2019"/>
    </row>
    <row r="168" spans="1:15" ht="17.399999999999999">
      <c r="A168" s="2047"/>
      <c r="B168" s="1996"/>
      <c r="C168" s="1999"/>
      <c r="D168" s="1737"/>
      <c r="E168" s="133" t="s">
        <v>404</v>
      </c>
      <c r="F168" s="1391" t="s">
        <v>405</v>
      </c>
      <c r="G168" s="1392"/>
      <c r="H168" s="1393"/>
      <c r="I168" s="1737"/>
      <c r="J168" s="1737"/>
      <c r="K168" s="1737"/>
      <c r="L168" s="1737"/>
      <c r="M168" s="1737"/>
      <c r="N168" s="1737"/>
      <c r="O168" s="2019"/>
    </row>
    <row r="169" spans="1:15" ht="17.399999999999999">
      <c r="A169" s="2047"/>
      <c r="B169" s="1996"/>
      <c r="C169" s="1999"/>
      <c r="D169" s="1045"/>
      <c r="E169" s="1487" t="s">
        <v>406</v>
      </c>
      <c r="F169" s="2021" t="s">
        <v>438</v>
      </c>
      <c r="G169" s="2022"/>
      <c r="H169" s="2023"/>
      <c r="I169" s="1045"/>
      <c r="J169" s="1045"/>
      <c r="K169" s="1045"/>
      <c r="L169" s="1045"/>
      <c r="M169" s="1045"/>
      <c r="N169" s="1737" t="s">
        <v>1421</v>
      </c>
      <c r="O169" s="2019"/>
    </row>
    <row r="170" spans="1:15" ht="17.399999999999999">
      <c r="A170" s="2047"/>
      <c r="B170" s="1996"/>
      <c r="C170" s="1999"/>
      <c r="D170" s="698"/>
      <c r="E170" s="1487" t="s">
        <v>407</v>
      </c>
      <c r="F170" s="2024" t="s">
        <v>1420</v>
      </c>
      <c r="G170" s="2025"/>
      <c r="H170" s="2026"/>
      <c r="I170" s="698"/>
      <c r="J170" s="698"/>
      <c r="K170" s="698"/>
      <c r="L170" s="698"/>
      <c r="M170" s="698"/>
      <c r="N170" s="796" t="s">
        <v>1421</v>
      </c>
      <c r="O170" s="2019"/>
    </row>
    <row r="171" spans="1:15" ht="17.399999999999999">
      <c r="A171" s="2047"/>
      <c r="B171" s="1996"/>
      <c r="C171" s="2000"/>
      <c r="D171" s="1738"/>
      <c r="E171" s="1925" t="s">
        <v>750</v>
      </c>
      <c r="F171" s="1394" t="s">
        <v>408</v>
      </c>
      <c r="G171" s="1395"/>
      <c r="H171" s="1396"/>
      <c r="I171" s="1738"/>
      <c r="J171" s="1738"/>
      <c r="K171" s="1738"/>
      <c r="L171" s="1738"/>
      <c r="M171" s="1738"/>
      <c r="N171" s="1738" t="s">
        <v>1418</v>
      </c>
      <c r="O171" s="2020"/>
    </row>
    <row r="172" spans="1:15" ht="17.399999999999999">
      <c r="A172" s="2047"/>
      <c r="B172" s="1996"/>
      <c r="C172" s="2040" t="s">
        <v>1673</v>
      </c>
      <c r="D172" s="1952"/>
      <c r="E172" s="1953" t="s">
        <v>1677</v>
      </c>
      <c r="F172" s="1954" t="s">
        <v>1675</v>
      </c>
      <c r="G172" s="1955"/>
      <c r="H172" s="1956"/>
      <c r="I172" s="1952"/>
      <c r="J172" s="1952"/>
      <c r="K172" s="1952"/>
      <c r="L172" s="1952"/>
      <c r="M172" s="1952"/>
      <c r="N172" s="1952"/>
      <c r="O172" s="2043" t="s">
        <v>1417</v>
      </c>
    </row>
    <row r="173" spans="1:15" ht="17.399999999999999">
      <c r="A173" s="2047"/>
      <c r="B173" s="1996"/>
      <c r="C173" s="2041"/>
      <c r="D173" s="1957"/>
      <c r="E173" s="1958" t="s">
        <v>1678</v>
      </c>
      <c r="F173" s="1959" t="s">
        <v>1676</v>
      </c>
      <c r="G173" s="1960"/>
      <c r="H173" s="1961"/>
      <c r="I173" s="1962"/>
      <c r="J173" s="1962"/>
      <c r="K173" s="1962"/>
      <c r="L173" s="1962"/>
      <c r="M173" s="1962"/>
      <c r="N173" s="1962"/>
      <c r="O173" s="2044"/>
    </row>
    <row r="174" spans="1:15" ht="17.399999999999999">
      <c r="A174" s="2047"/>
      <c r="B174" s="1996"/>
      <c r="C174" s="2041"/>
      <c r="D174" s="1962"/>
      <c r="E174" s="1958" t="s">
        <v>1679</v>
      </c>
      <c r="F174" s="1959" t="s">
        <v>1676</v>
      </c>
      <c r="G174" s="1960"/>
      <c r="H174" s="1961"/>
      <c r="I174" s="1962"/>
      <c r="J174" s="1962"/>
      <c r="K174" s="1962"/>
      <c r="L174" s="1962"/>
      <c r="M174" s="1962"/>
      <c r="N174" s="1962"/>
      <c r="O174" s="2044"/>
    </row>
    <row r="175" spans="1:15" ht="17.399999999999999">
      <c r="A175" s="2047"/>
      <c r="B175" s="1996"/>
      <c r="C175" s="2040" t="s">
        <v>1674</v>
      </c>
      <c r="D175" s="1952"/>
      <c r="E175" s="1953" t="s">
        <v>1680</v>
      </c>
      <c r="F175" s="1954" t="s">
        <v>1681</v>
      </c>
      <c r="G175" s="1955"/>
      <c r="H175" s="1956"/>
      <c r="I175" s="1952"/>
      <c r="J175" s="1952"/>
      <c r="K175" s="1952"/>
      <c r="L175" s="1952"/>
      <c r="M175" s="1952"/>
      <c r="N175" s="1952"/>
      <c r="O175" s="2043" t="s">
        <v>1417</v>
      </c>
    </row>
    <row r="176" spans="1:15" ht="17.399999999999999">
      <c r="A176" s="2047"/>
      <c r="B176" s="1996"/>
      <c r="C176" s="2041"/>
      <c r="D176" s="1957"/>
      <c r="E176" s="1958" t="s">
        <v>1682</v>
      </c>
      <c r="F176" s="1959" t="s">
        <v>1683</v>
      </c>
      <c r="G176" s="1960"/>
      <c r="H176" s="1961"/>
      <c r="I176" s="1962"/>
      <c r="J176" s="1962"/>
      <c r="K176" s="1962"/>
      <c r="L176" s="1962"/>
      <c r="M176" s="1962"/>
      <c r="N176" s="1962"/>
      <c r="O176" s="2044"/>
    </row>
    <row r="177" spans="1:15" ht="17.399999999999999">
      <c r="A177" s="2047"/>
      <c r="B177" s="1996"/>
      <c r="C177" s="2041"/>
      <c r="D177" s="1962"/>
      <c r="E177" s="1958" t="s">
        <v>1684</v>
      </c>
      <c r="F177" s="1959" t="s">
        <v>1685</v>
      </c>
      <c r="G177" s="1960"/>
      <c r="H177" s="1961"/>
      <c r="I177" s="1962"/>
      <c r="J177" s="1962"/>
      <c r="K177" s="1962"/>
      <c r="L177" s="1962"/>
      <c r="M177" s="1962"/>
      <c r="N177" s="1962"/>
      <c r="O177" s="2044"/>
    </row>
    <row r="178" spans="1:15" ht="17.399999999999999">
      <c r="A178" s="2048"/>
      <c r="B178" s="1997"/>
      <c r="C178" s="2042"/>
      <c r="D178" s="1963"/>
      <c r="E178" s="1964" t="s">
        <v>1686</v>
      </c>
      <c r="F178" s="1965" t="s">
        <v>1687</v>
      </c>
      <c r="G178" s="1966"/>
      <c r="H178" s="1967"/>
      <c r="I178" s="1963"/>
      <c r="J178" s="1963"/>
      <c r="K178" s="1963"/>
      <c r="L178" s="1963"/>
      <c r="M178" s="1963"/>
      <c r="N178" s="1963"/>
      <c r="O178" s="2045"/>
    </row>
    <row r="180" spans="1:15" ht="20.399999999999999">
      <c r="A180" s="2013" t="s">
        <v>5</v>
      </c>
      <c r="B180" s="1993"/>
      <c r="C180" s="1993"/>
      <c r="D180" s="1993"/>
      <c r="E180" s="1993"/>
      <c r="F180" s="2006" t="s">
        <v>1391</v>
      </c>
      <c r="G180" s="2006"/>
      <c r="H180" s="2009"/>
      <c r="I180" s="2009"/>
      <c r="J180" s="2009"/>
      <c r="K180" s="2009"/>
      <c r="L180" s="2009"/>
      <c r="M180" s="904" t="s">
        <v>1187</v>
      </c>
      <c r="N180" s="838" t="s">
        <v>1393</v>
      </c>
      <c r="O180" s="1744"/>
    </row>
    <row r="181" spans="1:15" ht="17.399999999999999">
      <c r="A181" s="2014"/>
      <c r="B181" s="1993"/>
      <c r="C181" s="1993"/>
      <c r="D181" s="1993"/>
      <c r="E181" s="1993"/>
      <c r="F181" s="2006" t="s">
        <v>1371</v>
      </c>
      <c r="G181" s="2006"/>
      <c r="H181" s="2009"/>
      <c r="I181" s="2009"/>
      <c r="J181" s="2009"/>
      <c r="K181" s="2009"/>
      <c r="L181" s="2009"/>
      <c r="M181" s="35"/>
      <c r="N181" s="7"/>
      <c r="O181" s="839"/>
    </row>
    <row r="182" spans="1:15" ht="17.399999999999999">
      <c r="A182" s="2013" t="s">
        <v>38</v>
      </c>
      <c r="B182" s="1993"/>
      <c r="C182" s="1993"/>
      <c r="D182" s="1993"/>
      <c r="E182" s="1993"/>
      <c r="F182" s="2007" t="s">
        <v>1392</v>
      </c>
      <c r="G182" s="2007"/>
      <c r="H182" s="2009"/>
      <c r="I182" s="2009"/>
      <c r="J182" s="2009"/>
      <c r="K182" s="2009"/>
      <c r="L182" s="2009"/>
      <c r="M182" s="35"/>
      <c r="N182" s="7"/>
      <c r="O182" s="839"/>
    </row>
    <row r="183" spans="1:15" ht="17.399999999999999">
      <c r="A183" s="2014"/>
      <c r="B183" s="1993"/>
      <c r="C183" s="1993"/>
      <c r="D183" s="1993"/>
      <c r="E183" s="1993"/>
      <c r="F183" s="2008" t="s">
        <v>1372</v>
      </c>
      <c r="G183" s="2008"/>
      <c r="H183" s="2009"/>
      <c r="I183" s="2009"/>
      <c r="J183" s="2009"/>
      <c r="K183" s="2009"/>
      <c r="L183" s="2009"/>
      <c r="M183" s="35"/>
      <c r="N183" s="7"/>
      <c r="O183" s="839"/>
    </row>
    <row r="184" spans="1:15" ht="52.2">
      <c r="A184" s="908" t="s">
        <v>1227</v>
      </c>
      <c r="B184" s="2004" t="s">
        <v>6</v>
      </c>
      <c r="C184" s="2005"/>
      <c r="D184" s="1323" t="s">
        <v>1407</v>
      </c>
      <c r="E184" s="82" t="s">
        <v>64</v>
      </c>
      <c r="F184" s="2001" t="s">
        <v>1</v>
      </c>
      <c r="G184" s="2002"/>
      <c r="H184" s="2003"/>
      <c r="I184" s="1038" t="s">
        <v>66</v>
      </c>
      <c r="J184" s="1038" t="s">
        <v>1376</v>
      </c>
      <c r="K184" s="1372" t="s">
        <v>1377</v>
      </c>
      <c r="L184" s="1372" t="s">
        <v>1375</v>
      </c>
      <c r="M184" s="1069" t="s">
        <v>1378</v>
      </c>
      <c r="N184" s="1069" t="s">
        <v>1387</v>
      </c>
      <c r="O184" s="1322" t="s">
        <v>1379</v>
      </c>
    </row>
    <row r="185" spans="1:15" ht="22.8">
      <c r="A185" s="2010" t="s">
        <v>1088</v>
      </c>
      <c r="B185" s="2055" t="s">
        <v>1577</v>
      </c>
      <c r="C185" s="2055"/>
      <c r="D185" s="1934"/>
      <c r="E185" s="1941" t="s">
        <v>397</v>
      </c>
      <c r="F185" s="2056" t="s">
        <v>398</v>
      </c>
      <c r="G185" s="2057"/>
      <c r="H185" s="2058"/>
      <c r="I185" s="119"/>
      <c r="J185" s="120"/>
      <c r="K185" s="120"/>
      <c r="L185" s="120"/>
      <c r="M185" s="1430" t="s">
        <v>1401</v>
      </c>
      <c r="N185" s="1429" t="s">
        <v>1578</v>
      </c>
      <c r="O185" s="1946" t="s">
        <v>1236</v>
      </c>
    </row>
    <row r="186" spans="1:15" ht="17.399999999999999">
      <c r="A186" s="2012"/>
      <c r="B186" s="2055"/>
      <c r="C186" s="2055"/>
      <c r="D186" s="1355"/>
      <c r="E186" s="1211" t="s">
        <v>399</v>
      </c>
      <c r="F186" s="1427" t="s">
        <v>184</v>
      </c>
      <c r="G186" s="1456"/>
      <c r="H186" s="1443"/>
      <c r="I186" s="1428"/>
      <c r="J186" s="1428"/>
      <c r="K186" s="1428"/>
      <c r="L186" s="1428"/>
      <c r="M186" s="1431"/>
      <c r="N186" s="1212"/>
      <c r="O186" s="1929"/>
    </row>
    <row r="187" spans="1:15" ht="17.399999999999999">
      <c r="A187" s="2010" t="s">
        <v>1083</v>
      </c>
      <c r="B187" s="2059" t="s">
        <v>400</v>
      </c>
      <c r="C187" s="2049"/>
      <c r="D187" s="1936"/>
      <c r="E187" s="1426" t="s">
        <v>1400</v>
      </c>
      <c r="F187" s="202" t="s">
        <v>189</v>
      </c>
      <c r="G187" s="1457"/>
      <c r="H187" s="680"/>
      <c r="I187" s="204"/>
      <c r="J187" s="205"/>
      <c r="K187" s="205"/>
      <c r="L187" s="205"/>
      <c r="M187" s="2062" t="s">
        <v>1402</v>
      </c>
      <c r="N187" s="2052" t="s">
        <v>1582</v>
      </c>
      <c r="O187" s="1933" t="str">
        <f t="shared" ref="O187:O188" si="6">HYPERLINK(VLOOKUP(F187,LINK,2,FALSE),VLOOKUP(F187,LINK,3,FALSE))</f>
        <v>EXCEL</v>
      </c>
    </row>
    <row r="188" spans="1:15" ht="17.399999999999999">
      <c r="A188" s="2012"/>
      <c r="B188" s="2060"/>
      <c r="C188" s="2061"/>
      <c r="D188" s="1938"/>
      <c r="E188" s="142" t="s">
        <v>106</v>
      </c>
      <c r="F188" s="206" t="s">
        <v>10</v>
      </c>
      <c r="G188" s="1458"/>
      <c r="H188" s="1444"/>
      <c r="I188" s="1944"/>
      <c r="J188" s="147"/>
      <c r="K188" s="147"/>
      <c r="L188" s="147"/>
      <c r="M188" s="2063"/>
      <c r="N188" s="2053"/>
      <c r="O188" s="1931" t="str">
        <f t="shared" si="6"/>
        <v>EXCEL</v>
      </c>
    </row>
    <row r="189" spans="1:15" ht="17.399999999999999">
      <c r="A189" s="2015" t="s">
        <v>1403</v>
      </c>
      <c r="B189" s="2054" t="s">
        <v>1100</v>
      </c>
      <c r="C189" s="2054"/>
      <c r="D189" s="1935"/>
      <c r="E189" s="167" t="s">
        <v>1386</v>
      </c>
      <c r="F189" s="1932" t="s">
        <v>190</v>
      </c>
      <c r="G189" s="1459"/>
      <c r="H189" s="1445"/>
      <c r="I189" s="152"/>
      <c r="J189" s="153"/>
      <c r="K189" s="153"/>
      <c r="L189" s="153"/>
      <c r="M189" s="1324" t="s">
        <v>1381</v>
      </c>
      <c r="N189" s="1221" t="s">
        <v>1384</v>
      </c>
      <c r="O189" s="1933" t="str">
        <f>HYPERLINK(VLOOKUP(F189,LINK,2,FALSE),VLOOKUP(F189,LINK,3,FALSE))</f>
        <v>EXCEL</v>
      </c>
    </row>
    <row r="190" spans="1:15" ht="24">
      <c r="A190" s="2011"/>
      <c r="B190" s="2054"/>
      <c r="C190" s="2054"/>
      <c r="D190" s="1937"/>
      <c r="E190" s="154" t="s">
        <v>240</v>
      </c>
      <c r="F190" s="155" t="s">
        <v>11</v>
      </c>
      <c r="G190" s="1460"/>
      <c r="H190" s="1446"/>
      <c r="I190" s="158"/>
      <c r="J190" s="159"/>
      <c r="K190" s="159"/>
      <c r="L190" s="159"/>
      <c r="M190" s="2038" t="s">
        <v>1382</v>
      </c>
      <c r="N190" s="1222" t="s">
        <v>1385</v>
      </c>
      <c r="O190" s="2029" t="str">
        <f>HYPERLINK(VLOOKUP(F190,LINK,2,FALSE),VLOOKUP(F190,LINK,3,FALSE))</f>
        <v>ACCESS</v>
      </c>
    </row>
    <row r="191" spans="1:15" ht="17.399999999999999">
      <c r="A191" s="2012"/>
      <c r="B191" s="2054"/>
      <c r="C191" s="2054"/>
      <c r="D191" s="1938"/>
      <c r="E191" s="160" t="s">
        <v>242</v>
      </c>
      <c r="F191" s="161" t="s">
        <v>12</v>
      </c>
      <c r="G191" s="1461"/>
      <c r="H191" s="1447"/>
      <c r="I191" s="164"/>
      <c r="J191" s="165"/>
      <c r="K191" s="165"/>
      <c r="L191" s="165"/>
      <c r="M191" s="2039"/>
      <c r="N191" s="166"/>
      <c r="O191" s="2030"/>
    </row>
    <row r="192" spans="1:15" ht="17.399999999999999">
      <c r="A192" s="2010" t="s">
        <v>1084</v>
      </c>
      <c r="B192" s="1987" t="s">
        <v>13</v>
      </c>
      <c r="C192" s="1988"/>
      <c r="D192" s="1935"/>
      <c r="E192" s="148" t="s">
        <v>245</v>
      </c>
      <c r="F192" s="202" t="s">
        <v>14</v>
      </c>
      <c r="G192" s="1457"/>
      <c r="H192" s="680"/>
      <c r="I192" s="1894"/>
      <c r="J192" s="130"/>
      <c r="K192" s="130"/>
      <c r="L192" s="130"/>
      <c r="M192" s="130"/>
      <c r="N192" s="209" t="s">
        <v>1660</v>
      </c>
      <c r="O192" s="2018" t="s">
        <v>1239</v>
      </c>
    </row>
    <row r="193" spans="1:15" ht="17.399999999999999">
      <c r="A193" s="2011"/>
      <c r="B193" s="1989"/>
      <c r="C193" s="1990"/>
      <c r="D193" s="215"/>
      <c r="E193" s="216" t="s">
        <v>245</v>
      </c>
      <c r="F193" s="211" t="s">
        <v>14</v>
      </c>
      <c r="G193" s="1462"/>
      <c r="H193" s="1448"/>
      <c r="I193" s="1209"/>
      <c r="J193" s="138"/>
      <c r="K193" s="138"/>
      <c r="L193" s="138"/>
      <c r="M193" s="138"/>
      <c r="N193" s="213" t="s">
        <v>1660</v>
      </c>
      <c r="O193" s="2019"/>
    </row>
    <row r="194" spans="1:15" ht="17.399999999999999">
      <c r="A194" s="2011"/>
      <c r="B194" s="1989"/>
      <c r="C194" s="1990"/>
      <c r="D194" s="215"/>
      <c r="E194" s="216" t="s">
        <v>1028</v>
      </c>
      <c r="F194" s="720" t="s">
        <v>191</v>
      </c>
      <c r="G194" s="1463"/>
      <c r="H194" s="1449"/>
      <c r="I194" s="1895"/>
      <c r="J194" s="220"/>
      <c r="K194" s="220"/>
      <c r="L194" s="220"/>
      <c r="M194" s="220"/>
      <c r="N194" s="221"/>
      <c r="O194" s="2019"/>
    </row>
    <row r="195" spans="1:15" ht="17.399999999999999">
      <c r="A195" s="2012"/>
      <c r="B195" s="1991"/>
      <c r="C195" s="1992"/>
      <c r="D195" s="215"/>
      <c r="E195" s="1945" t="s">
        <v>58</v>
      </c>
      <c r="F195" s="206" t="s">
        <v>191</v>
      </c>
      <c r="G195" s="1458"/>
      <c r="H195" s="1444"/>
      <c r="I195" s="1210"/>
      <c r="J195" s="147"/>
      <c r="K195" s="220"/>
      <c r="L195" s="220"/>
      <c r="M195" s="220"/>
      <c r="N195" s="221"/>
      <c r="O195" s="2020"/>
    </row>
    <row r="196" spans="1:15" ht="17.399999999999999">
      <c r="A196" s="2016" t="s">
        <v>1117</v>
      </c>
      <c r="B196" s="1995" t="s">
        <v>1258</v>
      </c>
      <c r="C196" s="1998" t="s">
        <v>1416</v>
      </c>
      <c r="D196" s="188"/>
      <c r="E196" s="148" t="s">
        <v>433</v>
      </c>
      <c r="F196" s="1388" t="s">
        <v>434</v>
      </c>
      <c r="G196" s="1389"/>
      <c r="H196" s="1390"/>
      <c r="I196" s="188"/>
      <c r="J196" s="188"/>
      <c r="K196" s="188"/>
      <c r="L196" s="188"/>
      <c r="M196" s="188"/>
      <c r="N196" s="188"/>
      <c r="O196" s="2018" t="s">
        <v>1417</v>
      </c>
    </row>
    <row r="197" spans="1:15" ht="17.399999999999999">
      <c r="A197" s="2017"/>
      <c r="B197" s="1996"/>
      <c r="C197" s="1999"/>
      <c r="D197" s="428"/>
      <c r="E197" s="133" t="s">
        <v>1116</v>
      </c>
      <c r="F197" s="1391" t="s">
        <v>372</v>
      </c>
      <c r="G197" s="1392"/>
      <c r="H197" s="1393"/>
      <c r="I197" s="1737"/>
      <c r="J197" s="1737"/>
      <c r="K197" s="1737"/>
      <c r="L197" s="1737"/>
      <c r="M197" s="1737"/>
      <c r="N197" s="1737"/>
      <c r="O197" s="2019"/>
    </row>
    <row r="198" spans="1:15" ht="17.399999999999999">
      <c r="A198" s="2017"/>
      <c r="B198" s="1996"/>
      <c r="C198" s="1999"/>
      <c r="D198" s="1737"/>
      <c r="E198" s="133" t="s">
        <v>404</v>
      </c>
      <c r="F198" s="1391" t="s">
        <v>405</v>
      </c>
      <c r="G198" s="1392"/>
      <c r="H198" s="1393"/>
      <c r="I198" s="1737"/>
      <c r="J198" s="1737"/>
      <c r="K198" s="1737"/>
      <c r="L198" s="1737"/>
      <c r="M198" s="1737"/>
      <c r="N198" s="1737"/>
      <c r="O198" s="2019"/>
    </row>
    <row r="199" spans="1:15" ht="17.399999999999999">
      <c r="A199" s="2017"/>
      <c r="B199" s="1996"/>
      <c r="C199" s="1999"/>
      <c r="D199" s="1045"/>
      <c r="E199" s="1487" t="s">
        <v>406</v>
      </c>
      <c r="F199" s="2021" t="s">
        <v>438</v>
      </c>
      <c r="G199" s="2022"/>
      <c r="H199" s="2023"/>
      <c r="I199" s="1045"/>
      <c r="J199" s="1045"/>
      <c r="K199" s="1045"/>
      <c r="L199" s="1045"/>
      <c r="M199" s="1045"/>
      <c r="N199" s="1737" t="s">
        <v>1421</v>
      </c>
      <c r="O199" s="2019"/>
    </row>
    <row r="200" spans="1:15" ht="17.399999999999999">
      <c r="A200" s="2017"/>
      <c r="B200" s="1996"/>
      <c r="C200" s="1999"/>
      <c r="D200" s="698"/>
      <c r="E200" s="1487" t="s">
        <v>407</v>
      </c>
      <c r="F200" s="2024" t="s">
        <v>1420</v>
      </c>
      <c r="G200" s="2025"/>
      <c r="H200" s="2026"/>
      <c r="I200" s="698"/>
      <c r="J200" s="698"/>
      <c r="K200" s="698"/>
      <c r="L200" s="698"/>
      <c r="M200" s="698"/>
      <c r="N200" s="796" t="s">
        <v>1421</v>
      </c>
      <c r="O200" s="2019"/>
    </row>
    <row r="201" spans="1:15" ht="17.399999999999999">
      <c r="A201" s="2017"/>
      <c r="B201" s="1997"/>
      <c r="C201" s="2000"/>
      <c r="D201" s="1738"/>
      <c r="E201" s="1949" t="s">
        <v>750</v>
      </c>
      <c r="F201" s="1394" t="s">
        <v>408</v>
      </c>
      <c r="G201" s="1395"/>
      <c r="H201" s="1396"/>
      <c r="I201" s="1738"/>
      <c r="J201" s="1738"/>
      <c r="K201" s="1738"/>
      <c r="L201" s="1738"/>
      <c r="M201" s="1738"/>
      <c r="N201" s="1738" t="s">
        <v>1418</v>
      </c>
      <c r="O201" s="2020"/>
    </row>
    <row r="202" spans="1:15" ht="17.399999999999999">
      <c r="A202" s="2015" t="s">
        <v>1369</v>
      </c>
      <c r="B202" s="1987" t="s">
        <v>1370</v>
      </c>
      <c r="C202" s="1988"/>
      <c r="D202" s="1935"/>
      <c r="E202" s="1940" t="s">
        <v>1186</v>
      </c>
      <c r="F202" s="202" t="s">
        <v>17</v>
      </c>
      <c r="G202" s="1457"/>
      <c r="H202" s="680"/>
      <c r="I202" s="129"/>
      <c r="J202" s="130"/>
      <c r="K202" s="130"/>
      <c r="L202" s="170"/>
      <c r="M202" s="130"/>
      <c r="N202" s="209"/>
      <c r="O202" s="1933" t="str">
        <f>HYPERLINK(VLOOKUP(F202,LINK,2,FALSE),VLOOKUP(F202,LINK,3,FALSE))</f>
        <v>EXCEL</v>
      </c>
    </row>
    <row r="203" spans="1:15" ht="17.399999999999999">
      <c r="A203" s="2011"/>
      <c r="B203" s="1989"/>
      <c r="C203" s="1990"/>
      <c r="D203" s="1938"/>
      <c r="E203" s="1948" t="s">
        <v>18</v>
      </c>
      <c r="F203" s="206" t="s">
        <v>401</v>
      </c>
      <c r="G203" s="1458"/>
      <c r="H203" s="1444"/>
      <c r="I203" s="174"/>
      <c r="J203" s="147"/>
      <c r="K203" s="147"/>
      <c r="L203" s="175"/>
      <c r="M203" s="147"/>
      <c r="N203" s="210"/>
      <c r="O203" s="1931" t="str">
        <f>HYPERLINK(VLOOKUP(F203,LINK,2,FALSE),VLOOKUP(F203,LINK,3,FALSE))</f>
        <v>EXCEL</v>
      </c>
    </row>
    <row r="204" spans="1:15" ht="17.399999999999999">
      <c r="A204" s="750" t="s">
        <v>1082</v>
      </c>
      <c r="B204" s="1985" t="s">
        <v>1255</v>
      </c>
      <c r="C204" s="1986"/>
      <c r="D204" s="1934"/>
      <c r="E204" s="1942" t="s">
        <v>262</v>
      </c>
      <c r="F204" s="1950" t="s">
        <v>263</v>
      </c>
      <c r="G204" s="1464"/>
      <c r="H204" s="1450"/>
      <c r="I204" s="1939"/>
      <c r="J204" s="1939"/>
      <c r="K204" s="1939"/>
      <c r="L204" s="1351"/>
      <c r="M204" s="186"/>
      <c r="N204" s="122"/>
      <c r="O204" s="1928" t="str">
        <f>HYPERLINK(VLOOKUP(F204,LINK,2,FALSE),VLOOKUP(F204,LINK,3,FALSE))</f>
        <v>EXCEL</v>
      </c>
    </row>
    <row r="205" spans="1:15" ht="17.399999999999999">
      <c r="A205" s="2010" t="s">
        <v>1085</v>
      </c>
      <c r="B205" s="1989" t="s">
        <v>1414</v>
      </c>
      <c r="C205" s="1990"/>
      <c r="D205" s="1935"/>
      <c r="E205" s="1940" t="s">
        <v>1186</v>
      </c>
      <c r="F205" s="202" t="s">
        <v>17</v>
      </c>
      <c r="G205" s="1457"/>
      <c r="H205" s="680"/>
      <c r="I205" s="129"/>
      <c r="J205" s="130"/>
      <c r="K205" s="130"/>
      <c r="L205" s="170"/>
      <c r="M205" s="130"/>
      <c r="N205" s="209"/>
      <c r="O205" s="1933" t="str">
        <f>HYPERLINK(VLOOKUP(F205,LINK,2,FALSE),VLOOKUP(F205,LINK,3,FALSE))</f>
        <v>EXCEL</v>
      </c>
    </row>
    <row r="206" spans="1:15" ht="17.399999999999999">
      <c r="A206" s="2011"/>
      <c r="B206" s="1989"/>
      <c r="C206" s="1990"/>
      <c r="D206" s="1937"/>
      <c r="E206" s="515" t="s">
        <v>18</v>
      </c>
      <c r="F206" s="211" t="s">
        <v>401</v>
      </c>
      <c r="G206" s="1462"/>
      <c r="H206" s="1448"/>
      <c r="I206" s="137"/>
      <c r="J206" s="138"/>
      <c r="K206" s="138"/>
      <c r="L206" s="172"/>
      <c r="M206" s="138"/>
      <c r="N206" s="213"/>
      <c r="O206" s="1930" t="str">
        <f>HYPERLINK(VLOOKUP(F206,LINK,2,FALSE),VLOOKUP(F206,LINK,3,FALSE))</f>
        <v>EXCEL</v>
      </c>
    </row>
    <row r="207" spans="1:15" ht="17.399999999999999">
      <c r="A207" s="2011"/>
      <c r="B207" s="1989"/>
      <c r="C207" s="1990"/>
      <c r="D207" s="1937"/>
      <c r="E207" s="515" t="s">
        <v>15</v>
      </c>
      <c r="F207" s="211" t="s">
        <v>395</v>
      </c>
      <c r="G207" s="1465" t="s">
        <v>984</v>
      </c>
      <c r="H207" s="1448" t="s">
        <v>392</v>
      </c>
      <c r="I207" s="1943" t="s">
        <v>96</v>
      </c>
      <c r="J207" s="172"/>
      <c r="K207" s="172"/>
      <c r="L207" s="172"/>
      <c r="M207" s="138"/>
      <c r="N207" s="2050" t="s">
        <v>1404</v>
      </c>
      <c r="O207" s="2029"/>
    </row>
    <row r="208" spans="1:15" ht="17.399999999999999">
      <c r="A208" s="2012"/>
      <c r="B208" s="1991"/>
      <c r="C208" s="1992"/>
      <c r="D208" s="1938"/>
      <c r="E208" s="1948" t="s">
        <v>16</v>
      </c>
      <c r="F208" s="206" t="s">
        <v>395</v>
      </c>
      <c r="G208" s="1458"/>
      <c r="H208" s="1444" t="s">
        <v>390</v>
      </c>
      <c r="I208" s="1944"/>
      <c r="J208" s="147"/>
      <c r="K208" s="147"/>
      <c r="L208" s="175"/>
      <c r="M208" s="147"/>
      <c r="N208" s="2051"/>
      <c r="O208" s="2030"/>
    </row>
    <row r="209" spans="1:15" ht="17.399999999999999">
      <c r="A209" s="2010" t="s">
        <v>1086</v>
      </c>
      <c r="B209" s="2059" t="s">
        <v>1246</v>
      </c>
      <c r="C209" s="2049"/>
      <c r="D209" s="1935"/>
      <c r="E209" s="1947" t="s">
        <v>4</v>
      </c>
      <c r="F209" s="202" t="s">
        <v>17</v>
      </c>
      <c r="G209" s="1457"/>
      <c r="H209" s="680"/>
      <c r="I209" s="129"/>
      <c r="J209" s="130"/>
      <c r="K209" s="130"/>
      <c r="L209" s="170"/>
      <c r="M209" s="130"/>
      <c r="N209" s="209"/>
      <c r="O209" s="2018" t="str">
        <f>HYPERLINK(VLOOKUP(F209,LINK,2,FALSE),VLOOKUP(F209,LINK,3,FALSE))</f>
        <v>EXCEL</v>
      </c>
    </row>
    <row r="210" spans="1:15" ht="17.399999999999999">
      <c r="A210" s="2012"/>
      <c r="B210" s="2060"/>
      <c r="C210" s="2061"/>
      <c r="D210" s="1937"/>
      <c r="E210" s="515" t="s">
        <v>18</v>
      </c>
      <c r="F210" s="206" t="s">
        <v>401</v>
      </c>
      <c r="G210" s="1458"/>
      <c r="H210" s="1444"/>
      <c r="I210" s="137"/>
      <c r="J210" s="138"/>
      <c r="K210" s="138"/>
      <c r="L210" s="172"/>
      <c r="M210" s="138"/>
      <c r="N210" s="213"/>
      <c r="O210" s="2020"/>
    </row>
    <row r="211" spans="1:15" ht="17.399999999999999">
      <c r="A211" s="2010" t="s">
        <v>1087</v>
      </c>
      <c r="B211" s="1987" t="s">
        <v>1245</v>
      </c>
      <c r="C211" s="1988"/>
      <c r="D211" s="1935"/>
      <c r="E211" s="1947" t="s">
        <v>192</v>
      </c>
      <c r="F211" s="1388" t="s">
        <v>396</v>
      </c>
      <c r="G211" s="679"/>
      <c r="H211" s="680" t="s">
        <v>391</v>
      </c>
      <c r="I211" s="129"/>
      <c r="J211" s="130"/>
      <c r="K211" s="130"/>
      <c r="L211" s="170"/>
      <c r="M211" s="130"/>
      <c r="N211" s="747"/>
      <c r="O211" s="2018" t="s">
        <v>1239</v>
      </c>
    </row>
    <row r="212" spans="1:15" ht="17.399999999999999">
      <c r="A212" s="2011"/>
      <c r="B212" s="1989"/>
      <c r="C212" s="1990"/>
      <c r="D212" s="1936"/>
      <c r="E212" s="515" t="s">
        <v>193</v>
      </c>
      <c r="F212" s="1391" t="s">
        <v>233</v>
      </c>
      <c r="G212" s="1466"/>
      <c r="H212" s="1448" t="s">
        <v>392</v>
      </c>
      <c r="I212" s="137"/>
      <c r="J212" s="172"/>
      <c r="K212" s="172"/>
      <c r="L212" s="172"/>
      <c r="M212" s="138"/>
      <c r="N212" s="213"/>
      <c r="O212" s="2019"/>
    </row>
    <row r="213" spans="1:15" ht="17.399999999999999">
      <c r="A213" s="2011"/>
      <c r="B213" s="1989"/>
      <c r="C213" s="1990"/>
      <c r="D213" s="1937"/>
      <c r="E213" s="515" t="s">
        <v>194</v>
      </c>
      <c r="F213" s="181" t="s">
        <v>233</v>
      </c>
      <c r="G213" s="1467"/>
      <c r="H213" s="1451" t="s">
        <v>390</v>
      </c>
      <c r="I213" s="137"/>
      <c r="J213" s="172"/>
      <c r="K213" s="172"/>
      <c r="L213" s="172"/>
      <c r="M213" s="138"/>
      <c r="N213" s="214"/>
      <c r="O213" s="2019"/>
    </row>
    <row r="214" spans="1:15" ht="17.399999999999999">
      <c r="A214" s="2011"/>
      <c r="B214" s="1989"/>
      <c r="C214" s="1990"/>
      <c r="D214" s="215"/>
      <c r="E214" s="515" t="s">
        <v>195</v>
      </c>
      <c r="F214" s="1391" t="s">
        <v>233</v>
      </c>
      <c r="G214" s="1466"/>
      <c r="H214" s="1448" t="s">
        <v>393</v>
      </c>
      <c r="I214" s="137"/>
      <c r="J214" s="172"/>
      <c r="K214" s="172"/>
      <c r="L214" s="172"/>
      <c r="M214" s="205"/>
      <c r="N214" s="222"/>
      <c r="O214" s="2019"/>
    </row>
    <row r="215" spans="1:15" ht="17.399999999999999">
      <c r="A215" s="2012"/>
      <c r="B215" s="1991"/>
      <c r="C215" s="1992"/>
      <c r="D215" s="1938"/>
      <c r="E215" s="1948" t="s">
        <v>196</v>
      </c>
      <c r="F215" s="723" t="s">
        <v>233</v>
      </c>
      <c r="G215" s="1468"/>
      <c r="H215" s="1449" t="s">
        <v>394</v>
      </c>
      <c r="I215" s="174"/>
      <c r="J215" s="175"/>
      <c r="K215" s="175"/>
      <c r="L215" s="175"/>
      <c r="M215" s="147"/>
      <c r="N215" s="210"/>
      <c r="O215" s="2020"/>
    </row>
    <row r="216" spans="1:15" ht="17.399999999999999">
      <c r="A216" s="2066" t="s">
        <v>1321</v>
      </c>
      <c r="B216" s="2054" t="s">
        <v>1319</v>
      </c>
      <c r="C216" s="2054"/>
      <c r="D216" s="1951"/>
      <c r="E216" s="1436" t="s">
        <v>1253</v>
      </c>
      <c r="F216" s="726" t="s">
        <v>234</v>
      </c>
      <c r="G216" s="1469"/>
      <c r="H216" s="1452" t="s">
        <v>391</v>
      </c>
      <c r="I216" s="1439"/>
      <c r="J216" s="188"/>
      <c r="K216" s="188"/>
      <c r="L216" s="188"/>
      <c r="M216" s="190"/>
      <c r="N216" s="177"/>
      <c r="O216" s="2067" t="s">
        <v>1239</v>
      </c>
    </row>
    <row r="217" spans="1:15" ht="17.399999999999999">
      <c r="A217" s="2066"/>
      <c r="B217" s="2054"/>
      <c r="C217" s="2054"/>
      <c r="D217" s="1943"/>
      <c r="E217" s="1437" t="s">
        <v>174</v>
      </c>
      <c r="F217" s="1432" t="s">
        <v>234</v>
      </c>
      <c r="G217" s="1470"/>
      <c r="H217" s="1453" t="s">
        <v>392</v>
      </c>
      <c r="I217" s="1440"/>
      <c r="J217" s="228"/>
      <c r="K217" s="228"/>
      <c r="L217" s="228"/>
      <c r="M217" s="192"/>
      <c r="N217" s="179"/>
      <c r="O217" s="2029"/>
    </row>
    <row r="218" spans="1:15" ht="17.399999999999999">
      <c r="A218" s="2066"/>
      <c r="B218" s="2054"/>
      <c r="C218" s="2054"/>
      <c r="D218" s="1943"/>
      <c r="E218" s="1437" t="s">
        <v>175</v>
      </c>
      <c r="F218" s="1432" t="s">
        <v>234</v>
      </c>
      <c r="G218" s="1470"/>
      <c r="H218" s="1453" t="s">
        <v>390</v>
      </c>
      <c r="I218" s="1440"/>
      <c r="J218" s="228"/>
      <c r="K218" s="228"/>
      <c r="L218" s="228"/>
      <c r="M218" s="192"/>
      <c r="N218" s="179"/>
      <c r="O218" s="2029"/>
    </row>
    <row r="219" spans="1:15" ht="17.399999999999999">
      <c r="A219" s="2066"/>
      <c r="B219" s="2054"/>
      <c r="C219" s="2054"/>
      <c r="D219" s="1944"/>
      <c r="E219" s="1438" t="s">
        <v>176</v>
      </c>
      <c r="F219" s="1442" t="s">
        <v>234</v>
      </c>
      <c r="G219" s="1471"/>
      <c r="H219" s="1454" t="s">
        <v>393</v>
      </c>
      <c r="I219" s="1441"/>
      <c r="J219" s="229"/>
      <c r="K219" s="229"/>
      <c r="L219" s="229"/>
      <c r="M219" s="194"/>
      <c r="N219" s="166"/>
      <c r="O219" s="2030"/>
    </row>
  </sheetData>
  <mergeCells count="280">
    <mergeCell ref="A211:A215"/>
    <mergeCell ref="B211:C215"/>
    <mergeCell ref="O211:O215"/>
    <mergeCell ref="A216:A219"/>
    <mergeCell ref="B216:C219"/>
    <mergeCell ref="O216:O219"/>
    <mergeCell ref="A202:A203"/>
    <mergeCell ref="B202:C203"/>
    <mergeCell ref="B204:C204"/>
    <mergeCell ref="A205:A208"/>
    <mergeCell ref="B205:C208"/>
    <mergeCell ref="N207:N208"/>
    <mergeCell ref="O207:O208"/>
    <mergeCell ref="A209:A210"/>
    <mergeCell ref="B209:C210"/>
    <mergeCell ref="O209:O210"/>
    <mergeCell ref="A192:A195"/>
    <mergeCell ref="B192:C195"/>
    <mergeCell ref="O192:O195"/>
    <mergeCell ref="A196:A201"/>
    <mergeCell ref="B196:B201"/>
    <mergeCell ref="C196:C201"/>
    <mergeCell ref="O196:O201"/>
    <mergeCell ref="F199:H199"/>
    <mergeCell ref="F200:H200"/>
    <mergeCell ref="N187:N188"/>
    <mergeCell ref="A189:A191"/>
    <mergeCell ref="B189:C191"/>
    <mergeCell ref="M190:M191"/>
    <mergeCell ref="O190:O191"/>
    <mergeCell ref="B184:C184"/>
    <mergeCell ref="F184:H184"/>
    <mergeCell ref="A185:A186"/>
    <mergeCell ref="B185:C185"/>
    <mergeCell ref="F185:H185"/>
    <mergeCell ref="B186:C186"/>
    <mergeCell ref="A187:A188"/>
    <mergeCell ref="B187:C188"/>
    <mergeCell ref="M187:M188"/>
    <mergeCell ref="A180:A181"/>
    <mergeCell ref="B180:E181"/>
    <mergeCell ref="F180:G180"/>
    <mergeCell ref="H180:L180"/>
    <mergeCell ref="F181:G181"/>
    <mergeCell ref="H181:L181"/>
    <mergeCell ref="A182:A183"/>
    <mergeCell ref="B182:E183"/>
    <mergeCell ref="F182:G182"/>
    <mergeCell ref="H182:L182"/>
    <mergeCell ref="F183:G183"/>
    <mergeCell ref="H183:L183"/>
    <mergeCell ref="A21:A26"/>
    <mergeCell ref="B21:B26"/>
    <mergeCell ref="C21:C26"/>
    <mergeCell ref="O21:O26"/>
    <mergeCell ref="F24:H24"/>
    <mergeCell ref="F25:H25"/>
    <mergeCell ref="A122:A123"/>
    <mergeCell ref="B122:C123"/>
    <mergeCell ref="A124:A127"/>
    <mergeCell ref="B124:C127"/>
    <mergeCell ref="N126:N127"/>
    <mergeCell ref="O126:O127"/>
    <mergeCell ref="M117:M118"/>
    <mergeCell ref="N117:N118"/>
    <mergeCell ref="A119:A121"/>
    <mergeCell ref="B119:C121"/>
    <mergeCell ref="M120:M121"/>
    <mergeCell ref="O120:O121"/>
    <mergeCell ref="B117:C118"/>
    <mergeCell ref="B115:C115"/>
    <mergeCell ref="F115:H115"/>
    <mergeCell ref="B116:C116"/>
    <mergeCell ref="F116:H116"/>
    <mergeCell ref="A117:A118"/>
    <mergeCell ref="A111:A112"/>
    <mergeCell ref="B111:E112"/>
    <mergeCell ref="F111:G111"/>
    <mergeCell ref="H111:L111"/>
    <mergeCell ref="F112:G112"/>
    <mergeCell ref="H112:L112"/>
    <mergeCell ref="A113:A114"/>
    <mergeCell ref="B113:E114"/>
    <mergeCell ref="F113:G113"/>
    <mergeCell ref="H113:L113"/>
    <mergeCell ref="F114:G114"/>
    <mergeCell ref="H114:L114"/>
    <mergeCell ref="M98:M99"/>
    <mergeCell ref="N69:N70"/>
    <mergeCell ref="N104:N105"/>
    <mergeCell ref="A106:A107"/>
    <mergeCell ref="B106:C107"/>
    <mergeCell ref="B108:C108"/>
    <mergeCell ref="O106:O107"/>
    <mergeCell ref="O95:O96"/>
    <mergeCell ref="M54:M55"/>
    <mergeCell ref="N54:N55"/>
    <mergeCell ref="M57:M58"/>
    <mergeCell ref="M72:M73"/>
    <mergeCell ref="B81:C84"/>
    <mergeCell ref="F93:H93"/>
    <mergeCell ref="B94:C94"/>
    <mergeCell ref="M95:M96"/>
    <mergeCell ref="N95:N96"/>
    <mergeCell ref="F90:G90"/>
    <mergeCell ref="H90:L90"/>
    <mergeCell ref="F91:G91"/>
    <mergeCell ref="H91:L91"/>
    <mergeCell ref="F88:G88"/>
    <mergeCell ref="B92:C92"/>
    <mergeCell ref="B97:C99"/>
    <mergeCell ref="F47:G47"/>
    <mergeCell ref="H47:L47"/>
    <mergeCell ref="F48:G48"/>
    <mergeCell ref="H48:L48"/>
    <mergeCell ref="B30:C33"/>
    <mergeCell ref="B27:C28"/>
    <mergeCell ref="B29:C29"/>
    <mergeCell ref="B52:C52"/>
    <mergeCell ref="B9:C10"/>
    <mergeCell ref="A102:A105"/>
    <mergeCell ref="B102:C105"/>
    <mergeCell ref="A97:A99"/>
    <mergeCell ref="A100:A101"/>
    <mergeCell ref="B100:C101"/>
    <mergeCell ref="A93:A94"/>
    <mergeCell ref="A95:A96"/>
    <mergeCell ref="B93:C93"/>
    <mergeCell ref="B95:C96"/>
    <mergeCell ref="H88:L88"/>
    <mergeCell ref="F89:G89"/>
    <mergeCell ref="H89:L89"/>
    <mergeCell ref="A90:A91"/>
    <mergeCell ref="B90:E91"/>
    <mergeCell ref="O81:O84"/>
    <mergeCell ref="O69:O70"/>
    <mergeCell ref="A74:A75"/>
    <mergeCell ref="B74:C75"/>
    <mergeCell ref="O74:O75"/>
    <mergeCell ref="A76:A80"/>
    <mergeCell ref="B76:C80"/>
    <mergeCell ref="O76:O80"/>
    <mergeCell ref="O72:O73"/>
    <mergeCell ref="A81:A84"/>
    <mergeCell ref="A71:A73"/>
    <mergeCell ref="B71:C73"/>
    <mergeCell ref="A88:A89"/>
    <mergeCell ref="B88:E89"/>
    <mergeCell ref="B67:C70"/>
    <mergeCell ref="B66:C66"/>
    <mergeCell ref="B53:C53"/>
    <mergeCell ref="B54:C55"/>
    <mergeCell ref="O57:O58"/>
    <mergeCell ref="A59:A62"/>
    <mergeCell ref="O59:O62"/>
    <mergeCell ref="A17:A20"/>
    <mergeCell ref="A14:A16"/>
    <mergeCell ref="A11:A13"/>
    <mergeCell ref="B47:E48"/>
    <mergeCell ref="A63:A65"/>
    <mergeCell ref="B63:C65"/>
    <mergeCell ref="B51:C51"/>
    <mergeCell ref="F51:H51"/>
    <mergeCell ref="A52:A53"/>
    <mergeCell ref="A54:A55"/>
    <mergeCell ref="A56:A58"/>
    <mergeCell ref="B56:C58"/>
    <mergeCell ref="B59:C62"/>
    <mergeCell ref="M12:M13"/>
    <mergeCell ref="M15:M16"/>
    <mergeCell ref="N32:N33"/>
    <mergeCell ref="B41:C44"/>
    <mergeCell ref="F52:H52"/>
    <mergeCell ref="A9:A10"/>
    <mergeCell ref="A7:A8"/>
    <mergeCell ref="A41:A44"/>
    <mergeCell ref="A36:A40"/>
    <mergeCell ref="A34:A35"/>
    <mergeCell ref="A30:A33"/>
    <mergeCell ref="A27:A28"/>
    <mergeCell ref="O36:O40"/>
    <mergeCell ref="O34:O35"/>
    <mergeCell ref="O41:O44"/>
    <mergeCell ref="O12:O13"/>
    <mergeCell ref="O15:O16"/>
    <mergeCell ref="O32:O33"/>
    <mergeCell ref="B34:C35"/>
    <mergeCell ref="B36:C40"/>
    <mergeCell ref="O17:O20"/>
    <mergeCell ref="B11:C13"/>
    <mergeCell ref="B7:C7"/>
    <mergeCell ref="M9:M10"/>
    <mergeCell ref="F7:H7"/>
    <mergeCell ref="N9:N10"/>
    <mergeCell ref="B8:C8"/>
    <mergeCell ref="B14:C16"/>
    <mergeCell ref="B17:C20"/>
    <mergeCell ref="F92:H92"/>
    <mergeCell ref="A49:A50"/>
    <mergeCell ref="B49:E50"/>
    <mergeCell ref="F49:G49"/>
    <mergeCell ref="H49:L49"/>
    <mergeCell ref="F50:G50"/>
    <mergeCell ref="H50:L50"/>
    <mergeCell ref="A2:A3"/>
    <mergeCell ref="B2:E3"/>
    <mergeCell ref="F2:G2"/>
    <mergeCell ref="H2:L2"/>
    <mergeCell ref="F3:G3"/>
    <mergeCell ref="H3:L3"/>
    <mergeCell ref="A4:A5"/>
    <mergeCell ref="B4:E5"/>
    <mergeCell ref="F4:G4"/>
    <mergeCell ref="H4:L4"/>
    <mergeCell ref="F5:G5"/>
    <mergeCell ref="H5:L5"/>
    <mergeCell ref="F6:H6"/>
    <mergeCell ref="B6:C6"/>
    <mergeCell ref="A47:A48"/>
    <mergeCell ref="I65:L65"/>
    <mergeCell ref="A67:A70"/>
    <mergeCell ref="B133:C133"/>
    <mergeCell ref="F133:H133"/>
    <mergeCell ref="B134:C134"/>
    <mergeCell ref="F134:H134"/>
    <mergeCell ref="A135:A136"/>
    <mergeCell ref="B135:C136"/>
    <mergeCell ref="M135:M136"/>
    <mergeCell ref="A129:A130"/>
    <mergeCell ref="B129:E130"/>
    <mergeCell ref="F129:G129"/>
    <mergeCell ref="H129:L129"/>
    <mergeCell ref="F130:G130"/>
    <mergeCell ref="H130:L130"/>
    <mergeCell ref="A131:A132"/>
    <mergeCell ref="B131:E132"/>
    <mergeCell ref="F131:G131"/>
    <mergeCell ref="H131:L131"/>
    <mergeCell ref="F132:G132"/>
    <mergeCell ref="H132:L132"/>
    <mergeCell ref="A145:A148"/>
    <mergeCell ref="B145:C148"/>
    <mergeCell ref="O145:O148"/>
    <mergeCell ref="C172:C174"/>
    <mergeCell ref="O172:O174"/>
    <mergeCell ref="N135:N136"/>
    <mergeCell ref="A137:A139"/>
    <mergeCell ref="B137:C139"/>
    <mergeCell ref="M138:M139"/>
    <mergeCell ref="O138:O139"/>
    <mergeCell ref="A142:A144"/>
    <mergeCell ref="B142:C144"/>
    <mergeCell ref="M143:M144"/>
    <mergeCell ref="O143:O144"/>
    <mergeCell ref="A140:A141"/>
    <mergeCell ref="B140:C141"/>
    <mergeCell ref="C175:C178"/>
    <mergeCell ref="O175:O178"/>
    <mergeCell ref="B166:B178"/>
    <mergeCell ref="A166:A178"/>
    <mergeCell ref="A149:A153"/>
    <mergeCell ref="B149:C153"/>
    <mergeCell ref="O149:O153"/>
    <mergeCell ref="C166:C171"/>
    <mergeCell ref="O166:O171"/>
    <mergeCell ref="F169:H169"/>
    <mergeCell ref="F170:H170"/>
    <mergeCell ref="A160:A161"/>
    <mergeCell ref="B160:C161"/>
    <mergeCell ref="A157:A158"/>
    <mergeCell ref="B157:C158"/>
    <mergeCell ref="B159:C159"/>
    <mergeCell ref="A162:A165"/>
    <mergeCell ref="B162:C165"/>
    <mergeCell ref="N164:N165"/>
    <mergeCell ref="O164:O165"/>
    <mergeCell ref="A154:A156"/>
    <mergeCell ref="B154:C156"/>
    <mergeCell ref="M155:M156"/>
    <mergeCell ref="O155:O156"/>
  </mergeCells>
  <phoneticPr fontId="2"/>
  <hyperlinks>
    <hyperlink ref="A1:P1" location="TEMPLATE!A1" display="FEMALE BODY"/>
    <hyperlink ref="P9" r:id="rId1"/>
    <hyperlink ref="A46:N46" location="TEMPLATE!A1" display="FEMALE BODY"/>
    <hyperlink ref="A87:N87" location="TEMPLATE!A1" display="FEMALE BODY"/>
    <hyperlink ref="A110:O110" location="TEMPLATE!A1" display="FEMALE BODY"/>
  </hyperlinks>
  <pageMargins left="0.25" right="0.25" top="0.75" bottom="0.75" header="0.3" footer="0.3"/>
  <pageSetup paperSize="9" scale="50" orientation="landscape" r:id="rId2"/>
  <rowBreaks count="1" manualBreakCount="1">
    <brk id="86" max="1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pageSetUpPr fitToPage="1"/>
  </sheetPr>
  <dimension ref="A1:AE135"/>
  <sheetViews>
    <sheetView showGridLines="0" view="pageBreakPreview" topLeftCell="A105" zoomScale="85" zoomScaleNormal="85" zoomScaleSheetLayoutView="85" workbookViewId="0">
      <selection activeCell="B108" sqref="B108:E109"/>
    </sheetView>
  </sheetViews>
  <sheetFormatPr defaultRowHeight="13.8"/>
  <cols>
    <col min="1" max="1" width="10" customWidth="1"/>
    <col min="2" max="2" width="17.09765625" customWidth="1"/>
    <col min="3" max="3" width="27.09765625" bestFit="1" customWidth="1"/>
    <col min="4" max="4" width="5.59765625" customWidth="1"/>
    <col min="5" max="5" width="37.09765625" bestFit="1" customWidth="1"/>
    <col min="6" max="6" width="12.19921875" bestFit="1" customWidth="1"/>
    <col min="7" max="7" width="7.5" customWidth="1"/>
    <col min="8" max="12" width="5.59765625" customWidth="1"/>
    <col min="13" max="13" width="15" customWidth="1"/>
    <col min="14" max="14" width="63.59765625" customWidth="1"/>
    <col min="15" max="15" width="7.69921875" style="91" bestFit="1" customWidth="1"/>
  </cols>
  <sheetData>
    <row r="1" spans="1:20">
      <c r="O1" s="1009"/>
    </row>
    <row r="2" spans="1:20" ht="13.5" customHeight="1">
      <c r="A2" s="100" t="s">
        <v>1055</v>
      </c>
      <c r="B2" s="100"/>
      <c r="C2" s="100"/>
      <c r="D2" s="100"/>
      <c r="E2" s="100"/>
      <c r="F2" s="100"/>
      <c r="G2" s="100"/>
      <c r="H2" s="100"/>
      <c r="I2" s="100"/>
      <c r="J2" s="100"/>
      <c r="K2" s="100"/>
      <c r="L2" s="100"/>
      <c r="M2" s="100"/>
      <c r="N2" s="100"/>
      <c r="O2" s="100"/>
    </row>
    <row r="3" spans="1:20" ht="30" customHeight="1">
      <c r="A3" s="2013" t="s">
        <v>5</v>
      </c>
      <c r="B3" s="2078"/>
      <c r="C3" s="2079"/>
      <c r="D3" s="2079"/>
      <c r="E3" s="2080"/>
      <c r="F3" s="2006" t="s">
        <v>1391</v>
      </c>
      <c r="G3" s="2006"/>
      <c r="H3" s="2009"/>
      <c r="I3" s="2009"/>
      <c r="J3" s="2009"/>
      <c r="K3" s="2009"/>
      <c r="L3" s="2009"/>
      <c r="M3" s="904" t="s">
        <v>1187</v>
      </c>
      <c r="N3" s="838" t="s">
        <v>1393</v>
      </c>
      <c r="O3" s="1356"/>
    </row>
    <row r="4" spans="1:20" ht="30" customHeight="1">
      <c r="A4" s="2014"/>
      <c r="B4" s="2081"/>
      <c r="C4" s="2082"/>
      <c r="D4" s="2082"/>
      <c r="E4" s="2083"/>
      <c r="F4" s="2006" t="s">
        <v>1371</v>
      </c>
      <c r="G4" s="2006"/>
      <c r="H4" s="2009"/>
      <c r="I4" s="2009"/>
      <c r="J4" s="2009"/>
      <c r="K4" s="2009"/>
      <c r="L4" s="2009"/>
      <c r="M4" s="35"/>
      <c r="N4" s="7"/>
      <c r="O4" s="839"/>
    </row>
    <row r="5" spans="1:20" ht="30" customHeight="1">
      <c r="A5" s="2013" t="s">
        <v>38</v>
      </c>
      <c r="B5" s="2078"/>
      <c r="C5" s="2079"/>
      <c r="D5" s="2079"/>
      <c r="E5" s="2080"/>
      <c r="F5" s="2007" t="s">
        <v>1392</v>
      </c>
      <c r="G5" s="2007"/>
      <c r="H5" s="2009"/>
      <c r="I5" s="2009"/>
      <c r="J5" s="2009"/>
      <c r="K5" s="2009"/>
      <c r="L5" s="2009"/>
      <c r="M5" s="35"/>
      <c r="N5" s="7"/>
      <c r="O5" s="839"/>
    </row>
    <row r="6" spans="1:20" ht="30" customHeight="1">
      <c r="A6" s="2014"/>
      <c r="B6" s="2081"/>
      <c r="C6" s="2082"/>
      <c r="D6" s="2082"/>
      <c r="E6" s="2083"/>
      <c r="F6" s="2008" t="s">
        <v>1372</v>
      </c>
      <c r="G6" s="2008"/>
      <c r="H6" s="2009"/>
      <c r="I6" s="2009"/>
      <c r="J6" s="2009"/>
      <c r="K6" s="2009"/>
      <c r="L6" s="2009"/>
      <c r="M6" s="905"/>
      <c r="N6" s="840"/>
      <c r="O6" s="1357"/>
    </row>
    <row r="7" spans="1:20" ht="60" customHeight="1">
      <c r="A7" s="908" t="s">
        <v>1227</v>
      </c>
      <c r="B7" s="2004" t="s">
        <v>6</v>
      </c>
      <c r="C7" s="2005"/>
      <c r="D7" s="1323" t="s">
        <v>1407</v>
      </c>
      <c r="E7" s="82" t="s">
        <v>64</v>
      </c>
      <c r="F7" s="2001" t="s">
        <v>1</v>
      </c>
      <c r="G7" s="2002"/>
      <c r="H7" s="2003"/>
      <c r="I7" s="1038" t="s">
        <v>66</v>
      </c>
      <c r="J7" s="1038" t="s">
        <v>1376</v>
      </c>
      <c r="K7" s="1372" t="s">
        <v>1377</v>
      </c>
      <c r="L7" s="1372" t="s">
        <v>1375</v>
      </c>
      <c r="M7" s="1069" t="s">
        <v>1378</v>
      </c>
      <c r="N7" s="1069" t="s">
        <v>1387</v>
      </c>
      <c r="O7" s="1322" t="s">
        <v>1379</v>
      </c>
    </row>
    <row r="8" spans="1:20" ht="23.4" customHeight="1">
      <c r="A8" s="2017" t="s">
        <v>1110</v>
      </c>
      <c r="B8" s="2073" t="s">
        <v>170</v>
      </c>
      <c r="C8" s="1483" t="s">
        <v>1409</v>
      </c>
      <c r="D8" s="943"/>
      <c r="E8" s="956" t="s">
        <v>188</v>
      </c>
      <c r="F8" s="964" t="s">
        <v>7</v>
      </c>
      <c r="G8" s="965"/>
      <c r="H8" s="966"/>
      <c r="I8" s="119"/>
      <c r="J8" s="119"/>
      <c r="K8" s="119"/>
      <c r="L8" s="120"/>
      <c r="M8" s="121"/>
      <c r="N8" s="187" t="s">
        <v>1411</v>
      </c>
      <c r="O8" s="931" t="str">
        <f>HYPERLINK(VLOOKUP(F8,LINK,2,FALSE),VLOOKUP(F8,LINK,3,FALSE))</f>
        <v>EXCEL</v>
      </c>
    </row>
    <row r="9" spans="1:20" ht="23.4" customHeight="1">
      <c r="A9" s="2017"/>
      <c r="B9" s="2074"/>
      <c r="C9" s="1483" t="s">
        <v>1410</v>
      </c>
      <c r="D9" s="261"/>
      <c r="E9" s="1360" t="s">
        <v>397</v>
      </c>
      <c r="F9" s="2056" t="s">
        <v>398</v>
      </c>
      <c r="G9" s="2057"/>
      <c r="H9" s="2058"/>
      <c r="I9" s="119"/>
      <c r="J9" s="120"/>
      <c r="K9" s="120"/>
      <c r="L9" s="120"/>
      <c r="M9" s="1430" t="s">
        <v>1401</v>
      </c>
      <c r="N9" s="227"/>
      <c r="O9" s="937" t="s">
        <v>1237</v>
      </c>
    </row>
    <row r="10" spans="1:20" ht="54" customHeight="1">
      <c r="A10" s="2010" t="s">
        <v>1077</v>
      </c>
      <c r="B10" s="1994" t="s">
        <v>235</v>
      </c>
      <c r="C10" s="1329" t="s">
        <v>149</v>
      </c>
      <c r="D10" s="1331"/>
      <c r="E10" s="1360" t="s">
        <v>8</v>
      </c>
      <c r="F10" s="1365" t="s">
        <v>9</v>
      </c>
      <c r="G10" s="1366"/>
      <c r="H10" s="1367"/>
      <c r="I10" s="119"/>
      <c r="J10" s="119"/>
      <c r="K10" s="119"/>
      <c r="L10" s="120"/>
      <c r="M10" s="1484" t="s">
        <v>1374</v>
      </c>
      <c r="N10" s="1485" t="s">
        <v>1390</v>
      </c>
      <c r="O10" s="1337" t="str">
        <f>HYPERLINK(VLOOKUP(F10,LINK,2,FALSE),VLOOKUP(F10,LINK,3,FALSE))</f>
        <v>EXCEL</v>
      </c>
      <c r="P10" s="761" t="s">
        <v>1133</v>
      </c>
      <c r="T10" s="823"/>
    </row>
    <row r="11" spans="1:20" ht="23.4" customHeight="1">
      <c r="A11" s="2011"/>
      <c r="B11" s="1994"/>
      <c r="C11" s="1994" t="s">
        <v>1051</v>
      </c>
      <c r="D11" s="1334"/>
      <c r="E11" s="1426" t="s">
        <v>3</v>
      </c>
      <c r="F11" s="1433" t="s">
        <v>189</v>
      </c>
      <c r="G11" s="1434"/>
      <c r="H11" s="1435"/>
      <c r="I11" s="204"/>
      <c r="J11" s="204"/>
      <c r="K11" s="204"/>
      <c r="L11" s="205"/>
      <c r="M11" s="2075" t="s">
        <v>1380</v>
      </c>
      <c r="N11" s="2076" t="s">
        <v>1590</v>
      </c>
      <c r="O11" s="2072" t="str">
        <f>HYPERLINK(VLOOKUP(F11,LINK,2,FALSE),VLOOKUP(F11,LINK,3,FALSE))</f>
        <v>EXCEL</v>
      </c>
    </row>
    <row r="12" spans="1:20" ht="23.4" customHeight="1">
      <c r="A12" s="2012"/>
      <c r="B12" s="1994"/>
      <c r="C12" s="1994"/>
      <c r="D12" s="1336"/>
      <c r="E12" s="142" t="s">
        <v>106</v>
      </c>
      <c r="F12" s="1348" t="s">
        <v>10</v>
      </c>
      <c r="G12" s="1349"/>
      <c r="H12" s="1350"/>
      <c r="I12" s="1370"/>
      <c r="J12" s="1370"/>
      <c r="K12" s="1370"/>
      <c r="L12" s="147"/>
      <c r="M12" s="2032"/>
      <c r="N12" s="2077"/>
      <c r="O12" s="2030"/>
    </row>
    <row r="13" spans="1:20" ht="23.4" customHeight="1">
      <c r="A13" s="2010" t="s">
        <v>1098</v>
      </c>
      <c r="B13" s="1987" t="s">
        <v>1079</v>
      </c>
      <c r="C13" s="1988"/>
      <c r="D13" s="1333"/>
      <c r="E13" s="167" t="s">
        <v>1383</v>
      </c>
      <c r="F13" s="149" t="s">
        <v>190</v>
      </c>
      <c r="G13" s="150"/>
      <c r="H13" s="151"/>
      <c r="I13" s="152"/>
      <c r="J13" s="152"/>
      <c r="K13" s="152"/>
      <c r="L13" s="153"/>
      <c r="M13" s="1324" t="s">
        <v>1381</v>
      </c>
      <c r="N13" s="1221" t="s">
        <v>1384</v>
      </c>
      <c r="O13" s="936" t="str">
        <f>HYPERLINK(VLOOKUP(F13,LINK,2,FALSE),VLOOKUP(F13,LINK,3,FALSE))</f>
        <v>EXCEL</v>
      </c>
    </row>
    <row r="14" spans="1:20" ht="29.4" customHeight="1">
      <c r="A14" s="2011"/>
      <c r="B14" s="1989"/>
      <c r="C14" s="1990"/>
      <c r="D14" s="1335"/>
      <c r="E14" s="154" t="s">
        <v>240</v>
      </c>
      <c r="F14" s="155" t="s">
        <v>11</v>
      </c>
      <c r="G14" s="156"/>
      <c r="H14" s="157"/>
      <c r="I14" s="158"/>
      <c r="J14" s="158"/>
      <c r="K14" s="158"/>
      <c r="L14" s="159"/>
      <c r="M14" s="2038" t="s">
        <v>1382</v>
      </c>
      <c r="N14" s="1222" t="s">
        <v>1385</v>
      </c>
      <c r="O14" s="2029" t="str">
        <f>HYPERLINK(VLOOKUP(F14,LINK,2,FALSE),VLOOKUP(F14,LINK,3,FALSE))</f>
        <v>ACCESS</v>
      </c>
    </row>
    <row r="15" spans="1:20" ht="20.100000000000001" customHeight="1">
      <c r="A15" s="2012"/>
      <c r="B15" s="1991"/>
      <c r="C15" s="1992"/>
      <c r="D15" s="1336"/>
      <c r="E15" s="160" t="s">
        <v>242</v>
      </c>
      <c r="F15" s="161" t="s">
        <v>12</v>
      </c>
      <c r="G15" s="162"/>
      <c r="H15" s="163"/>
      <c r="I15" s="164"/>
      <c r="J15" s="164"/>
      <c r="K15" s="164"/>
      <c r="L15" s="165"/>
      <c r="M15" s="2039"/>
      <c r="N15" s="166"/>
      <c r="O15" s="2030"/>
    </row>
    <row r="16" spans="1:20" ht="23.4" customHeight="1">
      <c r="A16" s="2015" t="s">
        <v>1403</v>
      </c>
      <c r="B16" s="2054" t="s">
        <v>1100</v>
      </c>
      <c r="C16" s="2054"/>
      <c r="D16" s="1333"/>
      <c r="E16" s="167" t="s">
        <v>1386</v>
      </c>
      <c r="F16" s="149" t="s">
        <v>190</v>
      </c>
      <c r="G16" s="1459"/>
      <c r="H16" s="1445"/>
      <c r="I16" s="152"/>
      <c r="J16" s="153"/>
      <c r="K16" s="153"/>
      <c r="L16" s="153"/>
      <c r="M16" s="1324" t="s">
        <v>1381</v>
      </c>
      <c r="N16" s="1221" t="s">
        <v>1384</v>
      </c>
      <c r="O16" s="936" t="str">
        <f>HYPERLINK(VLOOKUP(F16,LINK,2,FALSE),VLOOKUP(F16,LINK,3,FALSE))</f>
        <v>EXCEL</v>
      </c>
    </row>
    <row r="17" spans="1:16" ht="39.9" customHeight="1">
      <c r="A17" s="2011"/>
      <c r="B17" s="2054"/>
      <c r="C17" s="2054"/>
      <c r="D17" s="1335"/>
      <c r="E17" s="154" t="s">
        <v>240</v>
      </c>
      <c r="F17" s="155" t="s">
        <v>11</v>
      </c>
      <c r="G17" s="1460"/>
      <c r="H17" s="1446"/>
      <c r="I17" s="158"/>
      <c r="J17" s="159"/>
      <c r="K17" s="159"/>
      <c r="L17" s="159"/>
      <c r="M17" s="2038" t="s">
        <v>1382</v>
      </c>
      <c r="N17" s="1222" t="s">
        <v>1385</v>
      </c>
      <c r="O17" s="2029" t="str">
        <f>HYPERLINK(VLOOKUP(F17,LINK,2,FALSE),VLOOKUP(F17,LINK,3,FALSE))</f>
        <v>ACCESS</v>
      </c>
    </row>
    <row r="18" spans="1:16" ht="23.4" customHeight="1">
      <c r="A18" s="2012"/>
      <c r="B18" s="2054"/>
      <c r="C18" s="2054"/>
      <c r="D18" s="1336"/>
      <c r="E18" s="160" t="s">
        <v>242</v>
      </c>
      <c r="F18" s="161" t="s">
        <v>12</v>
      </c>
      <c r="G18" s="1461"/>
      <c r="H18" s="1447"/>
      <c r="I18" s="164"/>
      <c r="J18" s="165"/>
      <c r="K18" s="165"/>
      <c r="L18" s="165"/>
      <c r="M18" s="2039"/>
      <c r="N18" s="166"/>
      <c r="O18" s="2030"/>
    </row>
    <row r="19" spans="1:16" ht="23.4" customHeight="1">
      <c r="A19" s="2017" t="s">
        <v>1112</v>
      </c>
      <c r="B19" s="1987" t="s">
        <v>13</v>
      </c>
      <c r="C19" s="1988"/>
      <c r="D19" s="939"/>
      <c r="E19" s="148" t="s">
        <v>267</v>
      </c>
      <c r="F19" s="949" t="s">
        <v>411</v>
      </c>
      <c r="G19" s="950" t="s">
        <v>413</v>
      </c>
      <c r="H19" s="951"/>
      <c r="I19" s="1894"/>
      <c r="J19" s="129"/>
      <c r="K19" s="129"/>
      <c r="L19" s="130"/>
      <c r="M19" s="209"/>
      <c r="N19" s="209" t="s">
        <v>1654</v>
      </c>
      <c r="O19" s="2018" t="s">
        <v>1244</v>
      </c>
    </row>
    <row r="20" spans="1:16" ht="23.4" customHeight="1">
      <c r="A20" s="2017"/>
      <c r="B20" s="1989"/>
      <c r="C20" s="1990"/>
      <c r="D20" s="941"/>
      <c r="E20" s="133" t="s">
        <v>267</v>
      </c>
      <c r="F20" s="952" t="s">
        <v>411</v>
      </c>
      <c r="G20" s="953" t="s">
        <v>412</v>
      </c>
      <c r="H20" s="954"/>
      <c r="I20" s="1209"/>
      <c r="J20" s="137"/>
      <c r="K20" s="137"/>
      <c r="L20" s="138"/>
      <c r="M20" s="213"/>
      <c r="N20" s="213" t="s">
        <v>1654</v>
      </c>
      <c r="O20" s="2019"/>
    </row>
    <row r="21" spans="1:16" ht="23.4" customHeight="1">
      <c r="A21" s="2017"/>
      <c r="B21" s="1989"/>
      <c r="C21" s="1990"/>
      <c r="D21" s="215"/>
      <c r="E21" s="216" t="s">
        <v>1030</v>
      </c>
      <c r="F21" s="723" t="s">
        <v>191</v>
      </c>
      <c r="G21" s="724"/>
      <c r="H21" s="721"/>
      <c r="I21" s="1895"/>
      <c r="J21" s="218"/>
      <c r="K21" s="218"/>
      <c r="L21" s="220"/>
      <c r="M21" s="221"/>
      <c r="N21" s="725"/>
      <c r="O21" s="2019"/>
    </row>
    <row r="22" spans="1:16" ht="23.4" customHeight="1">
      <c r="A22" s="2017"/>
      <c r="B22" s="1991"/>
      <c r="C22" s="1992"/>
      <c r="D22" s="942"/>
      <c r="E22" s="963" t="s">
        <v>58</v>
      </c>
      <c r="F22" s="946" t="s">
        <v>191</v>
      </c>
      <c r="G22" s="947"/>
      <c r="H22" s="948"/>
      <c r="I22" s="1210"/>
      <c r="J22" s="174"/>
      <c r="K22" s="174"/>
      <c r="L22" s="147"/>
      <c r="M22" s="210"/>
      <c r="N22" s="166"/>
      <c r="O22" s="2020"/>
    </row>
    <row r="23" spans="1:16" ht="23.4" customHeight="1">
      <c r="A23" s="1486">
        <v>1841</v>
      </c>
      <c r="B23" s="1985" t="s">
        <v>19</v>
      </c>
      <c r="C23" s="1986"/>
      <c r="D23" s="943"/>
      <c r="E23" s="956" t="s">
        <v>1412</v>
      </c>
      <c r="F23" s="964" t="s">
        <v>20</v>
      </c>
      <c r="G23" s="965"/>
      <c r="H23" s="966"/>
      <c r="I23" s="185"/>
      <c r="J23" s="185"/>
      <c r="K23" s="185"/>
      <c r="L23" s="945"/>
      <c r="M23" s="186"/>
      <c r="N23" s="122"/>
      <c r="O23" s="931" t="str">
        <f>HYPERLINK(VLOOKUP(F23,LINK,2,FALSE),VLOOKUP(F23,LINK,3,FALSE))</f>
        <v>EXCEL</v>
      </c>
    </row>
    <row r="24" spans="1:16" ht="27" customHeight="1">
      <c r="A24" s="2015" t="s">
        <v>1369</v>
      </c>
      <c r="B24" s="1987" t="s">
        <v>1370</v>
      </c>
      <c r="C24" s="1988"/>
      <c r="D24" s="1333"/>
      <c r="E24" s="1363" t="s">
        <v>1186</v>
      </c>
      <c r="F24" s="202" t="s">
        <v>17</v>
      </c>
      <c r="G24" s="1457"/>
      <c r="H24" s="680"/>
      <c r="I24" s="129"/>
      <c r="J24" s="130"/>
      <c r="K24" s="130"/>
      <c r="L24" s="130"/>
      <c r="M24" s="130"/>
      <c r="N24" s="209"/>
      <c r="O24" s="936" t="str">
        <f>HYPERLINK(VLOOKUP(F24,LINK,2,FALSE),VLOOKUP(F24,LINK,3,FALSE))</f>
        <v>EXCEL</v>
      </c>
    </row>
    <row r="25" spans="1:16" ht="27" customHeight="1">
      <c r="A25" s="2011"/>
      <c r="B25" s="1989"/>
      <c r="C25" s="1990"/>
      <c r="D25" s="1336"/>
      <c r="E25" s="1364" t="s">
        <v>18</v>
      </c>
      <c r="F25" s="206" t="s">
        <v>401</v>
      </c>
      <c r="G25" s="1458"/>
      <c r="H25" s="1444"/>
      <c r="I25" s="174"/>
      <c r="J25" s="147"/>
      <c r="K25" s="147"/>
      <c r="L25" s="147"/>
      <c r="M25" s="147"/>
      <c r="N25" s="210"/>
      <c r="O25" s="930" t="str">
        <f>HYPERLINK(VLOOKUP(F25,LINK,2,FALSE),VLOOKUP(F25,LINK,3,FALSE))</f>
        <v>EXCEL</v>
      </c>
    </row>
    <row r="26" spans="1:16" ht="23.4" hidden="1" customHeight="1">
      <c r="A26" s="2012"/>
      <c r="B26" s="1991"/>
      <c r="C26" s="1992"/>
      <c r="D26" s="972"/>
      <c r="E26" s="719" t="s">
        <v>1025</v>
      </c>
      <c r="F26" s="715"/>
      <c r="G26" s="1472"/>
      <c r="H26" s="1453"/>
      <c r="I26" s="2064" t="s">
        <v>1026</v>
      </c>
      <c r="J26" s="2065"/>
      <c r="K26" s="2065"/>
      <c r="L26" s="2065"/>
      <c r="M26" s="718"/>
      <c r="N26" s="1213"/>
      <c r="O26" s="927"/>
      <c r="P26" t="s">
        <v>1413</v>
      </c>
    </row>
    <row r="27" spans="1:16" ht="23.4" customHeight="1">
      <c r="A27" s="1486">
        <v>1851</v>
      </c>
      <c r="B27" s="2084" t="s">
        <v>147</v>
      </c>
      <c r="C27" s="2085"/>
      <c r="D27" s="925"/>
      <c r="E27" s="1318" t="s">
        <v>402</v>
      </c>
      <c r="F27" s="964" t="s">
        <v>403</v>
      </c>
      <c r="G27" s="965"/>
      <c r="H27" s="966"/>
      <c r="I27" s="224"/>
      <c r="J27" s="224"/>
      <c r="K27" s="224"/>
      <c r="L27" s="225"/>
      <c r="M27" s="226"/>
      <c r="N27" s="227"/>
      <c r="O27" s="931" t="str">
        <f>HYPERLINK(VLOOKUP(F27,LINK,2,FALSE),VLOOKUP(F27,LINK,3,FALSE))</f>
        <v>EXCEL</v>
      </c>
    </row>
    <row r="28" spans="1:16" ht="23.4" customHeight="1">
      <c r="A28" s="2017" t="s">
        <v>1113</v>
      </c>
      <c r="B28" s="1987" t="s">
        <v>1414</v>
      </c>
      <c r="C28" s="1988"/>
      <c r="D28" s="1333"/>
      <c r="E28" s="1363" t="s">
        <v>1186</v>
      </c>
      <c r="F28" s="202" t="s">
        <v>17</v>
      </c>
      <c r="G28" s="203"/>
      <c r="H28" s="1344"/>
      <c r="I28" s="129"/>
      <c r="J28" s="129"/>
      <c r="K28" s="129"/>
      <c r="L28" s="130"/>
      <c r="M28" s="130"/>
      <c r="N28" s="209"/>
      <c r="O28" s="2018" t="str">
        <f>HYPERLINK(VLOOKUP(F28,LINK,2,FALSE),VLOOKUP(F28,LINK,3,FALSE))</f>
        <v>EXCEL</v>
      </c>
    </row>
    <row r="29" spans="1:16" ht="23.4" customHeight="1">
      <c r="A29" s="2017"/>
      <c r="B29" s="1989"/>
      <c r="C29" s="1990"/>
      <c r="D29" s="1335"/>
      <c r="E29" s="515" t="s">
        <v>18</v>
      </c>
      <c r="F29" s="211" t="s">
        <v>401</v>
      </c>
      <c r="G29" s="212"/>
      <c r="H29" s="1347"/>
      <c r="I29" s="137"/>
      <c r="J29" s="137"/>
      <c r="K29" s="137"/>
      <c r="L29" s="138"/>
      <c r="M29" s="138"/>
      <c r="N29" s="213"/>
      <c r="O29" s="2072"/>
    </row>
    <row r="30" spans="1:16" ht="23.4" customHeight="1">
      <c r="A30" s="2017"/>
      <c r="B30" s="1989"/>
      <c r="C30" s="1990"/>
      <c r="D30" s="1335"/>
      <c r="E30" s="515" t="s">
        <v>15</v>
      </c>
      <c r="F30" s="211" t="s">
        <v>983</v>
      </c>
      <c r="G30" s="703" t="s">
        <v>984</v>
      </c>
      <c r="H30" s="1347" t="s">
        <v>392</v>
      </c>
      <c r="I30" s="1369" t="s">
        <v>1653</v>
      </c>
      <c r="J30" s="1893"/>
      <c r="K30" s="1893"/>
      <c r="L30" s="172"/>
      <c r="M30" s="172"/>
      <c r="N30" s="2050" t="s">
        <v>1404</v>
      </c>
      <c r="O30" s="2029"/>
    </row>
    <row r="31" spans="1:16" ht="23.4" customHeight="1">
      <c r="A31" s="2017"/>
      <c r="B31" s="1989"/>
      <c r="C31" s="1990"/>
      <c r="D31" s="1336"/>
      <c r="E31" s="1364" t="s">
        <v>16</v>
      </c>
      <c r="F31" s="206" t="s">
        <v>395</v>
      </c>
      <c r="G31" s="207"/>
      <c r="H31" s="1350" t="s">
        <v>390</v>
      </c>
      <c r="I31" s="1370"/>
      <c r="J31" s="1370"/>
      <c r="K31" s="1370"/>
      <c r="L31" s="147"/>
      <c r="M31" s="147"/>
      <c r="N31" s="2051"/>
      <c r="O31" s="2030"/>
    </row>
    <row r="32" spans="1:16" ht="23.4" customHeight="1">
      <c r="A32" s="2016" t="s">
        <v>1117</v>
      </c>
      <c r="B32" s="1995" t="s">
        <v>1415</v>
      </c>
      <c r="C32" s="1998" t="s">
        <v>1416</v>
      </c>
      <c r="D32" s="188"/>
      <c r="E32" s="148" t="s">
        <v>1115</v>
      </c>
      <c r="F32" s="1342" t="s">
        <v>1114</v>
      </c>
      <c r="G32" s="1343"/>
      <c r="H32" s="1344"/>
      <c r="I32" s="188"/>
      <c r="J32" s="188"/>
      <c r="K32" s="188"/>
      <c r="L32" s="188"/>
      <c r="M32" s="188"/>
      <c r="N32" s="188"/>
      <c r="O32" s="2018" t="s">
        <v>1417</v>
      </c>
    </row>
    <row r="33" spans="1:16" ht="23.4" customHeight="1">
      <c r="A33" s="2017"/>
      <c r="B33" s="1996"/>
      <c r="C33" s="1999"/>
      <c r="D33" s="428"/>
      <c r="E33" s="133" t="s">
        <v>1116</v>
      </c>
      <c r="F33" s="1345" t="s">
        <v>1108</v>
      </c>
      <c r="G33" s="1346"/>
      <c r="H33" s="1347"/>
      <c r="I33" s="1353"/>
      <c r="J33" s="1353"/>
      <c r="K33" s="1353"/>
      <c r="L33" s="1353"/>
      <c r="M33" s="1353"/>
      <c r="N33" s="1353"/>
      <c r="O33" s="2019"/>
    </row>
    <row r="34" spans="1:16" ht="23.4" customHeight="1">
      <c r="A34" s="2017"/>
      <c r="B34" s="1996"/>
      <c r="C34" s="1999"/>
      <c r="D34" s="1353"/>
      <c r="E34" s="133" t="s">
        <v>404</v>
      </c>
      <c r="F34" s="1345" t="s">
        <v>405</v>
      </c>
      <c r="G34" s="1346"/>
      <c r="H34" s="1347"/>
      <c r="I34" s="1353"/>
      <c r="J34" s="1353"/>
      <c r="K34" s="1353"/>
      <c r="L34" s="1353"/>
      <c r="M34" s="1353"/>
      <c r="N34" s="1353"/>
      <c r="O34" s="2019"/>
    </row>
    <row r="35" spans="1:16" ht="23.4" customHeight="1">
      <c r="A35" s="2017"/>
      <c r="B35" s="1996"/>
      <c r="C35" s="1999"/>
      <c r="D35" s="1045"/>
      <c r="E35" s="1487" t="s">
        <v>406</v>
      </c>
      <c r="F35" s="2021" t="s">
        <v>1419</v>
      </c>
      <c r="G35" s="2022"/>
      <c r="H35" s="2023"/>
      <c r="I35" s="1045"/>
      <c r="J35" s="1045"/>
      <c r="K35" s="1045"/>
      <c r="L35" s="1045"/>
      <c r="M35" s="1045"/>
      <c r="N35" s="1353" t="s">
        <v>1421</v>
      </c>
      <c r="O35" s="2019"/>
    </row>
    <row r="36" spans="1:16" ht="23.4" customHeight="1">
      <c r="A36" s="2017"/>
      <c r="B36" s="1996"/>
      <c r="C36" s="1999"/>
      <c r="D36" s="698"/>
      <c r="E36" s="1487" t="s">
        <v>407</v>
      </c>
      <c r="F36" s="2024" t="s">
        <v>1420</v>
      </c>
      <c r="G36" s="2025"/>
      <c r="H36" s="2026"/>
      <c r="I36" s="698"/>
      <c r="J36" s="698"/>
      <c r="K36" s="698"/>
      <c r="L36" s="698"/>
      <c r="M36" s="698"/>
      <c r="N36" s="796" t="s">
        <v>1422</v>
      </c>
      <c r="O36" s="2019"/>
    </row>
    <row r="37" spans="1:16" ht="23.4" customHeight="1">
      <c r="A37" s="2017"/>
      <c r="B37" s="1997"/>
      <c r="C37" s="2000"/>
      <c r="D37" s="1354"/>
      <c r="E37" s="1361" t="s">
        <v>1137</v>
      </c>
      <c r="F37" s="1348" t="s">
        <v>408</v>
      </c>
      <c r="G37" s="1349"/>
      <c r="H37" s="1350"/>
      <c r="I37" s="1354"/>
      <c r="J37" s="1354"/>
      <c r="K37" s="1354"/>
      <c r="L37" s="1354"/>
      <c r="M37" s="1354"/>
      <c r="N37" s="1354" t="s">
        <v>1418</v>
      </c>
      <c r="O37" s="2020"/>
    </row>
    <row r="38" spans="1:16" ht="23.4" customHeight="1">
      <c r="A38" s="1488"/>
      <c r="B38" s="1267"/>
      <c r="C38" s="975"/>
      <c r="D38" s="432"/>
      <c r="E38" s="975"/>
      <c r="F38" s="1268"/>
      <c r="G38" s="1268"/>
      <c r="H38" s="1268"/>
      <c r="I38" s="432"/>
      <c r="J38" s="432"/>
      <c r="K38" s="432"/>
      <c r="L38" s="432"/>
      <c r="M38" s="432"/>
      <c r="N38" s="432"/>
      <c r="O38" s="1139"/>
    </row>
    <row r="40" spans="1:16">
      <c r="A40" s="100" t="s">
        <v>1055</v>
      </c>
      <c r="B40" s="100"/>
      <c r="C40" s="100"/>
      <c r="D40" s="100"/>
      <c r="E40" s="100"/>
      <c r="F40" s="100"/>
      <c r="G40" s="100"/>
      <c r="H40" s="100"/>
      <c r="I40" s="100"/>
      <c r="J40" s="100"/>
      <c r="K40" s="100"/>
      <c r="L40" s="100"/>
      <c r="M40" s="100"/>
      <c r="N40" s="100"/>
      <c r="O40" s="100"/>
    </row>
    <row r="41" spans="1:16" ht="30" customHeight="1">
      <c r="A41" s="2013" t="s">
        <v>5</v>
      </c>
      <c r="B41" s="2078"/>
      <c r="C41" s="2079"/>
      <c r="D41" s="2079"/>
      <c r="E41" s="2080"/>
      <c r="F41" s="2006" t="s">
        <v>1391</v>
      </c>
      <c r="G41" s="2006"/>
      <c r="H41" s="2009"/>
      <c r="I41" s="2009"/>
      <c r="J41" s="2009"/>
      <c r="K41" s="2009"/>
      <c r="L41" s="2009"/>
      <c r="M41" s="904" t="s">
        <v>1187</v>
      </c>
      <c r="N41" s="838" t="s">
        <v>1393</v>
      </c>
      <c r="O41" s="1356"/>
    </row>
    <row r="42" spans="1:16" ht="30" customHeight="1">
      <c r="A42" s="2014"/>
      <c r="B42" s="2081"/>
      <c r="C42" s="2082"/>
      <c r="D42" s="2082"/>
      <c r="E42" s="2083"/>
      <c r="F42" s="2006" t="s">
        <v>1371</v>
      </c>
      <c r="G42" s="2006"/>
      <c r="H42" s="2009"/>
      <c r="I42" s="2009"/>
      <c r="J42" s="2009"/>
      <c r="K42" s="2009"/>
      <c r="L42" s="2009"/>
      <c r="M42" s="35"/>
      <c r="N42" s="7"/>
      <c r="O42" s="839"/>
    </row>
    <row r="43" spans="1:16" ht="30" customHeight="1">
      <c r="A43" s="2013" t="s">
        <v>38</v>
      </c>
      <c r="B43" s="2078"/>
      <c r="C43" s="2079"/>
      <c r="D43" s="2079"/>
      <c r="E43" s="2080"/>
      <c r="F43" s="2007" t="s">
        <v>1392</v>
      </c>
      <c r="G43" s="2007"/>
      <c r="H43" s="2009"/>
      <c r="I43" s="2009"/>
      <c r="J43" s="2009"/>
      <c r="K43" s="2009"/>
      <c r="L43" s="2009"/>
      <c r="M43" s="35"/>
      <c r="N43" s="7"/>
      <c r="O43" s="839"/>
    </row>
    <row r="44" spans="1:16" ht="30" customHeight="1">
      <c r="A44" s="2014"/>
      <c r="B44" s="2081"/>
      <c r="C44" s="2082"/>
      <c r="D44" s="2082"/>
      <c r="E44" s="2083"/>
      <c r="F44" s="2008" t="s">
        <v>1372</v>
      </c>
      <c r="G44" s="2008"/>
      <c r="H44" s="2009"/>
      <c r="I44" s="2009"/>
      <c r="J44" s="2009"/>
      <c r="K44" s="2009"/>
      <c r="L44" s="2009"/>
      <c r="M44" s="905"/>
      <c r="N44" s="840"/>
      <c r="O44" s="1357"/>
    </row>
    <row r="45" spans="1:16" ht="60" customHeight="1">
      <c r="A45" s="908" t="s">
        <v>1227</v>
      </c>
      <c r="B45" s="2004" t="s">
        <v>6</v>
      </c>
      <c r="C45" s="2005"/>
      <c r="D45" s="1323" t="s">
        <v>1407</v>
      </c>
      <c r="E45" s="82" t="s">
        <v>64</v>
      </c>
      <c r="F45" s="2001" t="s">
        <v>1</v>
      </c>
      <c r="G45" s="2002"/>
      <c r="H45" s="2003"/>
      <c r="I45" s="1038" t="s">
        <v>66</v>
      </c>
      <c r="J45" s="1038" t="s">
        <v>1376</v>
      </c>
      <c r="K45" s="1372" t="s">
        <v>1377</v>
      </c>
      <c r="L45" s="1372" t="s">
        <v>1375</v>
      </c>
      <c r="M45" s="1069" t="s">
        <v>1378</v>
      </c>
      <c r="N45" s="1069" t="s">
        <v>1387</v>
      </c>
      <c r="O45" s="1322" t="s">
        <v>1379</v>
      </c>
    </row>
    <row r="46" spans="1:16" ht="23.4" customHeight="1">
      <c r="A46" s="2017" t="s">
        <v>1076</v>
      </c>
      <c r="B46" s="2073" t="s">
        <v>170</v>
      </c>
      <c r="C46" s="1483" t="s">
        <v>1409</v>
      </c>
      <c r="D46" s="1338"/>
      <c r="E46" s="1360" t="s">
        <v>188</v>
      </c>
      <c r="F46" s="1365" t="s">
        <v>7</v>
      </c>
      <c r="G46" s="1366"/>
      <c r="H46" s="1367"/>
      <c r="I46" s="119"/>
      <c r="J46" s="119"/>
      <c r="K46" s="119"/>
      <c r="L46" s="120"/>
      <c r="M46" s="121"/>
      <c r="N46" s="187" t="s">
        <v>1411</v>
      </c>
      <c r="O46" s="1337" t="str">
        <f>HYPERLINK(VLOOKUP(F46,LINK,2,FALSE),VLOOKUP(F46,LINK,3,FALSE))</f>
        <v>EXCEL</v>
      </c>
    </row>
    <row r="47" spans="1:16" ht="23.4" customHeight="1">
      <c r="A47" s="2017"/>
      <c r="B47" s="2074"/>
      <c r="C47" s="1483" t="s">
        <v>1410</v>
      </c>
      <c r="D47" s="261"/>
      <c r="E47" s="1360" t="s">
        <v>397</v>
      </c>
      <c r="F47" s="2056" t="s">
        <v>398</v>
      </c>
      <c r="G47" s="2057"/>
      <c r="H47" s="2058"/>
      <c r="I47" s="119"/>
      <c r="J47" s="120"/>
      <c r="K47" s="120"/>
      <c r="L47" s="120"/>
      <c r="M47" s="1430" t="s">
        <v>1401</v>
      </c>
      <c r="N47" s="227"/>
      <c r="O47" s="1332" t="s">
        <v>1237</v>
      </c>
    </row>
    <row r="48" spans="1:16" ht="58.5" customHeight="1">
      <c r="A48" s="2010" t="s">
        <v>1077</v>
      </c>
      <c r="B48" s="1994" t="s">
        <v>235</v>
      </c>
      <c r="C48" s="1329" t="s">
        <v>149</v>
      </c>
      <c r="D48" s="1331"/>
      <c r="E48" s="1360" t="s">
        <v>8</v>
      </c>
      <c r="F48" s="1365" t="s">
        <v>9</v>
      </c>
      <c r="G48" s="1366"/>
      <c r="H48" s="1367"/>
      <c r="I48" s="119"/>
      <c r="J48" s="119"/>
      <c r="K48" s="119"/>
      <c r="L48" s="120"/>
      <c r="M48" s="1484" t="s">
        <v>1374</v>
      </c>
      <c r="N48" s="1485" t="s">
        <v>1390</v>
      </c>
      <c r="O48" s="1337" t="str">
        <f>HYPERLINK(VLOOKUP(F48,LINK,2,FALSE),VLOOKUP(F48,LINK,3,FALSE))</f>
        <v>EXCEL</v>
      </c>
      <c r="P48" s="1108" t="s">
        <v>1327</v>
      </c>
    </row>
    <row r="49" spans="1:15" ht="23.4" customHeight="1">
      <c r="A49" s="2011"/>
      <c r="B49" s="1994"/>
      <c r="C49" s="1994" t="s">
        <v>1051</v>
      </c>
      <c r="D49" s="1334"/>
      <c r="E49" s="1426" t="s">
        <v>3</v>
      </c>
      <c r="F49" s="1433" t="s">
        <v>189</v>
      </c>
      <c r="G49" s="1434"/>
      <c r="H49" s="1435"/>
      <c r="I49" s="204"/>
      <c r="J49" s="204"/>
      <c r="K49" s="204"/>
      <c r="L49" s="205"/>
      <c r="M49" s="2075" t="s">
        <v>1380</v>
      </c>
      <c r="N49" s="2076" t="s">
        <v>1590</v>
      </c>
      <c r="O49" s="2072" t="str">
        <f>HYPERLINK(VLOOKUP(F49,LINK,2,FALSE),VLOOKUP(F49,LINK,3,FALSE))</f>
        <v>EXCEL</v>
      </c>
    </row>
    <row r="50" spans="1:15" ht="23.4" customHeight="1">
      <c r="A50" s="2012"/>
      <c r="B50" s="1994"/>
      <c r="C50" s="1994"/>
      <c r="D50" s="1336"/>
      <c r="E50" s="142" t="s">
        <v>106</v>
      </c>
      <c r="F50" s="1348" t="s">
        <v>10</v>
      </c>
      <c r="G50" s="1349"/>
      <c r="H50" s="1350"/>
      <c r="I50" s="1370"/>
      <c r="J50" s="1370"/>
      <c r="K50" s="1370"/>
      <c r="L50" s="147"/>
      <c r="M50" s="2032"/>
      <c r="N50" s="2077"/>
      <c r="O50" s="2030"/>
    </row>
    <row r="51" spans="1:15" ht="23.4" customHeight="1">
      <c r="A51" s="2017" t="s">
        <v>1111</v>
      </c>
      <c r="B51" s="1987" t="s">
        <v>1213</v>
      </c>
      <c r="C51" s="1988"/>
      <c r="D51" s="939"/>
      <c r="E51" s="167" t="s">
        <v>1383</v>
      </c>
      <c r="F51" s="149" t="s">
        <v>190</v>
      </c>
      <c r="G51" s="150"/>
      <c r="H51" s="151"/>
      <c r="I51" s="152"/>
      <c r="J51" s="152"/>
      <c r="K51" s="152"/>
      <c r="L51" s="153"/>
      <c r="M51" s="1324" t="s">
        <v>1381</v>
      </c>
      <c r="N51" s="1221" t="s">
        <v>1384</v>
      </c>
      <c r="O51" s="936" t="str">
        <f>HYPERLINK(VLOOKUP(F51,LINK,2,FALSE),VLOOKUP(F51,LINK,3,FALSE))</f>
        <v>EXCEL</v>
      </c>
    </row>
    <row r="52" spans="1:15" ht="32.1" customHeight="1">
      <c r="A52" s="2017"/>
      <c r="B52" s="1989"/>
      <c r="C52" s="1990"/>
      <c r="D52" s="941"/>
      <c r="E52" s="154" t="s">
        <v>240</v>
      </c>
      <c r="F52" s="155" t="s">
        <v>11</v>
      </c>
      <c r="G52" s="156"/>
      <c r="H52" s="157"/>
      <c r="I52" s="158"/>
      <c r="J52" s="158"/>
      <c r="K52" s="158"/>
      <c r="L52" s="159"/>
      <c r="M52" s="2038" t="s">
        <v>1382</v>
      </c>
      <c r="N52" s="1222" t="s">
        <v>1385</v>
      </c>
      <c r="O52" s="2029" t="str">
        <f>HYPERLINK(VLOOKUP(F52,LINK,2,FALSE),VLOOKUP(F52,LINK,3,FALSE))</f>
        <v>ACCESS</v>
      </c>
    </row>
    <row r="53" spans="1:15" ht="23.4" customHeight="1">
      <c r="A53" s="2017"/>
      <c r="B53" s="1991"/>
      <c r="C53" s="1992"/>
      <c r="D53" s="942"/>
      <c r="E53" s="160" t="s">
        <v>242</v>
      </c>
      <c r="F53" s="161" t="s">
        <v>12</v>
      </c>
      <c r="G53" s="162"/>
      <c r="H53" s="163"/>
      <c r="I53" s="164"/>
      <c r="J53" s="164"/>
      <c r="K53" s="164"/>
      <c r="L53" s="165"/>
      <c r="M53" s="2039"/>
      <c r="N53" s="166"/>
      <c r="O53" s="2030"/>
    </row>
    <row r="54" spans="1:15" ht="23.4" customHeight="1">
      <c r="A54" s="2017" t="s">
        <v>1080</v>
      </c>
      <c r="B54" s="1987" t="s">
        <v>13</v>
      </c>
      <c r="C54" s="1988"/>
      <c r="D54" s="939"/>
      <c r="E54" s="148" t="s">
        <v>245</v>
      </c>
      <c r="F54" s="949" t="s">
        <v>411</v>
      </c>
      <c r="G54" s="950" t="s">
        <v>387</v>
      </c>
      <c r="H54" s="951"/>
      <c r="I54" s="1894"/>
      <c r="J54" s="129"/>
      <c r="K54" s="130"/>
      <c r="L54" s="130"/>
      <c r="M54" s="209"/>
      <c r="N54" s="209" t="s">
        <v>1654</v>
      </c>
      <c r="O54" s="2018" t="s">
        <v>1244</v>
      </c>
    </row>
    <row r="55" spans="1:15" ht="23.4" customHeight="1">
      <c r="A55" s="2017"/>
      <c r="B55" s="1989"/>
      <c r="C55" s="1990"/>
      <c r="D55" s="941"/>
      <c r="E55" s="133" t="s">
        <v>245</v>
      </c>
      <c r="F55" s="952" t="s">
        <v>411</v>
      </c>
      <c r="G55" s="953" t="s">
        <v>387</v>
      </c>
      <c r="H55" s="954"/>
      <c r="I55" s="1209"/>
      <c r="J55" s="137"/>
      <c r="K55" s="138"/>
      <c r="L55" s="138"/>
      <c r="M55" s="213"/>
      <c r="N55" s="213" t="s">
        <v>1654</v>
      </c>
      <c r="O55" s="2019"/>
    </row>
    <row r="56" spans="1:15" ht="23.4" customHeight="1">
      <c r="A56" s="2017"/>
      <c r="B56" s="1989"/>
      <c r="C56" s="1990"/>
      <c r="D56" s="215"/>
      <c r="E56" s="216" t="s">
        <v>1030</v>
      </c>
      <c r="F56" s="723" t="s">
        <v>191</v>
      </c>
      <c r="G56" s="724"/>
      <c r="H56" s="721"/>
      <c r="I56" s="1895"/>
      <c r="J56" s="218"/>
      <c r="K56" s="220"/>
      <c r="L56" s="219"/>
      <c r="M56" s="221"/>
      <c r="N56" s="725"/>
      <c r="O56" s="2019"/>
    </row>
    <row r="57" spans="1:15" ht="23.4" customHeight="1">
      <c r="A57" s="2017"/>
      <c r="B57" s="1991"/>
      <c r="C57" s="1992"/>
      <c r="D57" s="942"/>
      <c r="E57" s="963" t="s">
        <v>58</v>
      </c>
      <c r="F57" s="946" t="s">
        <v>191</v>
      </c>
      <c r="G57" s="947"/>
      <c r="H57" s="948"/>
      <c r="I57" s="1210"/>
      <c r="J57" s="174"/>
      <c r="K57" s="147"/>
      <c r="L57" s="175"/>
      <c r="M57" s="210"/>
      <c r="N57" s="166"/>
      <c r="O57" s="2020"/>
    </row>
    <row r="58" spans="1:15" ht="23.4" customHeight="1">
      <c r="A58" s="2017" t="s">
        <v>1214</v>
      </c>
      <c r="B58" s="1987" t="s">
        <v>1215</v>
      </c>
      <c r="C58" s="1988"/>
      <c r="D58" s="939"/>
      <c r="E58" s="167" t="s">
        <v>1386</v>
      </c>
      <c r="F58" s="149" t="s">
        <v>190</v>
      </c>
      <c r="G58" s="1459"/>
      <c r="H58" s="1445"/>
      <c r="I58" s="152"/>
      <c r="J58" s="153"/>
      <c r="K58" s="153"/>
      <c r="L58" s="153"/>
      <c r="M58" s="1324" t="s">
        <v>1381</v>
      </c>
      <c r="N58" s="1221" t="s">
        <v>1384</v>
      </c>
      <c r="O58" s="1371" t="str">
        <f>HYPERLINK(VLOOKUP(F58,LINK,2,FALSE),VLOOKUP(F58,LINK,3,FALSE))</f>
        <v>EXCEL</v>
      </c>
    </row>
    <row r="59" spans="1:15" ht="28.5" customHeight="1">
      <c r="A59" s="2017"/>
      <c r="B59" s="1989"/>
      <c r="C59" s="1990"/>
      <c r="D59" s="941"/>
      <c r="E59" s="154" t="s">
        <v>240</v>
      </c>
      <c r="F59" s="155" t="s">
        <v>11</v>
      </c>
      <c r="G59" s="1460"/>
      <c r="H59" s="1446"/>
      <c r="I59" s="158"/>
      <c r="J59" s="159"/>
      <c r="K59" s="159"/>
      <c r="L59" s="159"/>
      <c r="M59" s="2038" t="s">
        <v>1382</v>
      </c>
      <c r="N59" s="1222" t="s">
        <v>1385</v>
      </c>
      <c r="O59" s="2086" t="str">
        <f>HYPERLINK(VLOOKUP(F59,LINK,2,FALSE),VLOOKUP(F59,LINK,3,FALSE))</f>
        <v>ACCESS</v>
      </c>
    </row>
    <row r="60" spans="1:15" ht="23.4" customHeight="1">
      <c r="A60" s="2017"/>
      <c r="B60" s="1991"/>
      <c r="C60" s="1992"/>
      <c r="D60" s="942"/>
      <c r="E60" s="160" t="s">
        <v>242</v>
      </c>
      <c r="F60" s="161" t="s">
        <v>12</v>
      </c>
      <c r="G60" s="1461"/>
      <c r="H60" s="1447"/>
      <c r="I60" s="164"/>
      <c r="J60" s="165"/>
      <c r="K60" s="165"/>
      <c r="L60" s="165"/>
      <c r="M60" s="2039"/>
      <c r="N60" s="166"/>
      <c r="O60" s="2020"/>
    </row>
    <row r="61" spans="1:15" ht="23.4" customHeight="1">
      <c r="A61" s="1486">
        <v>1841</v>
      </c>
      <c r="B61" s="1985" t="s">
        <v>19</v>
      </c>
      <c r="C61" s="1986"/>
      <c r="D61" s="943"/>
      <c r="E61" s="956" t="s">
        <v>1423</v>
      </c>
      <c r="F61" s="964" t="s">
        <v>20</v>
      </c>
      <c r="G61" s="965"/>
      <c r="H61" s="966"/>
      <c r="I61" s="185"/>
      <c r="J61" s="185"/>
      <c r="K61" s="945"/>
      <c r="L61" s="945"/>
      <c r="M61" s="186"/>
      <c r="N61" s="122"/>
      <c r="O61" s="931" t="str">
        <f>HYPERLINK(VLOOKUP(F61,LINK,2,FALSE),VLOOKUP(F61,LINK,3,FALSE))</f>
        <v>EXCEL</v>
      </c>
    </row>
    <row r="62" spans="1:15" ht="23.4" customHeight="1">
      <c r="A62" s="1486">
        <v>1851</v>
      </c>
      <c r="B62" s="2084" t="s">
        <v>147</v>
      </c>
      <c r="C62" s="2085"/>
      <c r="D62" s="925"/>
      <c r="E62" s="944" t="s">
        <v>402</v>
      </c>
      <c r="F62" s="964" t="s">
        <v>403</v>
      </c>
      <c r="G62" s="965"/>
      <c r="H62" s="966"/>
      <c r="I62" s="224"/>
      <c r="J62" s="224"/>
      <c r="K62" s="225"/>
      <c r="L62" s="225"/>
      <c r="M62" s="226"/>
      <c r="N62" s="227"/>
      <c r="O62" s="931" t="str">
        <f>HYPERLINK(VLOOKUP(F62,LINK,2,FALSE),VLOOKUP(F62,LINK,3,FALSE))</f>
        <v>EXCEL</v>
      </c>
    </row>
    <row r="63" spans="1:15" ht="36.9" customHeight="1">
      <c r="A63" s="2046" t="s">
        <v>1109</v>
      </c>
      <c r="B63" s="1987" t="s">
        <v>985</v>
      </c>
      <c r="C63" s="1988"/>
      <c r="D63" s="939"/>
      <c r="E63" s="1085" t="s">
        <v>1186</v>
      </c>
      <c r="F63" s="202" t="s">
        <v>17</v>
      </c>
      <c r="G63" s="203"/>
      <c r="H63" s="951"/>
      <c r="I63" s="129"/>
      <c r="J63" s="129"/>
      <c r="K63" s="130"/>
      <c r="L63" s="130"/>
      <c r="M63" s="130"/>
      <c r="N63" s="209"/>
      <c r="O63" s="936" t="str">
        <f>HYPERLINK(VLOOKUP(F63,LINK,2,FALSE),VLOOKUP(F63,LINK,3,FALSE))</f>
        <v>EXCEL</v>
      </c>
    </row>
    <row r="64" spans="1:15" ht="36.9" customHeight="1">
      <c r="A64" s="2048"/>
      <c r="B64" s="1991"/>
      <c r="C64" s="1992"/>
      <c r="D64" s="942"/>
      <c r="E64" s="963" t="s">
        <v>18</v>
      </c>
      <c r="F64" s="206" t="s">
        <v>401</v>
      </c>
      <c r="G64" s="207"/>
      <c r="H64" s="948"/>
      <c r="I64" s="174"/>
      <c r="J64" s="174"/>
      <c r="K64" s="147"/>
      <c r="L64" s="147"/>
      <c r="M64" s="147"/>
      <c r="N64" s="210"/>
      <c r="O64" s="930" t="str">
        <f>HYPERLINK(VLOOKUP(F64,LINK,2,FALSE),VLOOKUP(F64,LINK,3,FALSE))</f>
        <v>EXCEL</v>
      </c>
    </row>
    <row r="65" spans="1:15" ht="20.100000000000001" hidden="1" customHeight="1">
      <c r="A65" s="1489"/>
      <c r="B65" s="1490"/>
      <c r="C65" s="1491"/>
      <c r="D65" s="972"/>
      <c r="E65" s="719" t="s">
        <v>1025</v>
      </c>
      <c r="F65" s="715"/>
      <c r="G65" s="716"/>
      <c r="H65" s="717"/>
      <c r="I65" s="2064" t="s">
        <v>1026</v>
      </c>
      <c r="J65" s="2065"/>
      <c r="K65" s="2065"/>
      <c r="L65" s="2065"/>
      <c r="M65" s="718"/>
      <c r="N65" s="1213" t="s">
        <v>1027</v>
      </c>
      <c r="O65" s="927"/>
    </row>
    <row r="66" spans="1:15" ht="23.4" customHeight="1">
      <c r="A66" s="2017" t="s">
        <v>1113</v>
      </c>
      <c r="B66" s="1989" t="s">
        <v>1414</v>
      </c>
      <c r="C66" s="1990"/>
      <c r="D66" s="939"/>
      <c r="E66" s="967" t="s">
        <v>1186</v>
      </c>
      <c r="F66" s="202" t="s">
        <v>17</v>
      </c>
      <c r="G66" s="203"/>
      <c r="H66" s="951"/>
      <c r="I66" s="129"/>
      <c r="J66" s="129"/>
      <c r="K66" s="130"/>
      <c r="L66" s="130"/>
      <c r="M66" s="130"/>
      <c r="N66" s="209"/>
      <c r="O66" s="936" t="str">
        <f>HYPERLINK(VLOOKUP(F66,LINK,2,FALSE),VLOOKUP(F66,LINK,3,FALSE))</f>
        <v>EXCEL</v>
      </c>
    </row>
    <row r="67" spans="1:15" ht="23.4" customHeight="1">
      <c r="A67" s="2017"/>
      <c r="B67" s="1989"/>
      <c r="C67" s="1990"/>
      <c r="D67" s="941"/>
      <c r="E67" s="515" t="s">
        <v>18</v>
      </c>
      <c r="F67" s="211" t="s">
        <v>401</v>
      </c>
      <c r="G67" s="212"/>
      <c r="H67" s="954"/>
      <c r="I67" s="137"/>
      <c r="J67" s="137"/>
      <c r="K67" s="138"/>
      <c r="L67" s="138"/>
      <c r="M67" s="138"/>
      <c r="N67" s="213"/>
      <c r="O67" s="929" t="str">
        <f>HYPERLINK(VLOOKUP(F67,LINK,2,FALSE),VLOOKUP(F67,LINK,3,FALSE))</f>
        <v>EXCEL</v>
      </c>
    </row>
    <row r="68" spans="1:15" ht="23.4" customHeight="1">
      <c r="A68" s="2017"/>
      <c r="B68" s="1989"/>
      <c r="C68" s="1990"/>
      <c r="D68" s="941"/>
      <c r="E68" s="515" t="s">
        <v>15</v>
      </c>
      <c r="F68" s="211" t="s">
        <v>395</v>
      </c>
      <c r="G68" s="703" t="s">
        <v>984</v>
      </c>
      <c r="H68" s="954" t="s">
        <v>392</v>
      </c>
      <c r="I68" s="970" t="s">
        <v>1653</v>
      </c>
      <c r="J68" s="1893"/>
      <c r="K68" s="172"/>
      <c r="L68" s="172"/>
      <c r="M68" s="172"/>
      <c r="N68" s="2050" t="s">
        <v>1404</v>
      </c>
      <c r="O68" s="2029"/>
    </row>
    <row r="69" spans="1:15" ht="23.4" customHeight="1">
      <c r="A69" s="2017"/>
      <c r="B69" s="1989"/>
      <c r="C69" s="1990"/>
      <c r="D69" s="942"/>
      <c r="E69" s="963" t="s">
        <v>16</v>
      </c>
      <c r="F69" s="206" t="s">
        <v>395</v>
      </c>
      <c r="G69" s="207"/>
      <c r="H69" s="948" t="s">
        <v>390</v>
      </c>
      <c r="I69" s="968"/>
      <c r="J69" s="995"/>
      <c r="K69" s="147"/>
      <c r="L69" s="147"/>
      <c r="M69" s="147"/>
      <c r="N69" s="2051"/>
      <c r="O69" s="2030"/>
    </row>
    <row r="70" spans="1:15" ht="23.4" customHeight="1">
      <c r="A70" s="2016" t="s">
        <v>1117</v>
      </c>
      <c r="B70" s="1995" t="s">
        <v>1258</v>
      </c>
      <c r="C70" s="1998" t="s">
        <v>1416</v>
      </c>
      <c r="D70" s="188"/>
      <c r="E70" s="148" t="s">
        <v>433</v>
      </c>
      <c r="F70" s="1342" t="s">
        <v>434</v>
      </c>
      <c r="G70" s="1343"/>
      <c r="H70" s="1344"/>
      <c r="I70" s="188"/>
      <c r="J70" s="188"/>
      <c r="K70" s="188"/>
      <c r="L70" s="188"/>
      <c r="M70" s="188"/>
      <c r="N70" s="188"/>
      <c r="O70" s="2018" t="s">
        <v>1417</v>
      </c>
    </row>
    <row r="71" spans="1:15" ht="23.4" customHeight="1">
      <c r="A71" s="2017"/>
      <c r="B71" s="1996"/>
      <c r="C71" s="1999"/>
      <c r="D71" s="428"/>
      <c r="E71" s="133" t="s">
        <v>1116</v>
      </c>
      <c r="F71" s="1345" t="s">
        <v>372</v>
      </c>
      <c r="G71" s="1346"/>
      <c r="H71" s="1347"/>
      <c r="I71" s="1353"/>
      <c r="J71" s="1353"/>
      <c r="K71" s="1353"/>
      <c r="L71" s="1353"/>
      <c r="M71" s="1353"/>
      <c r="N71" s="1353"/>
      <c r="O71" s="2019"/>
    </row>
    <row r="72" spans="1:15" ht="23.4" customHeight="1">
      <c r="A72" s="2017"/>
      <c r="B72" s="1996"/>
      <c r="C72" s="1999"/>
      <c r="D72" s="1353"/>
      <c r="E72" s="133" t="s">
        <v>404</v>
      </c>
      <c r="F72" s="1345" t="s">
        <v>405</v>
      </c>
      <c r="G72" s="1346"/>
      <c r="H72" s="1347"/>
      <c r="I72" s="1353"/>
      <c r="J72" s="1353"/>
      <c r="K72" s="1353"/>
      <c r="L72" s="1353"/>
      <c r="M72" s="1353"/>
      <c r="N72" s="1353"/>
      <c r="O72" s="2019"/>
    </row>
    <row r="73" spans="1:15" ht="23.4" customHeight="1">
      <c r="A73" s="2017"/>
      <c r="B73" s="1996"/>
      <c r="C73" s="1999"/>
      <c r="D73" s="1045"/>
      <c r="E73" s="1487" t="s">
        <v>406</v>
      </c>
      <c r="F73" s="2021" t="s">
        <v>1419</v>
      </c>
      <c r="G73" s="2022"/>
      <c r="H73" s="2023"/>
      <c r="I73" s="1045"/>
      <c r="J73" s="1045"/>
      <c r="K73" s="1045"/>
      <c r="L73" s="1045"/>
      <c r="M73" s="1045"/>
      <c r="N73" s="1353" t="s">
        <v>1421</v>
      </c>
      <c r="O73" s="2019"/>
    </row>
    <row r="74" spans="1:15" ht="23.4" customHeight="1">
      <c r="A74" s="2017"/>
      <c r="B74" s="1996"/>
      <c r="C74" s="1999"/>
      <c r="D74" s="698"/>
      <c r="E74" s="1487" t="s">
        <v>407</v>
      </c>
      <c r="F74" s="2024" t="s">
        <v>1420</v>
      </c>
      <c r="G74" s="2025"/>
      <c r="H74" s="2026"/>
      <c r="I74" s="698"/>
      <c r="J74" s="698"/>
      <c r="K74" s="698"/>
      <c r="L74" s="698"/>
      <c r="M74" s="698"/>
      <c r="N74" s="796" t="s">
        <v>1422</v>
      </c>
      <c r="O74" s="2019"/>
    </row>
    <row r="75" spans="1:15" ht="23.4" customHeight="1">
      <c r="A75" s="2017"/>
      <c r="B75" s="1997"/>
      <c r="C75" s="2000"/>
      <c r="D75" s="1354"/>
      <c r="E75" s="1361" t="s">
        <v>750</v>
      </c>
      <c r="F75" s="1348" t="s">
        <v>408</v>
      </c>
      <c r="G75" s="1349"/>
      <c r="H75" s="1350"/>
      <c r="I75" s="1354"/>
      <c r="J75" s="1354"/>
      <c r="K75" s="1354"/>
      <c r="L75" s="1354"/>
      <c r="M75" s="1354"/>
      <c r="N75" s="1354" t="s">
        <v>1418</v>
      </c>
      <c r="O75" s="2020"/>
    </row>
    <row r="76" spans="1:15" ht="20.100000000000001" customHeight="1">
      <c r="A76" s="1488"/>
      <c r="B76" s="1267"/>
      <c r="C76" s="975"/>
      <c r="D76" s="432"/>
      <c r="E76" s="975"/>
      <c r="F76" s="1268"/>
      <c r="G76" s="1268"/>
      <c r="H76" s="1268"/>
      <c r="I76" s="432"/>
      <c r="J76" s="432"/>
      <c r="K76" s="432"/>
      <c r="L76" s="432"/>
      <c r="M76" s="432"/>
      <c r="N76" s="432"/>
      <c r="O76" s="1139"/>
    </row>
    <row r="77" spans="1:15" ht="20.100000000000001" customHeight="1">
      <c r="A77" s="1266"/>
      <c r="B77" s="1267"/>
      <c r="C77" s="975"/>
      <c r="D77" s="432"/>
      <c r="E77" s="975"/>
      <c r="F77" s="1268"/>
      <c r="G77" s="1268"/>
      <c r="H77" s="1268"/>
      <c r="I77" s="432"/>
      <c r="J77" s="432"/>
      <c r="K77" s="432"/>
      <c r="L77" s="432"/>
      <c r="M77" s="432"/>
      <c r="N77" s="432"/>
      <c r="O77" s="1139"/>
    </row>
    <row r="78" spans="1:15" ht="30" customHeight="1">
      <c r="A78" s="2013" t="s">
        <v>5</v>
      </c>
      <c r="B78" s="2078"/>
      <c r="C78" s="2079"/>
      <c r="D78" s="2079"/>
      <c r="E78" s="2080"/>
      <c r="F78" s="2006" t="s">
        <v>1391</v>
      </c>
      <c r="G78" s="2006"/>
      <c r="H78" s="2009"/>
      <c r="I78" s="2009"/>
      <c r="J78" s="2009"/>
      <c r="K78" s="2009"/>
      <c r="L78" s="2009"/>
      <c r="M78" s="904" t="s">
        <v>1187</v>
      </c>
      <c r="N78" s="838" t="s">
        <v>1393</v>
      </c>
      <c r="O78" s="1356"/>
    </row>
    <row r="79" spans="1:15" ht="30" customHeight="1">
      <c r="A79" s="2014"/>
      <c r="B79" s="2081"/>
      <c r="C79" s="2082"/>
      <c r="D79" s="2082"/>
      <c r="E79" s="2083"/>
      <c r="F79" s="2006" t="s">
        <v>1371</v>
      </c>
      <c r="G79" s="2006"/>
      <c r="H79" s="2009"/>
      <c r="I79" s="2009"/>
      <c r="J79" s="2009"/>
      <c r="K79" s="2009"/>
      <c r="L79" s="2009"/>
      <c r="M79" s="35"/>
      <c r="N79" s="7"/>
      <c r="O79" s="839"/>
    </row>
    <row r="80" spans="1:15" ht="30" customHeight="1">
      <c r="A80" s="2013" t="s">
        <v>38</v>
      </c>
      <c r="B80" s="2078"/>
      <c r="C80" s="2079"/>
      <c r="D80" s="2079"/>
      <c r="E80" s="2080"/>
      <c r="F80" s="2007" t="s">
        <v>1392</v>
      </c>
      <c r="G80" s="2007"/>
      <c r="H80" s="2009"/>
      <c r="I80" s="2009"/>
      <c r="J80" s="2009"/>
      <c r="K80" s="2009"/>
      <c r="L80" s="2009"/>
      <c r="M80" s="35"/>
      <c r="N80" s="7"/>
      <c r="O80" s="839"/>
    </row>
    <row r="81" spans="1:16" ht="30" customHeight="1">
      <c r="A81" s="2014"/>
      <c r="B81" s="2081"/>
      <c r="C81" s="2082"/>
      <c r="D81" s="2082"/>
      <c r="E81" s="2083"/>
      <c r="F81" s="2008" t="s">
        <v>1372</v>
      </c>
      <c r="G81" s="2008"/>
      <c r="H81" s="2009"/>
      <c r="I81" s="2009"/>
      <c r="J81" s="2009"/>
      <c r="K81" s="2009"/>
      <c r="L81" s="2009"/>
      <c r="M81" s="905"/>
      <c r="N81" s="840"/>
      <c r="O81" s="1357"/>
    </row>
    <row r="82" spans="1:16" ht="54.6" customHeight="1">
      <c r="A82" s="908" t="s">
        <v>1227</v>
      </c>
      <c r="B82" s="2004" t="s">
        <v>6</v>
      </c>
      <c r="C82" s="2005"/>
      <c r="D82" s="1323" t="s">
        <v>1407</v>
      </c>
      <c r="E82" s="82" t="s">
        <v>64</v>
      </c>
      <c r="F82" s="2001" t="s">
        <v>1</v>
      </c>
      <c r="G82" s="2002"/>
      <c r="H82" s="2003"/>
      <c r="I82" s="1038" t="s">
        <v>66</v>
      </c>
      <c r="J82" s="1038" t="s">
        <v>1376</v>
      </c>
      <c r="K82" s="1372" t="s">
        <v>1377</v>
      </c>
      <c r="L82" s="1372" t="s">
        <v>1375</v>
      </c>
      <c r="M82" s="1069" t="s">
        <v>1378</v>
      </c>
      <c r="N82" s="1069" t="s">
        <v>1387</v>
      </c>
      <c r="O82" s="1322" t="s">
        <v>1379</v>
      </c>
    </row>
    <row r="83" spans="1:16" ht="23.4" customHeight="1">
      <c r="A83" s="2017" t="s">
        <v>1076</v>
      </c>
      <c r="B83" s="2073" t="s">
        <v>170</v>
      </c>
      <c r="C83" s="1483" t="s">
        <v>1409</v>
      </c>
      <c r="D83" s="1338"/>
      <c r="E83" s="1360" t="s">
        <v>188</v>
      </c>
      <c r="F83" s="1365" t="s">
        <v>7</v>
      </c>
      <c r="G83" s="1366"/>
      <c r="H83" s="1367"/>
      <c r="I83" s="119"/>
      <c r="J83" s="119"/>
      <c r="K83" s="119"/>
      <c r="L83" s="120"/>
      <c r="M83" s="121"/>
      <c r="N83" s="187" t="s">
        <v>1411</v>
      </c>
      <c r="O83" s="1337" t="str">
        <f>HYPERLINK(VLOOKUP(F83,LINK,2,FALSE),VLOOKUP(F83,LINK,3,FALSE))</f>
        <v>EXCEL</v>
      </c>
    </row>
    <row r="84" spans="1:16" ht="23.4" customHeight="1">
      <c r="A84" s="2017"/>
      <c r="B84" s="2074"/>
      <c r="C84" s="1483" t="s">
        <v>1410</v>
      </c>
      <c r="D84" s="261"/>
      <c r="E84" s="1360" t="s">
        <v>397</v>
      </c>
      <c r="F84" s="2056" t="s">
        <v>398</v>
      </c>
      <c r="G84" s="2057"/>
      <c r="H84" s="2058"/>
      <c r="I84" s="119"/>
      <c r="J84" s="120"/>
      <c r="K84" s="120"/>
      <c r="L84" s="120"/>
      <c r="M84" s="1430" t="s">
        <v>1401</v>
      </c>
      <c r="N84" s="227"/>
      <c r="O84" s="1332" t="s">
        <v>1237</v>
      </c>
    </row>
    <row r="85" spans="1:16" ht="57" customHeight="1">
      <c r="A85" s="2010" t="s">
        <v>1077</v>
      </c>
      <c r="B85" s="1994" t="s">
        <v>235</v>
      </c>
      <c r="C85" s="1329" t="s">
        <v>149</v>
      </c>
      <c r="D85" s="1331"/>
      <c r="E85" s="1360" t="s">
        <v>8</v>
      </c>
      <c r="F85" s="1365" t="s">
        <v>9</v>
      </c>
      <c r="G85" s="1366"/>
      <c r="H85" s="1367"/>
      <c r="I85" s="119"/>
      <c r="J85" s="119"/>
      <c r="K85" s="119"/>
      <c r="L85" s="120"/>
      <c r="M85" s="1484" t="s">
        <v>1374</v>
      </c>
      <c r="N85" s="1485" t="s">
        <v>1390</v>
      </c>
      <c r="O85" s="1337" t="str">
        <f>HYPERLINK(VLOOKUP(F85,LINK,2,FALSE),VLOOKUP(F85,LINK,3,FALSE))</f>
        <v>EXCEL</v>
      </c>
      <c r="P85" s="1108" t="s">
        <v>1327</v>
      </c>
    </row>
    <row r="86" spans="1:16" ht="23.4" customHeight="1">
      <c r="A86" s="2011"/>
      <c r="B86" s="1994"/>
      <c r="C86" s="1994" t="s">
        <v>1051</v>
      </c>
      <c r="D86" s="1334"/>
      <c r="E86" s="1426" t="s">
        <v>3</v>
      </c>
      <c r="F86" s="1433" t="s">
        <v>189</v>
      </c>
      <c r="G86" s="1434"/>
      <c r="H86" s="1435"/>
      <c r="I86" s="204"/>
      <c r="J86" s="204"/>
      <c r="K86" s="204"/>
      <c r="L86" s="205"/>
      <c r="M86" s="2075" t="s">
        <v>1380</v>
      </c>
      <c r="N86" s="2076" t="s">
        <v>1590</v>
      </c>
      <c r="O86" s="2072" t="str">
        <f>HYPERLINK(VLOOKUP(F86,LINK,2,FALSE),VLOOKUP(F86,LINK,3,FALSE))</f>
        <v>EXCEL</v>
      </c>
    </row>
    <row r="87" spans="1:16" ht="23.4" customHeight="1">
      <c r="A87" s="2012"/>
      <c r="B87" s="1994"/>
      <c r="C87" s="1994"/>
      <c r="D87" s="1336"/>
      <c r="E87" s="142" t="s">
        <v>106</v>
      </c>
      <c r="F87" s="1348" t="s">
        <v>10</v>
      </c>
      <c r="G87" s="1349"/>
      <c r="H87" s="1350"/>
      <c r="I87" s="1370"/>
      <c r="J87" s="1370"/>
      <c r="K87" s="1370"/>
      <c r="L87" s="147"/>
      <c r="M87" s="2032"/>
      <c r="N87" s="2077"/>
      <c r="O87" s="2030"/>
    </row>
    <row r="88" spans="1:16" ht="23.4" customHeight="1">
      <c r="A88" s="1486">
        <v>1841</v>
      </c>
      <c r="B88" s="1985" t="s">
        <v>19</v>
      </c>
      <c r="C88" s="1986"/>
      <c r="D88" s="1338"/>
      <c r="E88" s="1360" t="s">
        <v>1423</v>
      </c>
      <c r="F88" s="1365" t="s">
        <v>20</v>
      </c>
      <c r="G88" s="1366"/>
      <c r="H88" s="1367"/>
      <c r="I88" s="1339"/>
      <c r="J88" s="1339"/>
      <c r="K88" s="1351"/>
      <c r="L88" s="1351"/>
      <c r="M88" s="186"/>
      <c r="N88" s="122"/>
      <c r="O88" s="1263" t="str">
        <f>HYPERLINK(VLOOKUP(F88,LINK,2,FALSE),VLOOKUP(F88,LINK,3,FALSE))</f>
        <v>EXCEL</v>
      </c>
    </row>
    <row r="89" spans="1:16" ht="23.4" customHeight="1">
      <c r="A89" s="2017" t="s">
        <v>1111</v>
      </c>
      <c r="B89" s="1987" t="s">
        <v>1213</v>
      </c>
      <c r="C89" s="1988"/>
      <c r="D89" s="1333"/>
      <c r="E89" s="167" t="s">
        <v>1383</v>
      </c>
      <c r="F89" s="149" t="s">
        <v>190</v>
      </c>
      <c r="G89" s="150"/>
      <c r="H89" s="151"/>
      <c r="I89" s="152"/>
      <c r="J89" s="152"/>
      <c r="K89" s="152"/>
      <c r="L89" s="153"/>
      <c r="M89" s="1324" t="s">
        <v>1381</v>
      </c>
      <c r="N89" s="1221" t="s">
        <v>1384</v>
      </c>
      <c r="O89" s="1264" t="str">
        <f>HYPERLINK(VLOOKUP(F89,LINK,2,FALSE),VLOOKUP(F89,LINK,3,FALSE))</f>
        <v>EXCEL</v>
      </c>
    </row>
    <row r="90" spans="1:16" ht="27.9" customHeight="1">
      <c r="A90" s="2017"/>
      <c r="B90" s="1989"/>
      <c r="C90" s="1990"/>
      <c r="D90" s="1335"/>
      <c r="E90" s="154" t="s">
        <v>240</v>
      </c>
      <c r="F90" s="155" t="s">
        <v>11</v>
      </c>
      <c r="G90" s="156"/>
      <c r="H90" s="157"/>
      <c r="I90" s="158"/>
      <c r="J90" s="158"/>
      <c r="K90" s="158"/>
      <c r="L90" s="159"/>
      <c r="M90" s="2038" t="s">
        <v>1382</v>
      </c>
      <c r="N90" s="1222" t="s">
        <v>1385</v>
      </c>
      <c r="O90" s="2029" t="str">
        <f>HYPERLINK(VLOOKUP(F90,LINK,2,FALSE),VLOOKUP(F90,LINK,3,FALSE))</f>
        <v>ACCESS</v>
      </c>
    </row>
    <row r="91" spans="1:16" ht="23.4" customHeight="1">
      <c r="A91" s="2017"/>
      <c r="B91" s="1991"/>
      <c r="C91" s="1992"/>
      <c r="D91" s="1336"/>
      <c r="E91" s="160" t="s">
        <v>242</v>
      </c>
      <c r="F91" s="161" t="s">
        <v>12</v>
      </c>
      <c r="G91" s="162"/>
      <c r="H91" s="163"/>
      <c r="I91" s="164"/>
      <c r="J91" s="164"/>
      <c r="K91" s="164"/>
      <c r="L91" s="165"/>
      <c r="M91" s="2039"/>
      <c r="N91" s="166"/>
      <c r="O91" s="2030"/>
    </row>
    <row r="92" spans="1:16" ht="23.4" customHeight="1">
      <c r="A92" s="2017" t="s">
        <v>1080</v>
      </c>
      <c r="B92" s="1987" t="s">
        <v>13</v>
      </c>
      <c r="C92" s="1988"/>
      <c r="D92" s="1333"/>
      <c r="E92" s="148" t="s">
        <v>245</v>
      </c>
      <c r="F92" s="1342" t="s">
        <v>411</v>
      </c>
      <c r="G92" s="1343" t="s">
        <v>387</v>
      </c>
      <c r="H92" s="1344"/>
      <c r="I92" s="1894"/>
      <c r="J92" s="129"/>
      <c r="K92" s="130"/>
      <c r="L92" s="130"/>
      <c r="M92" s="209"/>
      <c r="N92" s="209" t="s">
        <v>1654</v>
      </c>
      <c r="O92" s="2018" t="s">
        <v>197</v>
      </c>
    </row>
    <row r="93" spans="1:16" ht="23.4" customHeight="1">
      <c r="A93" s="2017"/>
      <c r="B93" s="1989"/>
      <c r="C93" s="1990"/>
      <c r="D93" s="1335"/>
      <c r="E93" s="133" t="s">
        <v>245</v>
      </c>
      <c r="F93" s="1345" t="s">
        <v>411</v>
      </c>
      <c r="G93" s="1346" t="s">
        <v>387</v>
      </c>
      <c r="H93" s="1347"/>
      <c r="I93" s="1209"/>
      <c r="J93" s="137"/>
      <c r="K93" s="138"/>
      <c r="L93" s="138"/>
      <c r="M93" s="213"/>
      <c r="N93" s="213" t="s">
        <v>1654</v>
      </c>
      <c r="O93" s="2019"/>
    </row>
    <row r="94" spans="1:16" ht="23.4" customHeight="1">
      <c r="A94" s="2017"/>
      <c r="B94" s="1989"/>
      <c r="C94" s="1990"/>
      <c r="D94" s="215"/>
      <c r="E94" s="216" t="s">
        <v>1030</v>
      </c>
      <c r="F94" s="723" t="s">
        <v>191</v>
      </c>
      <c r="G94" s="724"/>
      <c r="H94" s="721"/>
      <c r="I94" s="1895"/>
      <c r="J94" s="218"/>
      <c r="K94" s="220"/>
      <c r="L94" s="219"/>
      <c r="M94" s="221"/>
      <c r="N94" s="725"/>
      <c r="O94" s="2019"/>
    </row>
    <row r="95" spans="1:16" ht="23.4" customHeight="1">
      <c r="A95" s="2017"/>
      <c r="B95" s="1991"/>
      <c r="C95" s="1992"/>
      <c r="D95" s="1336"/>
      <c r="E95" s="1364" t="s">
        <v>58</v>
      </c>
      <c r="F95" s="1348" t="s">
        <v>191</v>
      </c>
      <c r="G95" s="1349"/>
      <c r="H95" s="1350"/>
      <c r="I95" s="1210"/>
      <c r="J95" s="174"/>
      <c r="K95" s="147"/>
      <c r="L95" s="175"/>
      <c r="M95" s="210"/>
      <c r="N95" s="166"/>
      <c r="O95" s="2020"/>
    </row>
    <row r="96" spans="1:16" ht="23.4" customHeight="1">
      <c r="A96" s="2017" t="s">
        <v>1214</v>
      </c>
      <c r="B96" s="1987" t="s">
        <v>1215</v>
      </c>
      <c r="C96" s="1988"/>
      <c r="D96" s="1333"/>
      <c r="E96" s="167" t="s">
        <v>1386</v>
      </c>
      <c r="F96" s="149" t="s">
        <v>190</v>
      </c>
      <c r="G96" s="1459"/>
      <c r="H96" s="1445"/>
      <c r="I96" s="152"/>
      <c r="J96" s="153"/>
      <c r="K96" s="153"/>
      <c r="L96" s="153"/>
      <c r="M96" s="1324" t="s">
        <v>1381</v>
      </c>
      <c r="N96" s="1221" t="s">
        <v>1384</v>
      </c>
      <c r="O96" s="1264" t="str">
        <f>HYPERLINK(VLOOKUP(F96,LINK,2,FALSE),VLOOKUP(F96,LINK,3,FALSE))</f>
        <v>EXCEL</v>
      </c>
    </row>
    <row r="97" spans="1:15" ht="25.5" customHeight="1">
      <c r="A97" s="2017"/>
      <c r="B97" s="1989"/>
      <c r="C97" s="1990"/>
      <c r="D97" s="1335"/>
      <c r="E97" s="154" t="s">
        <v>240</v>
      </c>
      <c r="F97" s="155" t="s">
        <v>11</v>
      </c>
      <c r="G97" s="1460"/>
      <c r="H97" s="1446"/>
      <c r="I97" s="158"/>
      <c r="J97" s="159"/>
      <c r="K97" s="159"/>
      <c r="L97" s="159"/>
      <c r="M97" s="2038" t="s">
        <v>1382</v>
      </c>
      <c r="N97" s="1222" t="s">
        <v>1385</v>
      </c>
      <c r="O97" s="2029" t="str">
        <f>HYPERLINK(VLOOKUP(F97,LINK,2,FALSE),VLOOKUP(F97,LINK,3,FALSE))</f>
        <v>ACCESS</v>
      </c>
    </row>
    <row r="98" spans="1:15" ht="23.4" customHeight="1">
      <c r="A98" s="2017"/>
      <c r="B98" s="1991"/>
      <c r="C98" s="1992"/>
      <c r="D98" s="1336"/>
      <c r="E98" s="160" t="s">
        <v>242</v>
      </c>
      <c r="F98" s="161" t="s">
        <v>12</v>
      </c>
      <c r="G98" s="1461"/>
      <c r="H98" s="1447"/>
      <c r="I98" s="164"/>
      <c r="J98" s="165"/>
      <c r="K98" s="165"/>
      <c r="L98" s="165"/>
      <c r="M98" s="2039"/>
      <c r="N98" s="166"/>
      <c r="O98" s="2030"/>
    </row>
    <row r="99" spans="1:15" ht="23.4" customHeight="1">
      <c r="A99" s="2016" t="s">
        <v>1117</v>
      </c>
      <c r="B99" s="1995" t="s">
        <v>1258</v>
      </c>
      <c r="C99" s="1998" t="s">
        <v>1416</v>
      </c>
      <c r="D99" s="188"/>
      <c r="E99" s="148" t="s">
        <v>433</v>
      </c>
      <c r="F99" s="1342" t="s">
        <v>434</v>
      </c>
      <c r="G99" s="1343"/>
      <c r="H99" s="1344"/>
      <c r="I99" s="188"/>
      <c r="J99" s="188"/>
      <c r="K99" s="188"/>
      <c r="L99" s="188"/>
      <c r="M99" s="188"/>
      <c r="N99" s="188"/>
      <c r="O99" s="2018" t="s">
        <v>1417</v>
      </c>
    </row>
    <row r="100" spans="1:15" ht="23.4" customHeight="1">
      <c r="A100" s="2017"/>
      <c r="B100" s="1996"/>
      <c r="C100" s="1999"/>
      <c r="D100" s="428"/>
      <c r="E100" s="133" t="s">
        <v>1116</v>
      </c>
      <c r="F100" s="1345" t="s">
        <v>372</v>
      </c>
      <c r="G100" s="1346"/>
      <c r="H100" s="1347"/>
      <c r="I100" s="1353"/>
      <c r="J100" s="1353"/>
      <c r="K100" s="1353"/>
      <c r="L100" s="1353"/>
      <c r="M100" s="1353"/>
      <c r="N100" s="1353"/>
      <c r="O100" s="2019"/>
    </row>
    <row r="101" spans="1:15" ht="23.4" customHeight="1">
      <c r="A101" s="2017"/>
      <c r="B101" s="1996"/>
      <c r="C101" s="1999"/>
      <c r="D101" s="1353"/>
      <c r="E101" s="133" t="s">
        <v>404</v>
      </c>
      <c r="F101" s="1345" t="s">
        <v>405</v>
      </c>
      <c r="G101" s="1346"/>
      <c r="H101" s="1347"/>
      <c r="I101" s="1353"/>
      <c r="J101" s="1353"/>
      <c r="K101" s="1353"/>
      <c r="L101" s="1353"/>
      <c r="M101" s="1353"/>
      <c r="N101" s="1353"/>
      <c r="O101" s="2019"/>
    </row>
    <row r="102" spans="1:15" ht="23.4" customHeight="1">
      <c r="A102" s="2017"/>
      <c r="B102" s="1996"/>
      <c r="C102" s="1999"/>
      <c r="D102" s="1045"/>
      <c r="E102" s="1487" t="s">
        <v>406</v>
      </c>
      <c r="F102" s="2021" t="s">
        <v>1419</v>
      </c>
      <c r="G102" s="2022"/>
      <c r="H102" s="2023"/>
      <c r="I102" s="1045"/>
      <c r="J102" s="1045"/>
      <c r="K102" s="1045"/>
      <c r="L102" s="1045"/>
      <c r="M102" s="1045"/>
      <c r="N102" s="1353" t="s">
        <v>1421</v>
      </c>
      <c r="O102" s="2019"/>
    </row>
    <row r="103" spans="1:15" ht="23.4" customHeight="1">
      <c r="A103" s="2017"/>
      <c r="B103" s="1996"/>
      <c r="C103" s="1999"/>
      <c r="D103" s="698"/>
      <c r="E103" s="1487" t="s">
        <v>407</v>
      </c>
      <c r="F103" s="2024" t="s">
        <v>1420</v>
      </c>
      <c r="G103" s="2025"/>
      <c r="H103" s="2026"/>
      <c r="I103" s="698"/>
      <c r="J103" s="698"/>
      <c r="K103" s="698"/>
      <c r="L103" s="698"/>
      <c r="M103" s="698"/>
      <c r="N103" s="796" t="s">
        <v>1422</v>
      </c>
      <c r="O103" s="2019"/>
    </row>
    <row r="104" spans="1:15" ht="23.4" customHeight="1">
      <c r="A104" s="2017"/>
      <c r="B104" s="1997"/>
      <c r="C104" s="2000"/>
      <c r="D104" s="1354"/>
      <c r="E104" s="1361" t="s">
        <v>750</v>
      </c>
      <c r="F104" s="1348" t="s">
        <v>408</v>
      </c>
      <c r="G104" s="1349"/>
      <c r="H104" s="1350"/>
      <c r="I104" s="1354"/>
      <c r="J104" s="1354"/>
      <c r="K104" s="1354"/>
      <c r="L104" s="1354"/>
      <c r="M104" s="1354"/>
      <c r="N104" s="1354" t="s">
        <v>1418</v>
      </c>
      <c r="O104" s="2020"/>
    </row>
    <row r="105" spans="1:15" ht="17.399999999999999">
      <c r="A105" s="1266"/>
      <c r="B105" s="1267"/>
      <c r="C105" s="975"/>
      <c r="D105" s="432"/>
      <c r="E105" s="975"/>
      <c r="F105" s="1268"/>
      <c r="G105" s="1268"/>
      <c r="H105" s="1268"/>
      <c r="I105" s="432"/>
      <c r="J105" s="432"/>
      <c r="K105" s="432"/>
      <c r="L105" s="432"/>
      <c r="M105" s="432"/>
      <c r="N105" s="432"/>
      <c r="O105" s="1139"/>
    </row>
    <row r="106" spans="1:15" ht="17.399999999999999">
      <c r="A106" s="1266"/>
      <c r="B106" s="1267"/>
      <c r="C106" s="975"/>
      <c r="D106" s="432"/>
      <c r="E106" s="975"/>
      <c r="F106" s="1268"/>
      <c r="G106" s="1268"/>
      <c r="H106" s="1268"/>
      <c r="I106" s="432"/>
      <c r="J106" s="432"/>
      <c r="K106" s="432"/>
      <c r="L106" s="432"/>
      <c r="M106" s="432"/>
      <c r="N106" s="432"/>
      <c r="O106" s="1139"/>
    </row>
    <row r="108" spans="1:15" ht="24" customHeight="1">
      <c r="A108" s="2013" t="s">
        <v>5</v>
      </c>
      <c r="B108" s="2078"/>
      <c r="C108" s="2079"/>
      <c r="D108" s="2079"/>
      <c r="E108" s="2080"/>
      <c r="F108" s="2006" t="s">
        <v>1391</v>
      </c>
      <c r="G108" s="2006"/>
      <c r="H108" s="2009"/>
      <c r="I108" s="2009"/>
      <c r="J108" s="2009"/>
      <c r="K108" s="2009"/>
      <c r="L108" s="2009"/>
      <c r="M108" s="904" t="s">
        <v>1187</v>
      </c>
      <c r="N108" s="838" t="s">
        <v>1393</v>
      </c>
      <c r="O108" s="1356"/>
    </row>
    <row r="109" spans="1:15" ht="24" customHeight="1">
      <c r="A109" s="2014"/>
      <c r="B109" s="2081"/>
      <c r="C109" s="2082"/>
      <c r="D109" s="2082"/>
      <c r="E109" s="2083"/>
      <c r="F109" s="2006" t="s">
        <v>1371</v>
      </c>
      <c r="G109" s="2006"/>
      <c r="H109" s="2009"/>
      <c r="I109" s="2009"/>
      <c r="J109" s="2009"/>
      <c r="K109" s="2009"/>
      <c r="L109" s="2009"/>
      <c r="M109" s="35"/>
      <c r="N109" s="7"/>
      <c r="O109" s="839"/>
    </row>
    <row r="110" spans="1:15" ht="24" customHeight="1">
      <c r="A110" s="2013" t="s">
        <v>38</v>
      </c>
      <c r="B110" s="2078"/>
      <c r="C110" s="2079"/>
      <c r="D110" s="2079"/>
      <c r="E110" s="2080"/>
      <c r="F110" s="2007" t="s">
        <v>1392</v>
      </c>
      <c r="G110" s="2007"/>
      <c r="H110" s="2009"/>
      <c r="I110" s="2009"/>
      <c r="J110" s="2009"/>
      <c r="K110" s="2009"/>
      <c r="L110" s="2009"/>
      <c r="M110" s="35"/>
      <c r="N110" s="7"/>
      <c r="O110" s="839"/>
    </row>
    <row r="111" spans="1:15" ht="24" customHeight="1">
      <c r="A111" s="2014"/>
      <c r="B111" s="2081"/>
      <c r="C111" s="2082"/>
      <c r="D111" s="2082"/>
      <c r="E111" s="2083"/>
      <c r="F111" s="2008" t="s">
        <v>1372</v>
      </c>
      <c r="G111" s="2008"/>
      <c r="H111" s="2009"/>
      <c r="I111" s="2009"/>
      <c r="J111" s="2009"/>
      <c r="K111" s="2009"/>
      <c r="L111" s="2009"/>
      <c r="M111" s="905"/>
      <c r="N111" s="840"/>
      <c r="O111" s="1357"/>
    </row>
    <row r="112" spans="1:15" ht="52.2">
      <c r="A112" s="908" t="s">
        <v>1227</v>
      </c>
      <c r="B112" s="2004" t="s">
        <v>6</v>
      </c>
      <c r="C112" s="2005"/>
      <c r="D112" s="1323" t="s">
        <v>1407</v>
      </c>
      <c r="E112" s="82" t="s">
        <v>64</v>
      </c>
      <c r="F112" s="2001" t="s">
        <v>1</v>
      </c>
      <c r="G112" s="2002"/>
      <c r="H112" s="2003"/>
      <c r="I112" s="1038" t="s">
        <v>66</v>
      </c>
      <c r="J112" s="1038" t="s">
        <v>1376</v>
      </c>
      <c r="K112" s="1372" t="s">
        <v>1377</v>
      </c>
      <c r="L112" s="1372" t="s">
        <v>1375</v>
      </c>
      <c r="M112" s="1069" t="s">
        <v>1378</v>
      </c>
      <c r="N112" s="1069" t="s">
        <v>1387</v>
      </c>
      <c r="O112" s="1322" t="s">
        <v>1379</v>
      </c>
    </row>
    <row r="113" spans="1:31" ht="24" customHeight="1">
      <c r="A113" s="2017" t="s">
        <v>1076</v>
      </c>
      <c r="B113" s="2073" t="s">
        <v>170</v>
      </c>
      <c r="C113" s="1483" t="s">
        <v>1409</v>
      </c>
      <c r="D113" s="1338"/>
      <c r="E113" s="1360" t="s">
        <v>188</v>
      </c>
      <c r="F113" s="1365" t="s">
        <v>7</v>
      </c>
      <c r="G113" s="1366"/>
      <c r="H113" s="1367"/>
      <c r="I113" s="119"/>
      <c r="J113" s="119"/>
      <c r="K113" s="119"/>
      <c r="L113" s="120"/>
      <c r="M113" s="121"/>
      <c r="N113" s="187" t="s">
        <v>1411</v>
      </c>
      <c r="O113" s="1337" t="str">
        <f>HYPERLINK(VLOOKUP(F113,LINK,2,FALSE),VLOOKUP(F113,LINK,3,FALSE))</f>
        <v>EXCEL</v>
      </c>
    </row>
    <row r="114" spans="1:31" ht="24" customHeight="1">
      <c r="A114" s="2017"/>
      <c r="B114" s="2074"/>
      <c r="C114" s="1483" t="s">
        <v>1410</v>
      </c>
      <c r="D114" s="261"/>
      <c r="E114" s="1360" t="s">
        <v>397</v>
      </c>
      <c r="F114" s="2056" t="s">
        <v>398</v>
      </c>
      <c r="G114" s="2057"/>
      <c r="H114" s="2058"/>
      <c r="I114" s="119"/>
      <c r="J114" s="120"/>
      <c r="K114" s="120"/>
      <c r="L114" s="120"/>
      <c r="M114" s="1430" t="s">
        <v>1401</v>
      </c>
      <c r="N114" s="227"/>
      <c r="O114" s="1332" t="s">
        <v>1237</v>
      </c>
    </row>
    <row r="115" spans="1:31" ht="79.8">
      <c r="A115" s="2010" t="s">
        <v>1077</v>
      </c>
      <c r="B115" s="1994" t="s">
        <v>235</v>
      </c>
      <c r="C115" s="1329" t="s">
        <v>149</v>
      </c>
      <c r="D115" s="1331"/>
      <c r="E115" s="1360" t="s">
        <v>8</v>
      </c>
      <c r="F115" s="1365" t="s">
        <v>9</v>
      </c>
      <c r="G115" s="1366"/>
      <c r="H115" s="1367"/>
      <c r="I115" s="119"/>
      <c r="J115" s="119"/>
      <c r="K115" s="119"/>
      <c r="L115" s="120"/>
      <c r="M115" s="1484" t="s">
        <v>1374</v>
      </c>
      <c r="N115" s="1968" t="s">
        <v>1688</v>
      </c>
      <c r="O115" s="1337" t="str">
        <f>HYPERLINK(VLOOKUP(F115,LINK,2,FALSE),VLOOKUP(F115,LINK,3,FALSE))</f>
        <v>EXCEL</v>
      </c>
      <c r="P115" s="2087" t="s">
        <v>1692</v>
      </c>
      <c r="Q115" s="2088"/>
      <c r="R115" s="2088"/>
      <c r="S115" s="2088"/>
      <c r="T115" s="2088"/>
      <c r="U115" s="2088"/>
      <c r="V115" s="2088"/>
      <c r="W115" s="2088"/>
      <c r="X115" s="2088"/>
      <c r="Y115" s="2088"/>
      <c r="Z115" s="2088"/>
      <c r="AA115" s="2088"/>
      <c r="AB115" s="2088"/>
      <c r="AC115" s="2088"/>
      <c r="AD115" s="2088"/>
      <c r="AE115" s="2088"/>
    </row>
    <row r="116" spans="1:31" ht="24" customHeight="1">
      <c r="A116" s="2011"/>
      <c r="B116" s="1994"/>
      <c r="C116" s="1994" t="s">
        <v>1051</v>
      </c>
      <c r="D116" s="1334"/>
      <c r="E116" s="1426" t="s">
        <v>3</v>
      </c>
      <c r="F116" s="1433" t="s">
        <v>189</v>
      </c>
      <c r="G116" s="1434"/>
      <c r="H116" s="1435"/>
      <c r="I116" s="204"/>
      <c r="J116" s="204"/>
      <c r="K116" s="204"/>
      <c r="L116" s="205"/>
      <c r="M116" s="2075" t="s">
        <v>1380</v>
      </c>
      <c r="N116" s="2033" t="s">
        <v>1691</v>
      </c>
      <c r="O116" s="2072" t="str">
        <f>HYPERLINK(VLOOKUP(F116,LINK,2,FALSE),VLOOKUP(F116,LINK,3,FALSE))</f>
        <v>EXCEL</v>
      </c>
      <c r="P116" s="997" t="s">
        <v>1689</v>
      </c>
    </row>
    <row r="117" spans="1:31" ht="24" customHeight="1">
      <c r="A117" s="2012"/>
      <c r="B117" s="1994"/>
      <c r="C117" s="1994"/>
      <c r="D117" s="1336"/>
      <c r="E117" s="142" t="s">
        <v>106</v>
      </c>
      <c r="F117" s="1348" t="s">
        <v>10</v>
      </c>
      <c r="G117" s="1349"/>
      <c r="H117" s="1350"/>
      <c r="I117" s="1370"/>
      <c r="J117" s="1370"/>
      <c r="K117" s="1370"/>
      <c r="L117" s="147"/>
      <c r="M117" s="2032"/>
      <c r="N117" s="2034"/>
      <c r="O117" s="2030"/>
      <c r="P117" s="997" t="s">
        <v>1690</v>
      </c>
    </row>
    <row r="118" spans="1:31" ht="24" customHeight="1">
      <c r="A118" s="1486">
        <v>1841</v>
      </c>
      <c r="B118" s="1985" t="s">
        <v>19</v>
      </c>
      <c r="C118" s="1986"/>
      <c r="D118" s="1338"/>
      <c r="E118" s="1360" t="s">
        <v>1423</v>
      </c>
      <c r="F118" s="1365" t="s">
        <v>20</v>
      </c>
      <c r="G118" s="1366"/>
      <c r="H118" s="1367"/>
      <c r="I118" s="1339"/>
      <c r="J118" s="1339"/>
      <c r="K118" s="1351"/>
      <c r="L118" s="1351"/>
      <c r="M118" s="186"/>
      <c r="N118" s="122"/>
      <c r="O118" s="1337" t="str">
        <f>HYPERLINK(VLOOKUP(F118,LINK,2,FALSE),VLOOKUP(F118,LINK,3,FALSE))</f>
        <v>EXCEL</v>
      </c>
    </row>
    <row r="119" spans="1:31" ht="24" customHeight="1">
      <c r="A119" s="1486">
        <v>1851</v>
      </c>
      <c r="B119" s="2084" t="s">
        <v>147</v>
      </c>
      <c r="C119" s="2085"/>
      <c r="D119" s="1330"/>
      <c r="E119" s="1341" t="s">
        <v>402</v>
      </c>
      <c r="F119" s="1365" t="s">
        <v>403</v>
      </c>
      <c r="G119" s="1366"/>
      <c r="H119" s="1367"/>
      <c r="I119" s="1340"/>
      <c r="J119" s="1340"/>
      <c r="K119" s="225"/>
      <c r="L119" s="225"/>
      <c r="M119" s="226"/>
      <c r="N119" s="227"/>
      <c r="O119" s="1337" t="str">
        <f>HYPERLINK(VLOOKUP(F119,LINK,2,FALSE),VLOOKUP(F119,LINK,3,FALSE))</f>
        <v>EXCEL</v>
      </c>
    </row>
    <row r="120" spans="1:31" ht="24" customHeight="1">
      <c r="A120" s="2017" t="s">
        <v>1111</v>
      </c>
      <c r="B120" s="1987" t="s">
        <v>1213</v>
      </c>
      <c r="C120" s="1988"/>
      <c r="D120" s="1333"/>
      <c r="E120" s="167" t="s">
        <v>1383</v>
      </c>
      <c r="F120" s="149" t="s">
        <v>190</v>
      </c>
      <c r="G120" s="150"/>
      <c r="H120" s="151"/>
      <c r="I120" s="152"/>
      <c r="J120" s="152"/>
      <c r="K120" s="152"/>
      <c r="L120" s="153"/>
      <c r="M120" s="1324" t="s">
        <v>1381</v>
      </c>
      <c r="N120" s="1221" t="s">
        <v>1384</v>
      </c>
      <c r="O120" s="1371" t="str">
        <f>HYPERLINK(VLOOKUP(F120,LINK,2,FALSE),VLOOKUP(F120,LINK,3,FALSE))</f>
        <v>EXCEL</v>
      </c>
    </row>
    <row r="121" spans="1:31" ht="24" customHeight="1">
      <c r="A121" s="2017"/>
      <c r="B121" s="1989"/>
      <c r="C121" s="1990"/>
      <c r="D121" s="1335"/>
      <c r="E121" s="154" t="s">
        <v>240</v>
      </c>
      <c r="F121" s="155" t="s">
        <v>11</v>
      </c>
      <c r="G121" s="156"/>
      <c r="H121" s="157"/>
      <c r="I121" s="158"/>
      <c r="J121" s="158"/>
      <c r="K121" s="158"/>
      <c r="L121" s="159"/>
      <c r="M121" s="2038" t="s">
        <v>1382</v>
      </c>
      <c r="N121" s="1222" t="s">
        <v>1385</v>
      </c>
      <c r="O121" s="2029" t="str">
        <f>HYPERLINK(VLOOKUP(F121,LINK,2,FALSE),VLOOKUP(F121,LINK,3,FALSE))</f>
        <v>ACCESS</v>
      </c>
    </row>
    <row r="122" spans="1:31" ht="24" customHeight="1">
      <c r="A122" s="2017"/>
      <c r="B122" s="1991"/>
      <c r="C122" s="1992"/>
      <c r="D122" s="1336"/>
      <c r="E122" s="160" t="s">
        <v>242</v>
      </c>
      <c r="F122" s="161" t="s">
        <v>12</v>
      </c>
      <c r="G122" s="162"/>
      <c r="H122" s="163"/>
      <c r="I122" s="164"/>
      <c r="J122" s="164"/>
      <c r="K122" s="164"/>
      <c r="L122" s="165"/>
      <c r="M122" s="2039"/>
      <c r="N122" s="166"/>
      <c r="O122" s="2030"/>
    </row>
    <row r="123" spans="1:31" ht="24" customHeight="1">
      <c r="A123" s="2017" t="s">
        <v>1080</v>
      </c>
      <c r="B123" s="1987" t="s">
        <v>13</v>
      </c>
      <c r="C123" s="1988"/>
      <c r="D123" s="1333"/>
      <c r="E123" s="148" t="s">
        <v>245</v>
      </c>
      <c r="F123" s="1342" t="s">
        <v>411</v>
      </c>
      <c r="G123" s="1343" t="s">
        <v>387</v>
      </c>
      <c r="H123" s="1344"/>
      <c r="I123" s="1894"/>
      <c r="J123" s="129"/>
      <c r="K123" s="130"/>
      <c r="L123" s="170"/>
      <c r="M123" s="209"/>
      <c r="N123" s="209" t="s">
        <v>1662</v>
      </c>
      <c r="O123" s="2018" t="s">
        <v>197</v>
      </c>
    </row>
    <row r="124" spans="1:31" ht="24" customHeight="1">
      <c r="A124" s="2017"/>
      <c r="B124" s="1989"/>
      <c r="C124" s="1990"/>
      <c r="D124" s="1335"/>
      <c r="E124" s="133" t="s">
        <v>245</v>
      </c>
      <c r="F124" s="1345" t="s">
        <v>411</v>
      </c>
      <c r="G124" s="1346" t="s">
        <v>387</v>
      </c>
      <c r="H124" s="1347"/>
      <c r="I124" s="1209"/>
      <c r="J124" s="137"/>
      <c r="K124" s="138"/>
      <c r="L124" s="172"/>
      <c r="M124" s="213"/>
      <c r="N124" s="213" t="s">
        <v>1662</v>
      </c>
      <c r="O124" s="2019"/>
    </row>
    <row r="125" spans="1:31" ht="24" customHeight="1">
      <c r="A125" s="2017"/>
      <c r="B125" s="1989"/>
      <c r="C125" s="1990"/>
      <c r="D125" s="215"/>
      <c r="E125" s="216" t="s">
        <v>1030</v>
      </c>
      <c r="F125" s="723" t="s">
        <v>191</v>
      </c>
      <c r="G125" s="724"/>
      <c r="H125" s="721"/>
      <c r="I125" s="1895"/>
      <c r="J125" s="218"/>
      <c r="K125" s="220"/>
      <c r="L125" s="219"/>
      <c r="M125" s="221"/>
      <c r="N125" s="725"/>
      <c r="O125" s="2019"/>
    </row>
    <row r="126" spans="1:31" ht="24" customHeight="1">
      <c r="A126" s="2017"/>
      <c r="B126" s="1991"/>
      <c r="C126" s="1992"/>
      <c r="D126" s="1336"/>
      <c r="E126" s="1364" t="s">
        <v>58</v>
      </c>
      <c r="F126" s="1348" t="s">
        <v>191</v>
      </c>
      <c r="G126" s="1349"/>
      <c r="H126" s="1350"/>
      <c r="I126" s="1210"/>
      <c r="J126" s="174"/>
      <c r="K126" s="147"/>
      <c r="L126" s="175"/>
      <c r="M126" s="210"/>
      <c r="N126" s="166"/>
      <c r="O126" s="2020"/>
    </row>
    <row r="127" spans="1:31" ht="24" customHeight="1">
      <c r="A127" s="2017" t="s">
        <v>1214</v>
      </c>
      <c r="B127" s="1987" t="s">
        <v>1215</v>
      </c>
      <c r="C127" s="1988"/>
      <c r="D127" s="1333"/>
      <c r="E127" s="167" t="s">
        <v>1386</v>
      </c>
      <c r="F127" s="149" t="s">
        <v>190</v>
      </c>
      <c r="G127" s="1459"/>
      <c r="H127" s="1445"/>
      <c r="I127" s="152"/>
      <c r="J127" s="153"/>
      <c r="K127" s="153"/>
      <c r="L127" s="153"/>
      <c r="M127" s="1324" t="s">
        <v>1381</v>
      </c>
      <c r="N127" s="1221" t="s">
        <v>1384</v>
      </c>
      <c r="O127" s="1371" t="str">
        <f>HYPERLINK(VLOOKUP(F127,LINK,2,FALSE),VLOOKUP(F127,LINK,3,FALSE))</f>
        <v>EXCEL</v>
      </c>
    </row>
    <row r="128" spans="1:31" ht="24" customHeight="1">
      <c r="A128" s="2017"/>
      <c r="B128" s="1989"/>
      <c r="C128" s="1990"/>
      <c r="D128" s="1335"/>
      <c r="E128" s="154" t="s">
        <v>240</v>
      </c>
      <c r="F128" s="155" t="s">
        <v>11</v>
      </c>
      <c r="G128" s="1460"/>
      <c r="H128" s="1446"/>
      <c r="I128" s="158"/>
      <c r="J128" s="159"/>
      <c r="K128" s="159"/>
      <c r="L128" s="159"/>
      <c r="M128" s="2038" t="s">
        <v>1382</v>
      </c>
      <c r="N128" s="1222" t="s">
        <v>1385</v>
      </c>
      <c r="O128" s="2029" t="str">
        <f>HYPERLINK(VLOOKUP(F128,LINK,2,FALSE),VLOOKUP(F128,LINK,3,FALSE))</f>
        <v>ACCESS</v>
      </c>
    </row>
    <row r="129" spans="1:15" ht="24" customHeight="1">
      <c r="A129" s="2017"/>
      <c r="B129" s="1991"/>
      <c r="C129" s="1992"/>
      <c r="D129" s="1336"/>
      <c r="E129" s="160" t="s">
        <v>242</v>
      </c>
      <c r="F129" s="161" t="s">
        <v>12</v>
      </c>
      <c r="G129" s="1461"/>
      <c r="H129" s="1447"/>
      <c r="I129" s="164"/>
      <c r="J129" s="165"/>
      <c r="K129" s="165"/>
      <c r="L129" s="165"/>
      <c r="M129" s="2039"/>
      <c r="N129" s="166"/>
      <c r="O129" s="2030"/>
    </row>
    <row r="130" spans="1:15" ht="24" customHeight="1">
      <c r="A130" s="2016" t="s">
        <v>1117</v>
      </c>
      <c r="B130" s="1995" t="s">
        <v>1258</v>
      </c>
      <c r="C130" s="1998" t="s">
        <v>1416</v>
      </c>
      <c r="D130" s="188"/>
      <c r="E130" s="148" t="s">
        <v>433</v>
      </c>
      <c r="F130" s="1342" t="s">
        <v>434</v>
      </c>
      <c r="G130" s="1343"/>
      <c r="H130" s="1344"/>
      <c r="I130" s="188"/>
      <c r="J130" s="188"/>
      <c r="K130" s="188"/>
      <c r="L130" s="188"/>
      <c r="M130" s="188"/>
      <c r="N130" s="188"/>
      <c r="O130" s="2018" t="s">
        <v>1417</v>
      </c>
    </row>
    <row r="131" spans="1:15" ht="24" customHeight="1">
      <c r="A131" s="2017"/>
      <c r="B131" s="1996"/>
      <c r="C131" s="1999"/>
      <c r="D131" s="428"/>
      <c r="E131" s="133" t="s">
        <v>1116</v>
      </c>
      <c r="F131" s="1345" t="s">
        <v>372</v>
      </c>
      <c r="G131" s="1346"/>
      <c r="H131" s="1347"/>
      <c r="I131" s="1353"/>
      <c r="J131" s="1353"/>
      <c r="K131" s="1353"/>
      <c r="L131" s="1353"/>
      <c r="M131" s="1353"/>
      <c r="N131" s="1353"/>
      <c r="O131" s="2019"/>
    </row>
    <row r="132" spans="1:15" ht="24" customHeight="1">
      <c r="A132" s="2017"/>
      <c r="B132" s="1996"/>
      <c r="C132" s="1999"/>
      <c r="D132" s="1353"/>
      <c r="E132" s="133" t="s">
        <v>404</v>
      </c>
      <c r="F132" s="1345" t="s">
        <v>405</v>
      </c>
      <c r="G132" s="1346"/>
      <c r="H132" s="1347"/>
      <c r="I132" s="1353"/>
      <c r="J132" s="1353"/>
      <c r="K132" s="1353"/>
      <c r="L132" s="1353"/>
      <c r="M132" s="1353"/>
      <c r="N132" s="1353"/>
      <c r="O132" s="2019"/>
    </row>
    <row r="133" spans="1:15" ht="24" customHeight="1">
      <c r="A133" s="2017"/>
      <c r="B133" s="1996"/>
      <c r="C133" s="1999"/>
      <c r="D133" s="1045"/>
      <c r="E133" s="1487" t="s">
        <v>406</v>
      </c>
      <c r="F133" s="2021" t="s">
        <v>1419</v>
      </c>
      <c r="G133" s="2022"/>
      <c r="H133" s="2023"/>
      <c r="I133" s="1045"/>
      <c r="J133" s="1045"/>
      <c r="K133" s="1045"/>
      <c r="L133" s="1045"/>
      <c r="M133" s="1045"/>
      <c r="N133" s="1353" t="s">
        <v>1421</v>
      </c>
      <c r="O133" s="2019"/>
    </row>
    <row r="134" spans="1:15" ht="24" customHeight="1">
      <c r="A134" s="2017"/>
      <c r="B134" s="1996"/>
      <c r="C134" s="1999"/>
      <c r="D134" s="698"/>
      <c r="E134" s="1487" t="s">
        <v>407</v>
      </c>
      <c r="F134" s="2024" t="s">
        <v>1420</v>
      </c>
      <c r="G134" s="2025"/>
      <c r="H134" s="2026"/>
      <c r="I134" s="698"/>
      <c r="J134" s="698"/>
      <c r="K134" s="698"/>
      <c r="L134" s="698"/>
      <c r="M134" s="698"/>
      <c r="N134" s="796" t="s">
        <v>1422</v>
      </c>
      <c r="O134" s="2019"/>
    </row>
    <row r="135" spans="1:15" ht="24" customHeight="1">
      <c r="A135" s="2017"/>
      <c r="B135" s="1997"/>
      <c r="C135" s="2000"/>
      <c r="D135" s="1354"/>
      <c r="E135" s="1361" t="s">
        <v>750</v>
      </c>
      <c r="F135" s="1348" t="s">
        <v>408</v>
      </c>
      <c r="G135" s="1349"/>
      <c r="H135" s="1350"/>
      <c r="I135" s="1354"/>
      <c r="J135" s="1354"/>
      <c r="K135" s="1354"/>
      <c r="L135" s="1354"/>
      <c r="M135" s="1354"/>
      <c r="N135" s="1354" t="s">
        <v>1418</v>
      </c>
      <c r="O135" s="2020"/>
    </row>
  </sheetData>
  <mergeCells count="183">
    <mergeCell ref="P115:AE115"/>
    <mergeCell ref="O130:O135"/>
    <mergeCell ref="F133:H133"/>
    <mergeCell ref="F134:H134"/>
    <mergeCell ref="O28:O29"/>
    <mergeCell ref="O32:O37"/>
    <mergeCell ref="N30:N31"/>
    <mergeCell ref="F36:H36"/>
    <mergeCell ref="F35:H35"/>
    <mergeCell ref="F47:H47"/>
    <mergeCell ref="M49:M50"/>
    <mergeCell ref="N49:N50"/>
    <mergeCell ref="M52:M53"/>
    <mergeCell ref="M59:M60"/>
    <mergeCell ref="O128:O129"/>
    <mergeCell ref="H108:L108"/>
    <mergeCell ref="F109:G109"/>
    <mergeCell ref="H109:L109"/>
    <mergeCell ref="F110:G110"/>
    <mergeCell ref="H110:L110"/>
    <mergeCell ref="F114:H114"/>
    <mergeCell ref="M116:M117"/>
    <mergeCell ref="N116:N117"/>
    <mergeCell ref="M121:M122"/>
    <mergeCell ref="M128:M129"/>
    <mergeCell ref="M11:M12"/>
    <mergeCell ref="N11:N12"/>
    <mergeCell ref="M14:M15"/>
    <mergeCell ref="M17:M18"/>
    <mergeCell ref="I26:L26"/>
    <mergeCell ref="A130:A135"/>
    <mergeCell ref="B130:B135"/>
    <mergeCell ref="C130:C135"/>
    <mergeCell ref="B119:C119"/>
    <mergeCell ref="A108:A109"/>
    <mergeCell ref="B108:E109"/>
    <mergeCell ref="A110:A111"/>
    <mergeCell ref="B110:E111"/>
    <mergeCell ref="F111:G111"/>
    <mergeCell ref="H111:L111"/>
    <mergeCell ref="B112:C112"/>
    <mergeCell ref="F112:H112"/>
    <mergeCell ref="A113:A114"/>
    <mergeCell ref="B113:B114"/>
    <mergeCell ref="A115:A117"/>
    <mergeCell ref="B115:B117"/>
    <mergeCell ref="A127:A129"/>
    <mergeCell ref="B127:C129"/>
    <mergeCell ref="F108:G108"/>
    <mergeCell ref="C116:C117"/>
    <mergeCell ref="O116:O117"/>
    <mergeCell ref="B118:C118"/>
    <mergeCell ref="A120:A122"/>
    <mergeCell ref="B120:C122"/>
    <mergeCell ref="O121:O122"/>
    <mergeCell ref="A123:A126"/>
    <mergeCell ref="B123:C126"/>
    <mergeCell ref="O123:O126"/>
    <mergeCell ref="B45:C45"/>
    <mergeCell ref="F45:H45"/>
    <mergeCell ref="O30:O31"/>
    <mergeCell ref="B28:C31"/>
    <mergeCell ref="O17:O18"/>
    <mergeCell ref="O19:O22"/>
    <mergeCell ref="A78:A79"/>
    <mergeCell ref="B78:E79"/>
    <mergeCell ref="F78:G78"/>
    <mergeCell ref="H78:L78"/>
    <mergeCell ref="F79:G79"/>
    <mergeCell ref="H79:L79"/>
    <mergeCell ref="B27:C27"/>
    <mergeCell ref="B23:C23"/>
    <mergeCell ref="A16:A18"/>
    <mergeCell ref="A19:A22"/>
    <mergeCell ref="A24:A26"/>
    <mergeCell ref="B24:C26"/>
    <mergeCell ref="B16:C18"/>
    <mergeCell ref="B19:C22"/>
    <mergeCell ref="O52:O53"/>
    <mergeCell ref="O59:O60"/>
    <mergeCell ref="O49:O50"/>
    <mergeCell ref="O54:O57"/>
    <mergeCell ref="A80:A81"/>
    <mergeCell ref="B80:E81"/>
    <mergeCell ref="F80:G80"/>
    <mergeCell ref="H80:L80"/>
    <mergeCell ref="F81:G81"/>
    <mergeCell ref="H81:L81"/>
    <mergeCell ref="A41:A42"/>
    <mergeCell ref="A43:A44"/>
    <mergeCell ref="A28:A31"/>
    <mergeCell ref="A32:A37"/>
    <mergeCell ref="B32:B37"/>
    <mergeCell ref="C32:C37"/>
    <mergeCell ref="A51:A53"/>
    <mergeCell ref="B54:C57"/>
    <mergeCell ref="A58:A60"/>
    <mergeCell ref="A54:A57"/>
    <mergeCell ref="A46:A47"/>
    <mergeCell ref="B46:B47"/>
    <mergeCell ref="A48:A50"/>
    <mergeCell ref="B48:B50"/>
    <mergeCell ref="C49:C50"/>
    <mergeCell ref="B58:C60"/>
    <mergeCell ref="B51:C53"/>
    <mergeCell ref="I65:L65"/>
    <mergeCell ref="A8:A9"/>
    <mergeCell ref="B3:E4"/>
    <mergeCell ref="B5:E6"/>
    <mergeCell ref="B8:B9"/>
    <mergeCell ref="O14:O15"/>
    <mergeCell ref="A10:A12"/>
    <mergeCell ref="F3:G3"/>
    <mergeCell ref="F4:G4"/>
    <mergeCell ref="F5:G5"/>
    <mergeCell ref="F6:G6"/>
    <mergeCell ref="H3:L3"/>
    <mergeCell ref="H4:L4"/>
    <mergeCell ref="H5:L5"/>
    <mergeCell ref="B13:C15"/>
    <mergeCell ref="A3:A4"/>
    <mergeCell ref="A5:A6"/>
    <mergeCell ref="O11:O12"/>
    <mergeCell ref="H6:L6"/>
    <mergeCell ref="B10:B12"/>
    <mergeCell ref="A13:A15"/>
    <mergeCell ref="C11:C12"/>
    <mergeCell ref="B7:C7"/>
    <mergeCell ref="F7:H7"/>
    <mergeCell ref="F9:H9"/>
    <mergeCell ref="A66:A69"/>
    <mergeCell ref="B66:C69"/>
    <mergeCell ref="O68:O69"/>
    <mergeCell ref="A70:A75"/>
    <mergeCell ref="B70:B75"/>
    <mergeCell ref="C70:C75"/>
    <mergeCell ref="B61:C61"/>
    <mergeCell ref="B62:C62"/>
    <mergeCell ref="N68:N69"/>
    <mergeCell ref="O70:O75"/>
    <mergeCell ref="F73:H73"/>
    <mergeCell ref="F74:H74"/>
    <mergeCell ref="A63:A64"/>
    <mergeCell ref="B63:C64"/>
    <mergeCell ref="B41:E42"/>
    <mergeCell ref="B43:E44"/>
    <mergeCell ref="F41:G41"/>
    <mergeCell ref="F42:G42"/>
    <mergeCell ref="F43:G43"/>
    <mergeCell ref="F44:G44"/>
    <mergeCell ref="H41:L41"/>
    <mergeCell ref="H42:L42"/>
    <mergeCell ref="H43:L43"/>
    <mergeCell ref="H44:L44"/>
    <mergeCell ref="A85:A87"/>
    <mergeCell ref="B85:B87"/>
    <mergeCell ref="C86:C87"/>
    <mergeCell ref="O86:O87"/>
    <mergeCell ref="B82:C82"/>
    <mergeCell ref="F82:H82"/>
    <mergeCell ref="A83:A84"/>
    <mergeCell ref="B83:B84"/>
    <mergeCell ref="F84:H84"/>
    <mergeCell ref="M86:M87"/>
    <mergeCell ref="N86:N87"/>
    <mergeCell ref="A99:A104"/>
    <mergeCell ref="B99:B104"/>
    <mergeCell ref="C99:C104"/>
    <mergeCell ref="A96:A98"/>
    <mergeCell ref="B96:C98"/>
    <mergeCell ref="O97:O98"/>
    <mergeCell ref="B88:C88"/>
    <mergeCell ref="A89:A91"/>
    <mergeCell ref="B89:C91"/>
    <mergeCell ref="O90:O91"/>
    <mergeCell ref="A92:A95"/>
    <mergeCell ref="B92:C95"/>
    <mergeCell ref="O92:O95"/>
    <mergeCell ref="M90:M91"/>
    <mergeCell ref="M97:M98"/>
    <mergeCell ref="O99:O104"/>
    <mergeCell ref="F102:H102"/>
    <mergeCell ref="F103:H103"/>
  </mergeCells>
  <phoneticPr fontId="14"/>
  <hyperlinks>
    <hyperlink ref="P10" r:id="rId1"/>
  </hyperlinks>
  <pageMargins left="0.25" right="0.25" top="0.75" bottom="0.75" header="0.3" footer="0.3"/>
  <pageSetup paperSize="9" scale="58" orientation="landscape" r:id="rId2"/>
  <rowBreaks count="2" manualBreakCount="2">
    <brk id="38" max="15" man="1"/>
    <brk id="39" max="1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pageSetUpPr fitToPage="1"/>
  </sheetPr>
  <dimension ref="A1:AE36"/>
  <sheetViews>
    <sheetView showGridLines="0" view="pageBreakPreview" zoomScale="85" zoomScaleNormal="85" zoomScaleSheetLayoutView="85" workbookViewId="0">
      <selection activeCell="A8" sqref="A8:A10"/>
    </sheetView>
  </sheetViews>
  <sheetFormatPr defaultRowHeight="13.8"/>
  <cols>
    <col min="1" max="1" width="10.8984375" style="1009" customWidth="1"/>
    <col min="2" max="3" width="19.8984375" customWidth="1"/>
    <col min="4" max="4" width="5.59765625" customWidth="1"/>
    <col min="5" max="5" width="36.09765625" style="5" customWidth="1"/>
    <col min="6" max="6" width="12.19921875" style="13" bestFit="1" customWidth="1"/>
    <col min="7" max="7" width="8.59765625" style="13" customWidth="1"/>
    <col min="8" max="8" width="5.59765625" style="13" customWidth="1"/>
    <col min="9" max="12" width="5.59765625" customWidth="1"/>
    <col min="13" max="13" width="14.09765625" style="4" customWidth="1"/>
    <col min="14" max="14" width="65.3984375" bestFit="1" customWidth="1"/>
    <col min="15" max="15" width="7.69921875" style="200" bestFit="1" customWidth="1"/>
  </cols>
  <sheetData>
    <row r="1" spans="1:31">
      <c r="A1" s="835" t="s">
        <v>1607</v>
      </c>
      <c r="B1" s="835"/>
      <c r="C1" s="835"/>
      <c r="D1" s="835"/>
      <c r="E1" s="835"/>
      <c r="F1" s="835"/>
      <c r="G1" s="835"/>
      <c r="H1" s="835"/>
      <c r="I1" s="835"/>
      <c r="J1" s="835"/>
      <c r="K1" s="835"/>
      <c r="L1" s="835"/>
      <c r="M1" s="835"/>
      <c r="N1" s="835"/>
      <c r="O1" s="835"/>
    </row>
    <row r="2" spans="1:31" ht="30" customHeight="1">
      <c r="A2" s="2013" t="s">
        <v>5</v>
      </c>
      <c r="B2" s="1993"/>
      <c r="C2" s="1993"/>
      <c r="D2" s="1993"/>
      <c r="E2" s="1993"/>
      <c r="F2" s="2006" t="s">
        <v>1391</v>
      </c>
      <c r="G2" s="2006"/>
      <c r="H2" s="2009"/>
      <c r="I2" s="2009"/>
      <c r="J2" s="2009"/>
      <c r="K2" s="2009"/>
      <c r="L2" s="2009"/>
      <c r="M2" s="904" t="s">
        <v>1187</v>
      </c>
      <c r="N2" s="838" t="s">
        <v>1393</v>
      </c>
      <c r="O2" s="1744"/>
    </row>
    <row r="3" spans="1:31" ht="30" customHeight="1">
      <c r="A3" s="2014"/>
      <c r="B3" s="1993"/>
      <c r="C3" s="1993"/>
      <c r="D3" s="1993"/>
      <c r="E3" s="1993"/>
      <c r="F3" s="2006" t="s">
        <v>1371</v>
      </c>
      <c r="G3" s="2006"/>
      <c r="H3" s="2009"/>
      <c r="I3" s="2009"/>
      <c r="J3" s="2009"/>
      <c r="K3" s="2009"/>
      <c r="L3" s="2009"/>
      <c r="M3" s="35"/>
      <c r="N3" s="7"/>
      <c r="O3" s="839"/>
    </row>
    <row r="4" spans="1:31" ht="30" customHeight="1">
      <c r="A4" s="2013" t="s">
        <v>38</v>
      </c>
      <c r="B4" s="1993"/>
      <c r="C4" s="1993"/>
      <c r="D4" s="1993"/>
      <c r="E4" s="1993"/>
      <c r="F4" s="2007" t="s">
        <v>1392</v>
      </c>
      <c r="G4" s="2007"/>
      <c r="H4" s="2009"/>
      <c r="I4" s="2009"/>
      <c r="J4" s="2009"/>
      <c r="K4" s="2009"/>
      <c r="L4" s="2009"/>
      <c r="M4" s="35"/>
      <c r="N4" s="7"/>
      <c r="O4" s="839"/>
    </row>
    <row r="5" spans="1:31" ht="30" customHeight="1">
      <c r="A5" s="2014"/>
      <c r="B5" s="1993"/>
      <c r="C5" s="1993"/>
      <c r="D5" s="1993"/>
      <c r="E5" s="1993"/>
      <c r="F5" s="2008" t="s">
        <v>1372</v>
      </c>
      <c r="G5" s="2008"/>
      <c r="H5" s="2009"/>
      <c r="I5" s="2009"/>
      <c r="J5" s="2009"/>
      <c r="K5" s="2009"/>
      <c r="L5" s="2009"/>
      <c r="M5" s="35"/>
      <c r="N5" s="7"/>
      <c r="O5" s="839"/>
    </row>
    <row r="6" spans="1:31" ht="60" customHeight="1">
      <c r="A6" s="908" t="s">
        <v>1227</v>
      </c>
      <c r="B6" s="2004" t="s">
        <v>6</v>
      </c>
      <c r="C6" s="2005"/>
      <c r="D6" s="1323" t="s">
        <v>1407</v>
      </c>
      <c r="E6" s="82" t="s">
        <v>64</v>
      </c>
      <c r="F6" s="2001" t="s">
        <v>1</v>
      </c>
      <c r="G6" s="2002"/>
      <c r="H6" s="2003"/>
      <c r="I6" s="1038" t="s">
        <v>66</v>
      </c>
      <c r="J6" s="1038" t="s">
        <v>1376</v>
      </c>
      <c r="K6" s="1372" t="s">
        <v>1377</v>
      </c>
      <c r="L6" s="1372" t="s">
        <v>1375</v>
      </c>
      <c r="M6" s="1069" t="s">
        <v>1378</v>
      </c>
      <c r="N6" s="1069" t="s">
        <v>1387</v>
      </c>
      <c r="O6" s="1322" t="s">
        <v>1379</v>
      </c>
    </row>
    <row r="7" spans="1:31" s="123" customFormat="1" ht="24.6" customHeight="1">
      <c r="A7" s="1788" t="s">
        <v>1594</v>
      </c>
      <c r="B7" s="1985" t="s">
        <v>1399</v>
      </c>
      <c r="C7" s="1986"/>
      <c r="D7" s="1792"/>
      <c r="E7" s="1799" t="s">
        <v>188</v>
      </c>
      <c r="F7" s="1806" t="s">
        <v>1602</v>
      </c>
      <c r="G7" s="1807"/>
      <c r="H7" s="1808"/>
      <c r="I7" s="119"/>
      <c r="J7" s="119"/>
      <c r="K7" s="119"/>
      <c r="L7" s="120"/>
      <c r="M7" s="121"/>
      <c r="N7" s="187" t="s">
        <v>1373</v>
      </c>
      <c r="O7" s="1791" t="s">
        <v>197</v>
      </c>
      <c r="P7" s="123" t="s">
        <v>1254</v>
      </c>
    </row>
    <row r="8" spans="1:31" s="123" customFormat="1" ht="79.8">
      <c r="A8" s="2010" t="s">
        <v>1077</v>
      </c>
      <c r="B8" s="1994" t="s">
        <v>235</v>
      </c>
      <c r="C8" s="1789" t="s">
        <v>149</v>
      </c>
      <c r="D8" s="1793"/>
      <c r="E8" s="1804" t="s">
        <v>8</v>
      </c>
      <c r="F8" s="1388" t="s">
        <v>1597</v>
      </c>
      <c r="G8" s="1389"/>
      <c r="H8" s="1390"/>
      <c r="I8" s="129"/>
      <c r="J8" s="129"/>
      <c r="K8" s="129"/>
      <c r="L8" s="130"/>
      <c r="M8" s="669" t="s">
        <v>1593</v>
      </c>
      <c r="N8" s="1968" t="s">
        <v>1688</v>
      </c>
      <c r="O8" s="1791" t="str">
        <f>HYPERLINK(VLOOKUP(F8,LINK,2,FALSE),VLOOKUP(F8,LINK,3,FALSE))</f>
        <v>EXCEL</v>
      </c>
      <c r="P8" s="2087" t="s">
        <v>1692</v>
      </c>
      <c r="Q8" s="2088"/>
      <c r="R8" s="2088"/>
      <c r="S8" s="2088"/>
      <c r="T8" s="2088"/>
      <c r="U8" s="2088"/>
      <c r="V8" s="2088"/>
      <c r="W8" s="2088"/>
      <c r="X8" s="2088"/>
      <c r="Y8" s="2088"/>
      <c r="Z8" s="2088"/>
      <c r="AA8" s="2088"/>
      <c r="AB8" s="2088"/>
      <c r="AC8" s="2088"/>
      <c r="AD8" s="2088"/>
      <c r="AE8" s="2088"/>
    </row>
    <row r="9" spans="1:31" s="123" customFormat="1" ht="24.6" customHeight="1">
      <c r="A9" s="2011"/>
      <c r="B9" s="1994"/>
      <c r="C9" s="1994" t="s">
        <v>1051</v>
      </c>
      <c r="D9" s="1795"/>
      <c r="E9" s="133" t="s">
        <v>3</v>
      </c>
      <c r="F9" s="1391" t="s">
        <v>1600</v>
      </c>
      <c r="G9" s="1392"/>
      <c r="H9" s="1393"/>
      <c r="I9" s="137"/>
      <c r="J9" s="137"/>
      <c r="K9" s="137"/>
      <c r="L9" s="138"/>
      <c r="M9" s="2031" t="s">
        <v>1380</v>
      </c>
      <c r="N9" s="2033" t="s">
        <v>1691</v>
      </c>
      <c r="O9" s="2029" t="e">
        <f>HYPERLINK(VLOOKUP(F9,LINK,2,FALSE),VLOOKUP(F9,LINK,3,FALSE))</f>
        <v>#N/A</v>
      </c>
      <c r="P9" s="997" t="s">
        <v>1689</v>
      </c>
    </row>
    <row r="10" spans="1:31" s="123" customFormat="1" ht="24.6" customHeight="1">
      <c r="A10" s="2012"/>
      <c r="B10" s="1994"/>
      <c r="C10" s="1994"/>
      <c r="D10" s="1796"/>
      <c r="E10" s="142" t="s">
        <v>106</v>
      </c>
      <c r="F10" s="1394" t="s">
        <v>1601</v>
      </c>
      <c r="G10" s="1395"/>
      <c r="H10" s="1396"/>
      <c r="I10" s="1780"/>
      <c r="J10" s="1802"/>
      <c r="K10" s="1802"/>
      <c r="L10" s="147"/>
      <c r="M10" s="2032"/>
      <c r="N10" s="2034"/>
      <c r="O10" s="2030"/>
      <c r="P10" s="997" t="s">
        <v>1690</v>
      </c>
    </row>
    <row r="11" spans="1:31" s="123" customFormat="1" ht="24.6" customHeight="1">
      <c r="A11" s="2010" t="s">
        <v>1098</v>
      </c>
      <c r="B11" s="1987" t="s">
        <v>1079</v>
      </c>
      <c r="C11" s="1988"/>
      <c r="D11" s="1793"/>
      <c r="E11" s="167" t="s">
        <v>1383</v>
      </c>
      <c r="F11" s="2035" t="s">
        <v>1603</v>
      </c>
      <c r="G11" s="2036"/>
      <c r="H11" s="2037"/>
      <c r="I11" s="1780"/>
      <c r="J11" s="152"/>
      <c r="K11" s="152"/>
      <c r="L11" s="153"/>
      <c r="M11" s="1324" t="s">
        <v>1381</v>
      </c>
      <c r="N11" s="1221" t="s">
        <v>1384</v>
      </c>
      <c r="O11" s="1791" t="e">
        <f>HYPERLINK(VLOOKUP(F11,LINK,2,FALSE),VLOOKUP(F11,LINK,3,FALSE))</f>
        <v>#N/A</v>
      </c>
    </row>
    <row r="12" spans="1:31" s="123" customFormat="1" ht="24.6" customHeight="1">
      <c r="A12" s="2011"/>
      <c r="B12" s="1989"/>
      <c r="C12" s="1990"/>
      <c r="D12" s="1795"/>
      <c r="E12" s="154" t="s">
        <v>240</v>
      </c>
      <c r="F12" s="155" t="s">
        <v>201</v>
      </c>
      <c r="G12" s="156"/>
      <c r="H12" s="157"/>
      <c r="I12" s="158"/>
      <c r="J12" s="158"/>
      <c r="K12" s="158"/>
      <c r="L12" s="159"/>
      <c r="M12" s="2038" t="s">
        <v>1382</v>
      </c>
      <c r="N12" s="1222" t="s">
        <v>1385</v>
      </c>
      <c r="O12" s="2029" t="str">
        <f>HYPERLINK(VLOOKUP(F12,LINK,2,FALSE),VLOOKUP(F12,LINK,3,FALSE))</f>
        <v>ACCESS</v>
      </c>
    </row>
    <row r="13" spans="1:31" s="123" customFormat="1" ht="24.6" customHeight="1">
      <c r="A13" s="2012"/>
      <c r="B13" s="1991"/>
      <c r="C13" s="1992"/>
      <c r="D13" s="1796"/>
      <c r="E13" s="160" t="s">
        <v>1595</v>
      </c>
      <c r="F13" s="161" t="s">
        <v>1596</v>
      </c>
      <c r="G13" s="162"/>
      <c r="H13" s="163"/>
      <c r="I13" s="164"/>
      <c r="J13" s="164"/>
      <c r="K13" s="164"/>
      <c r="L13" s="165"/>
      <c r="M13" s="2039"/>
      <c r="N13" s="166"/>
      <c r="O13" s="2030"/>
    </row>
    <row r="14" spans="1:31" s="123" customFormat="1" ht="24.6" customHeight="1">
      <c r="A14" s="2010" t="s">
        <v>1080</v>
      </c>
      <c r="B14" s="1989" t="s">
        <v>1394</v>
      </c>
      <c r="C14" s="1990"/>
      <c r="D14" s="1794"/>
      <c r="E14" s="148" t="s">
        <v>245</v>
      </c>
      <c r="F14" s="1388" t="s">
        <v>14</v>
      </c>
      <c r="G14" s="1389"/>
      <c r="H14" s="1390"/>
      <c r="I14" s="1894"/>
      <c r="J14" s="129"/>
      <c r="K14" s="129"/>
      <c r="L14" s="130"/>
      <c r="M14" s="131"/>
      <c r="N14" s="171" t="s">
        <v>1662</v>
      </c>
      <c r="O14" s="2018" t="s">
        <v>1241</v>
      </c>
      <c r="P14" s="168"/>
    </row>
    <row r="15" spans="1:31" s="123" customFormat="1" ht="24.6" customHeight="1">
      <c r="A15" s="2011"/>
      <c r="B15" s="1989"/>
      <c r="C15" s="1990"/>
      <c r="D15" s="1794"/>
      <c r="E15" s="133" t="s">
        <v>245</v>
      </c>
      <c r="F15" s="1391" t="s">
        <v>14</v>
      </c>
      <c r="G15" s="1392"/>
      <c r="H15" s="1393"/>
      <c r="I15" s="1209"/>
      <c r="J15" s="137"/>
      <c r="K15" s="137"/>
      <c r="L15" s="138"/>
      <c r="M15" s="139"/>
      <c r="N15" s="171" t="s">
        <v>1662</v>
      </c>
      <c r="O15" s="2019"/>
    </row>
    <row r="16" spans="1:31" s="123" customFormat="1" ht="24.6" customHeight="1">
      <c r="A16" s="2011"/>
      <c r="B16" s="1989"/>
      <c r="C16" s="1990"/>
      <c r="D16" s="1794"/>
      <c r="E16" s="1803" t="s">
        <v>58</v>
      </c>
      <c r="F16" s="723" t="s">
        <v>191</v>
      </c>
      <c r="G16" s="724"/>
      <c r="H16" s="721"/>
      <c r="I16" s="1895"/>
      <c r="J16" s="218"/>
      <c r="K16" s="218"/>
      <c r="L16" s="219"/>
      <c r="M16" s="1790"/>
      <c r="N16" s="171"/>
      <c r="O16" s="2019"/>
    </row>
    <row r="17" spans="1:16" s="123" customFormat="1" ht="24.6" customHeight="1">
      <c r="A17" s="2012"/>
      <c r="B17" s="1991"/>
      <c r="C17" s="1992"/>
      <c r="D17" s="1794"/>
      <c r="E17" s="1805" t="s">
        <v>58</v>
      </c>
      <c r="F17" s="1394" t="s">
        <v>191</v>
      </c>
      <c r="G17" s="1395"/>
      <c r="H17" s="1396"/>
      <c r="I17" s="1210"/>
      <c r="J17" s="174"/>
      <c r="K17" s="174"/>
      <c r="L17" s="175"/>
      <c r="M17" s="176"/>
      <c r="N17" s="171"/>
      <c r="O17" s="2020"/>
    </row>
    <row r="18" spans="1:16" s="123" customFormat="1" ht="24.6" customHeight="1">
      <c r="A18" s="2010" t="s">
        <v>1089</v>
      </c>
      <c r="B18" s="1987" t="s">
        <v>1245</v>
      </c>
      <c r="C18" s="1988"/>
      <c r="D18" s="1793"/>
      <c r="E18" s="1804" t="s">
        <v>192</v>
      </c>
      <c r="F18" s="1388" t="s">
        <v>249</v>
      </c>
      <c r="G18" s="1389"/>
      <c r="H18" s="1390" t="s">
        <v>250</v>
      </c>
      <c r="I18" s="129"/>
      <c r="J18" s="129"/>
      <c r="K18" s="129"/>
      <c r="L18" s="130"/>
      <c r="M18" s="131"/>
      <c r="N18" s="1325" t="s">
        <v>1389</v>
      </c>
      <c r="O18" s="2018" t="s">
        <v>1241</v>
      </c>
    </row>
    <row r="19" spans="1:16" s="123" customFormat="1" ht="24.6" customHeight="1">
      <c r="A19" s="2011"/>
      <c r="B19" s="1989"/>
      <c r="C19" s="1990"/>
      <c r="D19" s="1795"/>
      <c r="E19" s="515" t="s">
        <v>193</v>
      </c>
      <c r="F19" s="1391" t="s">
        <v>249</v>
      </c>
      <c r="G19" s="1392"/>
      <c r="H19" s="1393" t="s">
        <v>231</v>
      </c>
      <c r="I19" s="137"/>
      <c r="J19" s="1209"/>
      <c r="K19" s="1209"/>
      <c r="L19" s="172"/>
      <c r="M19" s="139"/>
      <c r="N19" s="179"/>
      <c r="O19" s="2019"/>
    </row>
    <row r="20" spans="1:16" s="123" customFormat="1" ht="24.6" customHeight="1">
      <c r="A20" s="2011"/>
      <c r="B20" s="1989"/>
      <c r="C20" s="1990"/>
      <c r="D20" s="1795"/>
      <c r="E20" s="515" t="s">
        <v>194</v>
      </c>
      <c r="F20" s="181" t="s">
        <v>249</v>
      </c>
      <c r="G20" s="182"/>
      <c r="H20" s="183" t="s">
        <v>232</v>
      </c>
      <c r="I20" s="137"/>
      <c r="J20" s="1209"/>
      <c r="K20" s="1209"/>
      <c r="L20" s="172"/>
      <c r="M20" s="184"/>
      <c r="N20" s="179"/>
      <c r="O20" s="2019"/>
    </row>
    <row r="21" spans="1:16" s="123" customFormat="1" ht="24.6" customHeight="1">
      <c r="A21" s="2011"/>
      <c r="B21" s="1989"/>
      <c r="C21" s="1990"/>
      <c r="D21" s="1795"/>
      <c r="E21" s="515" t="s">
        <v>195</v>
      </c>
      <c r="F21" s="1391" t="s">
        <v>249</v>
      </c>
      <c r="G21" s="1392"/>
      <c r="H21" s="1393" t="s">
        <v>256</v>
      </c>
      <c r="I21" s="137"/>
      <c r="J21" s="1209"/>
      <c r="K21" s="1209"/>
      <c r="L21" s="172"/>
      <c r="M21" s="184"/>
      <c r="N21" s="179"/>
      <c r="O21" s="2019"/>
      <c r="P21" s="123" t="s">
        <v>1388</v>
      </c>
    </row>
    <row r="22" spans="1:16" s="123" customFormat="1" ht="24.6" customHeight="1">
      <c r="A22" s="2012"/>
      <c r="B22" s="1991"/>
      <c r="C22" s="1992"/>
      <c r="D22" s="1796"/>
      <c r="E22" s="1805" t="s">
        <v>196</v>
      </c>
      <c r="F22" s="1394" t="s">
        <v>249</v>
      </c>
      <c r="G22" s="1395"/>
      <c r="H22" s="1396" t="s">
        <v>258</v>
      </c>
      <c r="I22" s="174"/>
      <c r="J22" s="1210"/>
      <c r="K22" s="1210"/>
      <c r="L22" s="175"/>
      <c r="M22" s="176"/>
      <c r="N22" s="166"/>
      <c r="O22" s="2020"/>
    </row>
    <row r="23" spans="1:16" s="123" customFormat="1" ht="24.6" customHeight="1">
      <c r="A23" s="750" t="s">
        <v>1090</v>
      </c>
      <c r="B23" s="1985" t="s">
        <v>19</v>
      </c>
      <c r="C23" s="1986"/>
      <c r="D23" s="1792"/>
      <c r="E23" s="1799" t="s">
        <v>260</v>
      </c>
      <c r="F23" s="726" t="s">
        <v>1604</v>
      </c>
      <c r="G23" s="727"/>
      <c r="H23" s="728"/>
      <c r="I23" s="1798"/>
      <c r="J23" s="1798"/>
      <c r="K23" s="1798"/>
      <c r="L23" s="1351"/>
      <c r="M23" s="186"/>
      <c r="N23" s="122"/>
      <c r="O23" s="1787" t="e">
        <f t="shared" ref="O23" si="0">HYPERLINK(VLOOKUP(F23,LINK,2,FALSE),VLOOKUP(F23,LINK,3,FALSE))</f>
        <v>#N/A</v>
      </c>
    </row>
    <row r="24" spans="1:16" s="123" customFormat="1" ht="24.6" customHeight="1">
      <c r="A24" s="750"/>
      <c r="B24" s="1985" t="s">
        <v>1081</v>
      </c>
      <c r="C24" s="1986"/>
      <c r="D24" s="1792"/>
      <c r="E24" s="739" t="s">
        <v>261</v>
      </c>
      <c r="F24" s="1043" t="s">
        <v>1252</v>
      </c>
      <c r="G24" s="1044"/>
      <c r="H24" s="1808"/>
      <c r="I24" s="1042"/>
      <c r="J24" s="1798"/>
      <c r="K24" s="1798"/>
      <c r="L24" s="1351"/>
      <c r="M24" s="186"/>
      <c r="N24" s="187"/>
      <c r="O24" s="1787"/>
    </row>
    <row r="25" spans="1:16" s="123" customFormat="1" ht="24.6" customHeight="1">
      <c r="A25" s="750" t="s">
        <v>1599</v>
      </c>
      <c r="B25" s="1985" t="s">
        <v>1598</v>
      </c>
      <c r="C25" s="1986"/>
      <c r="D25" s="1792"/>
      <c r="E25" s="1800" t="s">
        <v>262</v>
      </c>
      <c r="F25" s="1806" t="s">
        <v>1605</v>
      </c>
      <c r="G25" s="1807"/>
      <c r="H25" s="1808"/>
      <c r="I25" s="1798"/>
      <c r="J25" s="1798"/>
      <c r="K25" s="1798"/>
      <c r="L25" s="1351"/>
      <c r="M25" s="186"/>
      <c r="N25" s="122"/>
      <c r="O25" s="1787" t="e">
        <f>HYPERLINK(VLOOKUP(F25,LINK,2,FALSE),VLOOKUP(F25,LINK,3,FALSE))</f>
        <v>#N/A</v>
      </c>
    </row>
    <row r="26" spans="1:16" s="123" customFormat="1" ht="24.6" customHeight="1">
      <c r="A26" s="2015" t="s">
        <v>1078</v>
      </c>
      <c r="B26" s="1987" t="s">
        <v>244</v>
      </c>
      <c r="C26" s="1988"/>
      <c r="D26" s="1793"/>
      <c r="E26" s="167" t="s">
        <v>1386</v>
      </c>
      <c r="F26" s="2035" t="s">
        <v>1603</v>
      </c>
      <c r="G26" s="2036"/>
      <c r="H26" s="2037"/>
      <c r="I26" s="1780"/>
      <c r="J26" s="152"/>
      <c r="K26" s="152"/>
      <c r="L26" s="153"/>
      <c r="M26" s="1324" t="s">
        <v>1381</v>
      </c>
      <c r="N26" s="1221" t="s">
        <v>1384</v>
      </c>
      <c r="O26" s="1791" t="e">
        <f>HYPERLINK(VLOOKUP(F26,LINK,2,FALSE),VLOOKUP(F26,LINK,3,FALSE))</f>
        <v>#N/A</v>
      </c>
      <c r="P26" s="168" t="s">
        <v>157</v>
      </c>
    </row>
    <row r="27" spans="1:16" s="123" customFormat="1" ht="24.6" customHeight="1">
      <c r="A27" s="2011"/>
      <c r="B27" s="1989"/>
      <c r="C27" s="1990"/>
      <c r="D27" s="1795"/>
      <c r="E27" s="154" t="s">
        <v>240</v>
      </c>
      <c r="F27" s="155" t="s">
        <v>201</v>
      </c>
      <c r="G27" s="156"/>
      <c r="H27" s="157"/>
      <c r="I27" s="158"/>
      <c r="J27" s="158"/>
      <c r="K27" s="158"/>
      <c r="L27" s="159"/>
      <c r="M27" s="2038" t="s">
        <v>1382</v>
      </c>
      <c r="N27" s="1222" t="s">
        <v>1385</v>
      </c>
      <c r="O27" s="2029" t="str">
        <f>HYPERLINK(VLOOKUP(F27,LINK,2,FALSE),VLOOKUP(F27,LINK,3,FALSE))</f>
        <v>ACCESS</v>
      </c>
    </row>
    <row r="28" spans="1:16" s="123" customFormat="1" ht="24.6" customHeight="1">
      <c r="A28" s="2012"/>
      <c r="B28" s="1991"/>
      <c r="C28" s="1992"/>
      <c r="D28" s="1796"/>
      <c r="E28" s="160" t="s">
        <v>242</v>
      </c>
      <c r="F28" s="161" t="s">
        <v>1596</v>
      </c>
      <c r="G28" s="162"/>
      <c r="H28" s="163"/>
      <c r="I28" s="164"/>
      <c r="J28" s="164"/>
      <c r="K28" s="164"/>
      <c r="L28" s="165"/>
      <c r="M28" s="2039"/>
      <c r="N28" s="166"/>
      <c r="O28" s="2030"/>
    </row>
    <row r="29" spans="1:16" s="123" customFormat="1" ht="24.6" customHeight="1">
      <c r="A29" s="2010" t="s">
        <v>1320</v>
      </c>
      <c r="B29" s="1987" t="s">
        <v>1395</v>
      </c>
      <c r="C29" s="1988"/>
      <c r="D29" s="1809"/>
      <c r="E29" s="1797" t="s">
        <v>1253</v>
      </c>
      <c r="F29" s="1388" t="s">
        <v>264</v>
      </c>
      <c r="G29" s="1389"/>
      <c r="H29" s="1390" t="s">
        <v>250</v>
      </c>
      <c r="I29" s="990"/>
      <c r="J29" s="990"/>
      <c r="K29" s="990"/>
      <c r="L29" s="188"/>
      <c r="M29" s="190"/>
      <c r="N29" s="177"/>
      <c r="O29" s="2018" t="s">
        <v>1241</v>
      </c>
    </row>
    <row r="30" spans="1:16" s="123" customFormat="1" ht="24.6" customHeight="1">
      <c r="A30" s="2011"/>
      <c r="B30" s="1989"/>
      <c r="C30" s="1990"/>
      <c r="D30" s="1801"/>
      <c r="E30" s="1795" t="s">
        <v>174</v>
      </c>
      <c r="F30" s="1391" t="s">
        <v>264</v>
      </c>
      <c r="G30" s="1392"/>
      <c r="H30" s="1393" t="s">
        <v>231</v>
      </c>
      <c r="I30" s="991"/>
      <c r="J30" s="1326"/>
      <c r="K30" s="1326"/>
      <c r="L30" s="228"/>
      <c r="M30" s="192"/>
      <c r="N30" s="179"/>
      <c r="O30" s="2019"/>
    </row>
    <row r="31" spans="1:16" s="123" customFormat="1" ht="24.6" customHeight="1">
      <c r="A31" s="2011"/>
      <c r="B31" s="1989"/>
      <c r="C31" s="1990"/>
      <c r="D31" s="1801"/>
      <c r="E31" s="1795" t="s">
        <v>175</v>
      </c>
      <c r="F31" s="1391" t="s">
        <v>264</v>
      </c>
      <c r="G31" s="1392"/>
      <c r="H31" s="1393" t="s">
        <v>232</v>
      </c>
      <c r="I31" s="991"/>
      <c r="J31" s="1326"/>
      <c r="K31" s="1326"/>
      <c r="L31" s="228"/>
      <c r="M31" s="192"/>
      <c r="N31" s="179"/>
      <c r="O31" s="2019"/>
    </row>
    <row r="32" spans="1:16" s="123" customFormat="1" ht="24.6" customHeight="1">
      <c r="A32" s="2012"/>
      <c r="B32" s="1991"/>
      <c r="C32" s="1992"/>
      <c r="D32" s="1802"/>
      <c r="E32" s="1796" t="s">
        <v>176</v>
      </c>
      <c r="F32" s="1394" t="s">
        <v>264</v>
      </c>
      <c r="G32" s="1395"/>
      <c r="H32" s="1396" t="s">
        <v>256</v>
      </c>
      <c r="I32" s="992"/>
      <c r="J32" s="1327"/>
      <c r="K32" s="1327"/>
      <c r="L32" s="229"/>
      <c r="M32" s="194"/>
      <c r="N32" s="166"/>
      <c r="O32" s="2020"/>
    </row>
    <row r="33" spans="1:15" s="123" customFormat="1" ht="24.6" customHeight="1">
      <c r="A33"/>
      <c r="B33" s="1041"/>
      <c r="C33" s="836"/>
      <c r="D33" s="836"/>
      <c r="E33" s="836"/>
      <c r="F33" s="836"/>
      <c r="G33" s="836"/>
      <c r="H33" s="836"/>
      <c r="I33" s="836"/>
      <c r="J33" s="836"/>
      <c r="K33" s="836"/>
      <c r="L33" s="836"/>
      <c r="M33" s="200"/>
      <c r="N33"/>
      <c r="O33"/>
    </row>
    <row r="34" spans="1:15" s="123" customFormat="1" ht="24.6" customHeight="1">
      <c r="A34" s="1009"/>
      <c r="B34"/>
      <c r="C34"/>
      <c r="D34"/>
      <c r="E34" s="5"/>
      <c r="F34" s="13"/>
      <c r="G34" s="13"/>
      <c r="H34" s="13"/>
      <c r="I34"/>
      <c r="J34"/>
      <c r="K34"/>
      <c r="L34"/>
      <c r="M34" s="4"/>
      <c r="N34"/>
      <c r="O34" s="200"/>
    </row>
    <row r="35" spans="1:15" s="123" customFormat="1" ht="24.6" customHeight="1">
      <c r="A35" s="1009"/>
      <c r="B35"/>
      <c r="C35"/>
      <c r="D35"/>
      <c r="E35" s="5"/>
      <c r="F35" s="13"/>
      <c r="G35" s="13"/>
      <c r="H35" s="13"/>
      <c r="I35"/>
      <c r="J35"/>
      <c r="K35"/>
      <c r="L35"/>
      <c r="M35" s="4"/>
      <c r="N35"/>
      <c r="O35" s="200"/>
    </row>
    <row r="36" spans="1:15" ht="20.100000000000001" customHeight="1"/>
  </sheetData>
  <mergeCells count="44">
    <mergeCell ref="P8:AE8"/>
    <mergeCell ref="A29:A32"/>
    <mergeCell ref="B29:C32"/>
    <mergeCell ref="O29:O32"/>
    <mergeCell ref="A18:A22"/>
    <mergeCell ref="B18:C22"/>
    <mergeCell ref="O18:O22"/>
    <mergeCell ref="B23:C23"/>
    <mergeCell ref="B24:C24"/>
    <mergeCell ref="B25:C25"/>
    <mergeCell ref="A26:A28"/>
    <mergeCell ref="B26:C28"/>
    <mergeCell ref="F26:H26"/>
    <mergeCell ref="M27:M28"/>
    <mergeCell ref="O27:O28"/>
    <mergeCell ref="A14:A17"/>
    <mergeCell ref="B14:C17"/>
    <mergeCell ref="O14:O17"/>
    <mergeCell ref="M9:M10"/>
    <mergeCell ref="N9:N10"/>
    <mergeCell ref="O9:O10"/>
    <mergeCell ref="A11:A13"/>
    <mergeCell ref="B11:C13"/>
    <mergeCell ref="F11:H11"/>
    <mergeCell ref="M12:M13"/>
    <mergeCell ref="O12:O13"/>
    <mergeCell ref="B6:C6"/>
    <mergeCell ref="F6:H6"/>
    <mergeCell ref="B7:C7"/>
    <mergeCell ref="A8:A10"/>
    <mergeCell ref="B8:B10"/>
    <mergeCell ref="C9:C10"/>
    <mergeCell ref="A4:A5"/>
    <mergeCell ref="B4:E5"/>
    <mergeCell ref="F4:G4"/>
    <mergeCell ref="H4:L4"/>
    <mergeCell ref="F5:G5"/>
    <mergeCell ref="H5:L5"/>
    <mergeCell ref="A2:A3"/>
    <mergeCell ref="B2:E3"/>
    <mergeCell ref="F2:G2"/>
    <mergeCell ref="H2:L2"/>
    <mergeCell ref="F3:G3"/>
    <mergeCell ref="H3:L3"/>
  </mergeCells>
  <phoneticPr fontId="14"/>
  <pageMargins left="0.70866141732283472" right="0.70866141732283472" top="0" bottom="0" header="0.31496062992125984" footer="0.31496062992125984"/>
  <pageSetup paperSize="9" scale="53"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sheetPr>
  <dimension ref="A1:O40"/>
  <sheetViews>
    <sheetView showGridLines="0" view="pageBreakPreview" zoomScaleNormal="85" zoomScaleSheetLayoutView="100" workbookViewId="0">
      <selection activeCell="E31" sqref="E31"/>
    </sheetView>
  </sheetViews>
  <sheetFormatPr defaultRowHeight="13.8"/>
  <cols>
    <col min="1" max="1" width="10.19921875" style="873" bestFit="1" customWidth="1"/>
    <col min="2" max="2" width="21.5" bestFit="1" customWidth="1"/>
    <col min="3" max="3" width="21" bestFit="1" customWidth="1"/>
    <col min="4" max="4" width="5.59765625" customWidth="1"/>
    <col min="5" max="5" width="23" bestFit="1" customWidth="1"/>
    <col min="6" max="7" width="11.8984375" customWidth="1"/>
    <col min="8" max="12" width="5.59765625" customWidth="1"/>
    <col min="13" max="13" width="22.59765625" customWidth="1"/>
    <col min="14" max="14" width="15" customWidth="1"/>
    <col min="15" max="15" width="7.69921875" bestFit="1" customWidth="1"/>
  </cols>
  <sheetData>
    <row r="1" spans="1:15">
      <c r="A1" s="2099" t="s">
        <v>1056</v>
      </c>
      <c r="B1" s="2099"/>
      <c r="C1" s="2099"/>
      <c r="D1" s="2099"/>
      <c r="E1" s="2099"/>
      <c r="F1" s="2099"/>
      <c r="G1" s="2099"/>
      <c r="H1" s="2099"/>
      <c r="I1" s="2100"/>
      <c r="J1" s="2100"/>
      <c r="K1" s="2100"/>
      <c r="L1" s="2100"/>
      <c r="M1" s="2100"/>
      <c r="N1" s="2100"/>
      <c r="O1" s="2100"/>
    </row>
    <row r="2" spans="1:15" ht="30" customHeight="1">
      <c r="A2" s="2013" t="s">
        <v>5</v>
      </c>
      <c r="B2" s="1993"/>
      <c r="C2" s="1993"/>
      <c r="D2" s="1993"/>
      <c r="E2" s="1993"/>
      <c r="F2" s="2093" t="s">
        <v>268</v>
      </c>
      <c r="G2" s="2094"/>
      <c r="H2" s="2089"/>
      <c r="I2" s="2090"/>
      <c r="J2" s="2090"/>
      <c r="K2" s="2090"/>
      <c r="L2" s="2091"/>
      <c r="M2" s="837" t="s">
        <v>1187</v>
      </c>
      <c r="N2" s="904"/>
      <c r="O2" s="920"/>
    </row>
    <row r="3" spans="1:15" ht="30" customHeight="1">
      <c r="A3" s="2014"/>
      <c r="B3" s="1993"/>
      <c r="C3" s="1993"/>
      <c r="D3" s="1993"/>
      <c r="E3" s="1993"/>
      <c r="F3" s="2006" t="s">
        <v>1249</v>
      </c>
      <c r="G3" s="2006"/>
      <c r="H3" s="2089"/>
      <c r="I3" s="2090"/>
      <c r="J3" s="2090"/>
      <c r="K3" s="2090"/>
      <c r="L3" s="2091"/>
      <c r="M3" s="997"/>
      <c r="N3" s="35"/>
      <c r="O3" s="921"/>
    </row>
    <row r="4" spans="1:15" ht="30" customHeight="1">
      <c r="A4" s="2013" t="s">
        <v>38</v>
      </c>
      <c r="B4" s="1993"/>
      <c r="C4" s="1993"/>
      <c r="D4" s="1993"/>
      <c r="E4" s="1993"/>
      <c r="F4" s="2007" t="s">
        <v>1250</v>
      </c>
      <c r="G4" s="2007"/>
      <c r="H4" s="2089"/>
      <c r="I4" s="2090"/>
      <c r="J4" s="2090"/>
      <c r="K4" s="2090"/>
      <c r="L4" s="2091"/>
      <c r="M4" s="997"/>
      <c r="N4" s="35"/>
      <c r="O4" s="921"/>
    </row>
    <row r="5" spans="1:15" ht="30" customHeight="1">
      <c r="A5" s="2014"/>
      <c r="B5" s="1993"/>
      <c r="C5" s="1993"/>
      <c r="D5" s="1993"/>
      <c r="E5" s="1993"/>
      <c r="F5" s="2008" t="s">
        <v>269</v>
      </c>
      <c r="G5" s="2008"/>
      <c r="H5" s="2089"/>
      <c r="I5" s="2090"/>
      <c r="J5" s="2090"/>
      <c r="K5" s="2090"/>
      <c r="L5" s="2091"/>
      <c r="M5" s="1046"/>
      <c r="N5" s="905"/>
      <c r="O5" s="922"/>
    </row>
    <row r="6" spans="1:15" ht="60" customHeight="1">
      <c r="A6" s="923" t="s">
        <v>1227</v>
      </c>
      <c r="B6" s="971" t="s">
        <v>6</v>
      </c>
      <c r="C6" s="971" t="s">
        <v>168</v>
      </c>
      <c r="D6" s="1037" t="s">
        <v>1251</v>
      </c>
      <c r="E6" s="82" t="s">
        <v>64</v>
      </c>
      <c r="F6" s="2001" t="s">
        <v>1</v>
      </c>
      <c r="G6" s="2002"/>
      <c r="H6" s="2003"/>
      <c r="I6" s="1038" t="s">
        <v>66</v>
      </c>
      <c r="J6" s="1038" t="s">
        <v>1247</v>
      </c>
      <c r="K6" s="1039" t="s">
        <v>1248</v>
      </c>
      <c r="L6" s="1040" t="s">
        <v>2</v>
      </c>
      <c r="M6" s="971" t="s">
        <v>1256</v>
      </c>
      <c r="N6" s="971" t="s">
        <v>1257</v>
      </c>
      <c r="O6" s="90" t="s">
        <v>183</v>
      </c>
    </row>
    <row r="7" spans="1:15" ht="20.100000000000001" customHeight="1">
      <c r="A7" s="2092" t="s">
        <v>1228</v>
      </c>
      <c r="B7" s="2049" t="s">
        <v>415</v>
      </c>
      <c r="C7" s="2101"/>
      <c r="D7" s="124"/>
      <c r="E7" s="909" t="s">
        <v>416</v>
      </c>
      <c r="F7" s="126" t="s">
        <v>241</v>
      </c>
      <c r="G7" s="127"/>
      <c r="H7" s="128"/>
      <c r="I7" s="129"/>
      <c r="J7" s="129"/>
      <c r="K7" s="129"/>
      <c r="L7" s="130"/>
      <c r="M7" s="209" t="str">
        <f>"BD"&amp;G7</f>
        <v>BD</v>
      </c>
      <c r="N7" s="729"/>
      <c r="O7" s="2095" t="str">
        <f>HYPERLINK(VLOOKUP(F7,LINK,2,FALSE),VLOOKUP(F7,LINK,3,FALSE))</f>
        <v>ACCESS</v>
      </c>
    </row>
    <row r="8" spans="1:15" ht="20.100000000000001" customHeight="1">
      <c r="A8" s="2092"/>
      <c r="B8" s="2106"/>
      <c r="C8" s="2104"/>
      <c r="D8" s="141"/>
      <c r="E8" s="910" t="s">
        <v>417</v>
      </c>
      <c r="F8" s="143" t="s">
        <v>12</v>
      </c>
      <c r="G8" s="144"/>
      <c r="H8" s="145"/>
      <c r="I8" s="146"/>
      <c r="J8" s="995"/>
      <c r="K8" s="995"/>
      <c r="L8" s="147"/>
      <c r="M8" s="208" t="str">
        <f>"PE"&amp;G8</f>
        <v>PE</v>
      </c>
      <c r="N8" s="906"/>
      <c r="O8" s="2096"/>
    </row>
    <row r="9" spans="1:15" ht="20.100000000000001" customHeight="1">
      <c r="A9" s="2092" t="s">
        <v>1229</v>
      </c>
      <c r="B9" s="1994" t="s">
        <v>418</v>
      </c>
      <c r="C9" s="2101" t="s">
        <v>419</v>
      </c>
      <c r="D9" s="124"/>
      <c r="E9" s="911" t="s">
        <v>420</v>
      </c>
      <c r="F9" s="149" t="s">
        <v>421</v>
      </c>
      <c r="G9" s="150"/>
      <c r="H9" s="151"/>
      <c r="I9" s="230"/>
      <c r="J9" s="230"/>
      <c r="K9" s="230"/>
      <c r="L9" s="153"/>
      <c r="M9" s="236"/>
      <c r="N9" s="236"/>
      <c r="O9" s="2097"/>
    </row>
    <row r="10" spans="1:15" ht="20.100000000000001" customHeight="1">
      <c r="A10" s="2092"/>
      <c r="B10" s="1994"/>
      <c r="C10" s="2103"/>
      <c r="D10" s="132"/>
      <c r="E10" s="912" t="s">
        <v>422</v>
      </c>
      <c r="F10" s="155" t="s">
        <v>421</v>
      </c>
      <c r="G10" s="156"/>
      <c r="H10" s="157"/>
      <c r="I10" s="158"/>
      <c r="J10" s="158"/>
      <c r="K10" s="158"/>
      <c r="L10" s="159"/>
      <c r="M10" s="237"/>
      <c r="N10" s="237"/>
      <c r="O10" s="2098"/>
    </row>
    <row r="11" spans="1:15" ht="20.100000000000001" customHeight="1">
      <c r="A11" s="2092"/>
      <c r="B11" s="1994"/>
      <c r="C11" s="2104"/>
      <c r="D11" s="141"/>
      <c r="E11" s="913" t="s">
        <v>1233</v>
      </c>
      <c r="F11" s="161" t="s">
        <v>243</v>
      </c>
      <c r="G11" s="162"/>
      <c r="H11" s="163"/>
      <c r="I11" s="164"/>
      <c r="J11" s="164"/>
      <c r="K11" s="164"/>
      <c r="L11" s="165"/>
      <c r="M11" s="238"/>
      <c r="N11" s="238"/>
      <c r="O11" s="109" t="str">
        <f t="shared" ref="O11" si="0">HYPERLINK(VLOOKUP(F11,LINK,2,FALSE),VLOOKUP(F11,LINK,3,FALSE))</f>
        <v>ACCESS</v>
      </c>
    </row>
    <row r="12" spans="1:15" ht="20.100000000000001" customHeight="1">
      <c r="A12" s="2092" t="s">
        <v>1230</v>
      </c>
      <c r="B12" s="1994" t="s">
        <v>423</v>
      </c>
      <c r="C12" s="2101" t="s">
        <v>424</v>
      </c>
      <c r="D12" s="124"/>
      <c r="E12" s="911" t="s">
        <v>425</v>
      </c>
      <c r="F12" s="149" t="s">
        <v>426</v>
      </c>
      <c r="G12" s="150"/>
      <c r="H12" s="151"/>
      <c r="I12" s="152"/>
      <c r="J12" s="152"/>
      <c r="K12" s="152"/>
      <c r="L12" s="153"/>
      <c r="M12" s="236"/>
      <c r="N12" s="236"/>
      <c r="O12" s="108"/>
    </row>
    <row r="13" spans="1:15" ht="20.100000000000001" customHeight="1">
      <c r="A13" s="2092"/>
      <c r="B13" s="1994"/>
      <c r="C13" s="2102"/>
      <c r="D13" s="169"/>
      <c r="E13" s="914" t="s">
        <v>427</v>
      </c>
      <c r="F13" s="155" t="s">
        <v>449</v>
      </c>
      <c r="G13" s="156"/>
      <c r="H13" s="157"/>
      <c r="I13" s="231"/>
      <c r="J13" s="231"/>
      <c r="K13" s="231"/>
      <c r="L13" s="232"/>
      <c r="M13" s="239"/>
      <c r="N13" s="239"/>
      <c r="O13" s="250"/>
    </row>
    <row r="14" spans="1:15" ht="20.100000000000001" customHeight="1">
      <c r="A14" s="2092"/>
      <c r="B14" s="1994"/>
      <c r="C14" s="2103"/>
      <c r="D14" s="132"/>
      <c r="E14" s="912" t="s">
        <v>428</v>
      </c>
      <c r="F14" s="155" t="s">
        <v>450</v>
      </c>
      <c r="G14" s="156"/>
      <c r="H14" s="157"/>
      <c r="I14" s="158"/>
      <c r="J14" s="158"/>
      <c r="K14" s="158"/>
      <c r="L14" s="159"/>
      <c r="M14" s="237"/>
      <c r="N14" s="237"/>
      <c r="O14" s="250"/>
    </row>
    <row r="15" spans="1:15" ht="20.100000000000001" customHeight="1">
      <c r="A15" s="2092"/>
      <c r="B15" s="1994"/>
      <c r="C15" s="2104"/>
      <c r="D15" s="141"/>
      <c r="E15" s="913" t="s">
        <v>429</v>
      </c>
      <c r="F15" s="161" t="s">
        <v>451</v>
      </c>
      <c r="G15" s="162"/>
      <c r="H15" s="163"/>
      <c r="I15" s="164"/>
      <c r="J15" s="164"/>
      <c r="K15" s="164"/>
      <c r="L15" s="165"/>
      <c r="M15" s="238"/>
      <c r="N15" s="238"/>
      <c r="O15" s="109"/>
    </row>
    <row r="16" spans="1:15" ht="20.100000000000001" customHeight="1">
      <c r="A16" s="2092" t="s">
        <v>1231</v>
      </c>
      <c r="B16" s="1996" t="s">
        <v>414</v>
      </c>
      <c r="C16" s="2054" t="s">
        <v>126</v>
      </c>
      <c r="D16" s="124"/>
      <c r="E16" s="915" t="s">
        <v>123</v>
      </c>
      <c r="F16" s="126" t="s">
        <v>430</v>
      </c>
      <c r="G16" s="127"/>
      <c r="H16" s="128"/>
      <c r="I16" s="129"/>
      <c r="J16" s="129"/>
      <c r="K16" s="129"/>
      <c r="L16" s="170"/>
      <c r="M16" s="235"/>
      <c r="N16" s="235"/>
      <c r="O16" s="108"/>
    </row>
    <row r="17" spans="1:15" ht="20.100000000000001" customHeight="1">
      <c r="A17" s="2092"/>
      <c r="B17" s="1996"/>
      <c r="C17" s="2054"/>
      <c r="D17" s="169"/>
      <c r="E17" s="916" t="s">
        <v>125</v>
      </c>
      <c r="F17" s="134" t="s">
        <v>431</v>
      </c>
      <c r="G17" s="135"/>
      <c r="H17" s="136"/>
      <c r="I17" s="204"/>
      <c r="J17" s="204"/>
      <c r="K17" s="204"/>
      <c r="L17" s="233"/>
      <c r="M17" s="240"/>
      <c r="N17" s="240"/>
      <c r="O17" s="250"/>
    </row>
    <row r="18" spans="1:15" ht="20.100000000000001" customHeight="1">
      <c r="A18" s="2092"/>
      <c r="B18" s="1996"/>
      <c r="C18" s="2054"/>
      <c r="D18" s="141"/>
      <c r="E18" s="910" t="s">
        <v>124</v>
      </c>
      <c r="F18" s="143" t="s">
        <v>432</v>
      </c>
      <c r="G18" s="144"/>
      <c r="H18" s="145"/>
      <c r="I18" s="174"/>
      <c r="J18" s="174"/>
      <c r="K18" s="174"/>
      <c r="L18" s="175"/>
      <c r="M18" s="241"/>
      <c r="N18" s="241"/>
      <c r="O18" s="109"/>
    </row>
    <row r="19" spans="1:15" ht="20.100000000000001" customHeight="1">
      <c r="A19" s="2092"/>
      <c r="B19" s="1996"/>
      <c r="C19" s="2073" t="s">
        <v>127</v>
      </c>
      <c r="D19" s="169"/>
      <c r="E19" s="916" t="s">
        <v>433</v>
      </c>
      <c r="F19" s="126" t="s">
        <v>434</v>
      </c>
      <c r="G19" s="127"/>
      <c r="H19" s="128"/>
      <c r="I19" s="204"/>
      <c r="J19" s="204"/>
      <c r="K19" s="204"/>
      <c r="L19" s="233"/>
      <c r="M19" s="240"/>
      <c r="N19" s="240"/>
      <c r="O19" s="108"/>
    </row>
    <row r="20" spans="1:15" ht="20.100000000000001" customHeight="1">
      <c r="A20" s="2092"/>
      <c r="B20" s="1996"/>
      <c r="C20" s="2105"/>
      <c r="D20" s="169"/>
      <c r="E20" s="916" t="s">
        <v>435</v>
      </c>
      <c r="F20" s="134" t="s">
        <v>436</v>
      </c>
      <c r="G20" s="135"/>
      <c r="H20" s="136"/>
      <c r="I20" s="204"/>
      <c r="J20" s="204"/>
      <c r="K20" s="204"/>
      <c r="L20" s="233"/>
      <c r="M20" s="240"/>
      <c r="N20" s="240"/>
      <c r="O20" s="250"/>
    </row>
    <row r="21" spans="1:15" ht="20.100000000000001" customHeight="1">
      <c r="A21" s="2092"/>
      <c r="B21" s="1996"/>
      <c r="C21" s="2105"/>
      <c r="D21" s="169"/>
      <c r="E21" s="916" t="s">
        <v>437</v>
      </c>
      <c r="F21" s="134" t="s">
        <v>438</v>
      </c>
      <c r="G21" s="135"/>
      <c r="H21" s="136"/>
      <c r="I21" s="204"/>
      <c r="J21" s="204"/>
      <c r="K21" s="204"/>
      <c r="L21" s="233"/>
      <c r="M21" s="240"/>
      <c r="N21" s="240"/>
      <c r="O21" s="250"/>
    </row>
    <row r="22" spans="1:15" ht="20.100000000000001" customHeight="1">
      <c r="A22" s="2092"/>
      <c r="B22" s="1996"/>
      <c r="C22" s="2105"/>
      <c r="D22" s="132"/>
      <c r="E22" s="912" t="s">
        <v>420</v>
      </c>
      <c r="F22" s="134" t="s">
        <v>273</v>
      </c>
      <c r="G22" s="135"/>
      <c r="H22" s="136" t="s">
        <v>231</v>
      </c>
      <c r="I22" s="137"/>
      <c r="J22" s="137"/>
      <c r="K22" s="137"/>
      <c r="L22" s="172"/>
      <c r="M22" s="242"/>
      <c r="N22" s="242"/>
      <c r="O22" s="250"/>
    </row>
    <row r="23" spans="1:15" ht="20.100000000000001" customHeight="1">
      <c r="A23" s="2092"/>
      <c r="B23" s="1996"/>
      <c r="C23" s="2105"/>
      <c r="D23" s="215"/>
      <c r="E23" s="917" t="s">
        <v>439</v>
      </c>
      <c r="F23" s="134" t="s">
        <v>273</v>
      </c>
      <c r="G23" s="135"/>
      <c r="H23" s="136" t="s">
        <v>232</v>
      </c>
      <c r="I23" s="218"/>
      <c r="J23" s="218"/>
      <c r="K23" s="218"/>
      <c r="L23" s="219"/>
      <c r="M23" s="243"/>
      <c r="N23" s="243"/>
      <c r="O23" s="250"/>
    </row>
    <row r="24" spans="1:15" ht="20.100000000000001" customHeight="1">
      <c r="A24" s="2092"/>
      <c r="B24" s="1996"/>
      <c r="C24" s="2105"/>
      <c r="D24" s="215"/>
      <c r="E24" s="917" t="s">
        <v>440</v>
      </c>
      <c r="F24" s="134" t="s">
        <v>432</v>
      </c>
      <c r="G24" s="135"/>
      <c r="H24" s="136"/>
      <c r="I24" s="218"/>
      <c r="J24" s="218"/>
      <c r="K24" s="218"/>
      <c r="L24" s="219"/>
      <c r="M24" s="243"/>
      <c r="N24" s="243"/>
      <c r="O24" s="250"/>
    </row>
    <row r="25" spans="1:15" ht="20.100000000000001" customHeight="1">
      <c r="A25" s="2092"/>
      <c r="B25" s="1996"/>
      <c r="C25" s="2105"/>
      <c r="D25" s="215"/>
      <c r="E25" s="917" t="s">
        <v>441</v>
      </c>
      <c r="F25" s="134" t="s">
        <v>442</v>
      </c>
      <c r="G25" s="135"/>
      <c r="H25" s="136"/>
      <c r="I25" s="218"/>
      <c r="J25" s="218"/>
      <c r="K25" s="218"/>
      <c r="L25" s="219"/>
      <c r="M25" s="243"/>
      <c r="N25" s="243"/>
      <c r="O25" s="250"/>
    </row>
    <row r="26" spans="1:15" ht="20.100000000000001" customHeight="1">
      <c r="A26" s="2092"/>
      <c r="B26" s="1997"/>
      <c r="C26" s="2074"/>
      <c r="D26" s="141"/>
      <c r="E26" s="918" t="s">
        <v>443</v>
      </c>
      <c r="F26" s="143" t="s">
        <v>444</v>
      </c>
      <c r="G26" s="144"/>
      <c r="H26" s="145"/>
      <c r="I26" s="174"/>
      <c r="J26" s="174"/>
      <c r="K26" s="174"/>
      <c r="L26" s="175"/>
      <c r="M26" s="241"/>
      <c r="N26" s="241"/>
      <c r="O26" s="109"/>
    </row>
    <row r="27" spans="1:15" ht="20.100000000000001" customHeight="1">
      <c r="A27" s="2092" t="s">
        <v>1232</v>
      </c>
      <c r="B27" s="2059" t="s">
        <v>1259</v>
      </c>
      <c r="C27" s="2049"/>
      <c r="D27" s="189"/>
      <c r="E27" s="909" t="s">
        <v>445</v>
      </c>
      <c r="F27" s="126" t="s">
        <v>446</v>
      </c>
      <c r="G27" s="127"/>
      <c r="H27" s="128"/>
      <c r="I27" s="112"/>
      <c r="J27" s="990"/>
      <c r="K27" s="990"/>
      <c r="L27" s="244"/>
      <c r="M27" s="245"/>
      <c r="N27" s="907"/>
      <c r="O27" s="2095"/>
    </row>
    <row r="28" spans="1:15" ht="20.100000000000001" customHeight="1">
      <c r="A28" s="2092"/>
      <c r="B28" s="2060"/>
      <c r="C28" s="2061"/>
      <c r="D28" s="223"/>
      <c r="E28" s="919" t="s">
        <v>447</v>
      </c>
      <c r="F28" s="143" t="s">
        <v>448</v>
      </c>
      <c r="G28" s="144"/>
      <c r="H28" s="145"/>
      <c r="I28" s="234"/>
      <c r="J28" s="234"/>
      <c r="K28" s="234"/>
      <c r="L28" s="246"/>
      <c r="M28" s="247"/>
      <c r="N28" s="247"/>
      <c r="O28" s="2096"/>
    </row>
    <row r="29" spans="1:15" ht="26.25" customHeight="1">
      <c r="A29" s="22"/>
      <c r="B29" s="8"/>
      <c r="C29" s="7"/>
      <c r="D29" s="8"/>
      <c r="E29" s="9"/>
      <c r="F29" s="9"/>
      <c r="G29" s="9"/>
      <c r="H29" s="7"/>
      <c r="I29" s="7"/>
      <c r="J29" s="7"/>
      <c r="K29" s="7"/>
      <c r="L29" s="7"/>
      <c r="M29" s="7"/>
      <c r="N29" s="7"/>
    </row>
    <row r="30" spans="1:15" ht="26.25" customHeight="1">
      <c r="A30" s="22"/>
      <c r="B30" s="8"/>
      <c r="C30" s="7"/>
      <c r="D30" s="8"/>
      <c r="E30" s="9"/>
      <c r="F30" s="9"/>
      <c r="G30" s="9"/>
      <c r="H30" s="7"/>
      <c r="I30" s="7"/>
      <c r="J30" s="7"/>
      <c r="K30" s="7"/>
      <c r="L30" s="7"/>
      <c r="M30" s="7"/>
      <c r="N30" s="7"/>
    </row>
    <row r="31" spans="1:15" ht="26.25" customHeight="1">
      <c r="A31" s="22"/>
      <c r="B31" s="8"/>
      <c r="C31" s="7"/>
      <c r="D31" s="8"/>
      <c r="E31" s="9"/>
      <c r="F31" s="9"/>
      <c r="G31" s="9"/>
      <c r="H31" s="7"/>
      <c r="I31" s="7"/>
      <c r="J31" s="7"/>
      <c r="K31" s="7"/>
      <c r="L31" s="7"/>
      <c r="M31" s="7"/>
      <c r="N31" s="7"/>
    </row>
    <row r="32" spans="1:15" ht="24.75" customHeight="1">
      <c r="A32" s="22"/>
      <c r="B32" s="8"/>
      <c r="C32" s="7"/>
      <c r="D32" s="8"/>
      <c r="E32" s="9"/>
      <c r="F32" s="9"/>
      <c r="G32" s="9"/>
      <c r="H32" s="7"/>
      <c r="I32" s="7"/>
      <c r="J32" s="7"/>
      <c r="K32" s="7"/>
      <c r="L32" s="7"/>
      <c r="M32" s="7"/>
      <c r="N32" s="7"/>
    </row>
    <row r="33" spans="1:15" ht="19.5" customHeight="1">
      <c r="A33" s="21"/>
      <c r="B33" s="8"/>
      <c r="C33" s="22"/>
      <c r="D33" s="7"/>
      <c r="E33" s="7"/>
      <c r="F33" s="8"/>
      <c r="G33" s="9"/>
      <c r="H33" s="9"/>
      <c r="I33" s="9"/>
      <c r="J33" s="9"/>
      <c r="K33" s="7"/>
      <c r="L33" s="7"/>
      <c r="M33" s="7"/>
      <c r="N33" s="7"/>
      <c r="O33" s="7"/>
    </row>
    <row r="34" spans="1:15" ht="19.5" customHeight="1">
      <c r="A34" s="21"/>
      <c r="B34" s="8"/>
      <c r="C34" s="22"/>
      <c r="D34" s="7"/>
      <c r="E34" s="7"/>
      <c r="F34" s="8"/>
      <c r="G34" s="9"/>
      <c r="H34" s="9"/>
      <c r="I34" s="9"/>
      <c r="J34" s="9"/>
      <c r="K34" s="7"/>
      <c r="L34" s="7"/>
      <c r="M34" s="7"/>
      <c r="N34" s="7"/>
      <c r="O34" s="7"/>
    </row>
    <row r="35" spans="1:15" ht="19.5" customHeight="1">
      <c r="A35" s="21"/>
      <c r="B35" s="8"/>
      <c r="C35" s="22"/>
      <c r="D35" s="7"/>
      <c r="E35" s="7"/>
      <c r="F35" s="8"/>
      <c r="G35" s="9"/>
      <c r="H35" s="9"/>
      <c r="I35" s="9"/>
      <c r="J35" s="9"/>
      <c r="K35" s="7"/>
      <c r="L35" s="7"/>
      <c r="M35" s="7"/>
      <c r="N35" s="7"/>
      <c r="O35" s="7"/>
    </row>
    <row r="36" spans="1:15" ht="19.5" customHeight="1">
      <c r="A36" s="21"/>
      <c r="B36" s="8"/>
      <c r="C36" s="22"/>
      <c r="D36" s="7"/>
      <c r="E36" s="7"/>
      <c r="F36" s="8"/>
      <c r="G36" s="9"/>
      <c r="H36" s="9"/>
      <c r="I36" s="9"/>
      <c r="J36" s="9"/>
      <c r="K36" s="7"/>
      <c r="L36" s="7"/>
      <c r="M36" s="7"/>
      <c r="N36" s="7"/>
      <c r="O36" s="7"/>
    </row>
    <row r="37" spans="1:15" ht="19.5" customHeight="1">
      <c r="A37" s="21"/>
      <c r="B37" s="8"/>
      <c r="C37" s="22"/>
      <c r="D37" s="7"/>
      <c r="E37" s="7"/>
      <c r="F37" s="8"/>
      <c r="G37" s="9"/>
      <c r="H37" s="9"/>
      <c r="I37" s="9"/>
      <c r="J37" s="9"/>
      <c r="K37" s="7"/>
      <c r="L37" s="7"/>
      <c r="M37" s="7"/>
      <c r="N37" s="7"/>
      <c r="O37" s="7"/>
    </row>
    <row r="38" spans="1:15" ht="19.5" customHeight="1">
      <c r="A38" s="21"/>
      <c r="B38" s="8"/>
      <c r="C38" s="22"/>
      <c r="D38" s="7"/>
      <c r="E38" s="7"/>
      <c r="F38" s="8"/>
      <c r="G38" s="9"/>
      <c r="H38" s="9"/>
      <c r="I38" s="9"/>
      <c r="J38" s="9"/>
      <c r="K38" s="7"/>
      <c r="L38" s="7"/>
      <c r="M38" s="7"/>
      <c r="N38" s="7"/>
      <c r="O38" s="7"/>
    </row>
    <row r="39" spans="1:15" ht="19.5" customHeight="1">
      <c r="A39" s="21"/>
      <c r="B39" s="8"/>
      <c r="C39" s="22"/>
      <c r="D39" s="7"/>
      <c r="E39" s="7"/>
      <c r="F39" s="8"/>
      <c r="G39" s="9"/>
      <c r="H39" s="9"/>
      <c r="I39" s="9"/>
      <c r="J39" s="9"/>
      <c r="K39" s="7"/>
      <c r="L39" s="7"/>
      <c r="M39" s="7"/>
      <c r="N39" s="7"/>
      <c r="O39" s="7"/>
    </row>
    <row r="40" spans="1:15" ht="19.5" customHeight="1">
      <c r="A40" s="21"/>
      <c r="B40" s="8"/>
      <c r="C40" s="22"/>
      <c r="D40" s="7"/>
      <c r="E40" s="7"/>
      <c r="F40" s="8"/>
      <c r="G40" s="9"/>
      <c r="H40" s="9"/>
      <c r="I40" s="9"/>
      <c r="J40" s="9"/>
      <c r="K40" s="7"/>
      <c r="L40" s="7"/>
      <c r="M40" s="7"/>
      <c r="N40" s="7"/>
      <c r="O40" s="7"/>
    </row>
  </sheetData>
  <mergeCells count="32">
    <mergeCell ref="O7:O8"/>
    <mergeCell ref="O9:O10"/>
    <mergeCell ref="O27:O28"/>
    <mergeCell ref="A1:O1"/>
    <mergeCell ref="C12:C15"/>
    <mergeCell ref="B27:C28"/>
    <mergeCell ref="C16:C18"/>
    <mergeCell ref="C19:C26"/>
    <mergeCell ref="B7:B8"/>
    <mergeCell ref="C7:C8"/>
    <mergeCell ref="C9:C11"/>
    <mergeCell ref="B9:B11"/>
    <mergeCell ref="B12:B15"/>
    <mergeCell ref="B16:B26"/>
    <mergeCell ref="A2:A3"/>
    <mergeCell ref="B2:E3"/>
    <mergeCell ref="H2:L2"/>
    <mergeCell ref="H3:L3"/>
    <mergeCell ref="H4:L4"/>
    <mergeCell ref="H5:L5"/>
    <mergeCell ref="A27:A28"/>
    <mergeCell ref="A4:A5"/>
    <mergeCell ref="B4:E5"/>
    <mergeCell ref="F2:G2"/>
    <mergeCell ref="F3:G3"/>
    <mergeCell ref="F4:G4"/>
    <mergeCell ref="F5:G5"/>
    <mergeCell ref="A7:A8"/>
    <mergeCell ref="A9:A11"/>
    <mergeCell ref="A12:A15"/>
    <mergeCell ref="A16:A26"/>
    <mergeCell ref="F6:H6"/>
  </mergeCells>
  <phoneticPr fontId="14"/>
  <hyperlinks>
    <hyperlink ref="A1:O1" location="TEMPLATE!A1" display="RECIPROCATE BEARING BODY"/>
  </hyperlinks>
  <pageMargins left="0.70866141732283472" right="0.70866141732283472" top="0.74803149606299213" bottom="0.74803149606299213" header="0.31496062992125984" footer="0.31496062992125984"/>
  <pageSetup paperSize="9" scale="74"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FFFF00"/>
  </sheetPr>
  <dimension ref="A1:P18"/>
  <sheetViews>
    <sheetView showGridLines="0" view="pageBreakPreview" zoomScaleNormal="100" zoomScaleSheetLayoutView="100" workbookViewId="0"/>
  </sheetViews>
  <sheetFormatPr defaultColWidth="9" defaultRowHeight="13.2"/>
  <cols>
    <col min="1" max="1" width="10.5" style="6" bestFit="1" customWidth="1"/>
    <col min="2" max="2" width="10.5" style="6" customWidth="1"/>
    <col min="3" max="3" width="23.09765625" style="6" bestFit="1" customWidth="1"/>
    <col min="4" max="4" width="5.59765625" style="6" customWidth="1"/>
    <col min="5" max="5" width="22.19921875" style="1082" bestFit="1" customWidth="1"/>
    <col min="6" max="6" width="13.19921875" style="6" customWidth="1"/>
    <col min="7" max="7" width="11.8984375" style="6" customWidth="1"/>
    <col min="8" max="12" width="5.59765625" style="6" customWidth="1"/>
    <col min="13" max="13" width="23.69921875" style="6" customWidth="1"/>
    <col min="14" max="14" width="48.8984375" style="6" customWidth="1"/>
    <col min="15" max="15" width="7.09765625" style="6" customWidth="1"/>
    <col min="16" max="16" width="6.5" style="85" bestFit="1" customWidth="1"/>
    <col min="17" max="16384" width="9" style="6"/>
  </cols>
  <sheetData>
    <row r="1" spans="1:16">
      <c r="A1" s="835" t="s">
        <v>1057</v>
      </c>
      <c r="B1" s="835"/>
      <c r="C1" s="835"/>
      <c r="D1" s="835"/>
      <c r="E1" s="1135"/>
      <c r="F1" s="835"/>
      <c r="G1" s="835"/>
      <c r="H1" s="835"/>
      <c r="I1" s="835"/>
      <c r="J1" s="835"/>
      <c r="K1" s="835"/>
      <c r="L1" s="835"/>
      <c r="M1" s="835"/>
      <c r="N1" s="835"/>
      <c r="O1" s="835"/>
      <c r="P1" s="6"/>
    </row>
    <row r="2" spans="1:16" ht="30" customHeight="1">
      <c r="A2" s="2013" t="s">
        <v>5</v>
      </c>
      <c r="B2" s="1993"/>
      <c r="C2" s="1993"/>
      <c r="D2" s="1993"/>
      <c r="E2" s="1993"/>
      <c r="F2" s="2006" t="s">
        <v>1391</v>
      </c>
      <c r="G2" s="2006"/>
      <c r="H2" s="2009"/>
      <c r="I2" s="2009"/>
      <c r="J2" s="2009"/>
      <c r="K2" s="2009"/>
      <c r="L2" s="2009"/>
      <c r="M2" s="904" t="s">
        <v>1187</v>
      </c>
      <c r="N2" s="838" t="s">
        <v>1393</v>
      </c>
      <c r="O2" s="1356"/>
      <c r="P2" s="6"/>
    </row>
    <row r="3" spans="1:16" ht="30" customHeight="1">
      <c r="A3" s="2014"/>
      <c r="B3" s="1993"/>
      <c r="C3" s="1993"/>
      <c r="D3" s="1993"/>
      <c r="E3" s="1993"/>
      <c r="F3" s="2006" t="s">
        <v>1371</v>
      </c>
      <c r="G3" s="2006"/>
      <c r="H3" s="2009"/>
      <c r="I3" s="2009"/>
      <c r="J3" s="2009"/>
      <c r="K3" s="2009"/>
      <c r="L3" s="2009"/>
      <c r="M3" s="35"/>
      <c r="N3" s="7"/>
      <c r="O3" s="839"/>
      <c r="P3" s="6"/>
    </row>
    <row r="4" spans="1:16" ht="30" customHeight="1">
      <c r="A4" s="2013" t="s">
        <v>38</v>
      </c>
      <c r="B4" s="1993"/>
      <c r="C4" s="1993"/>
      <c r="D4" s="1993"/>
      <c r="E4" s="1993"/>
      <c r="F4" s="2007" t="s">
        <v>1392</v>
      </c>
      <c r="G4" s="2007"/>
      <c r="H4" s="2009"/>
      <c r="I4" s="2009"/>
      <c r="J4" s="2009"/>
      <c r="K4" s="2009"/>
      <c r="L4" s="2009"/>
      <c r="M4" s="35"/>
      <c r="N4" s="7"/>
      <c r="O4" s="839"/>
      <c r="P4" s="6"/>
    </row>
    <row r="5" spans="1:16" ht="30" customHeight="1">
      <c r="A5" s="2014"/>
      <c r="B5" s="1993"/>
      <c r="C5" s="1993"/>
      <c r="D5" s="1993"/>
      <c r="E5" s="1993"/>
      <c r="F5" s="2008" t="s">
        <v>1372</v>
      </c>
      <c r="G5" s="2008"/>
      <c r="H5" s="2009"/>
      <c r="I5" s="2009"/>
      <c r="J5" s="2009"/>
      <c r="K5" s="2009"/>
      <c r="L5" s="2009"/>
      <c r="M5" s="35"/>
      <c r="N5" s="7"/>
      <c r="O5" s="839"/>
      <c r="P5" s="6"/>
    </row>
    <row r="6" spans="1:16" ht="60" customHeight="1">
      <c r="A6" s="908" t="s">
        <v>1227</v>
      </c>
      <c r="B6" s="2004" t="s">
        <v>6</v>
      </c>
      <c r="C6" s="2005"/>
      <c r="D6" s="1323" t="s">
        <v>1407</v>
      </c>
      <c r="E6" s="82" t="s">
        <v>64</v>
      </c>
      <c r="F6" s="2001" t="s">
        <v>1</v>
      </c>
      <c r="G6" s="2002"/>
      <c r="H6" s="2003"/>
      <c r="I6" s="1038" t="s">
        <v>66</v>
      </c>
      <c r="J6" s="1038" t="s">
        <v>1376</v>
      </c>
      <c r="K6" s="1372" t="s">
        <v>1377</v>
      </c>
      <c r="L6" s="1372" t="s">
        <v>1375</v>
      </c>
      <c r="M6" s="1069" t="s">
        <v>1378</v>
      </c>
      <c r="N6" s="1069" t="s">
        <v>1387</v>
      </c>
      <c r="O6" s="1322" t="s">
        <v>1379</v>
      </c>
      <c r="P6" s="6"/>
    </row>
    <row r="7" spans="1:16" ht="39.9" customHeight="1">
      <c r="A7" s="874">
        <v>2511</v>
      </c>
      <c r="B7" s="2110" t="s">
        <v>97</v>
      </c>
      <c r="C7" s="2111"/>
      <c r="D7" s="1352"/>
      <c r="E7" s="1078" t="s">
        <v>98</v>
      </c>
      <c r="F7" s="1498" t="s">
        <v>92</v>
      </c>
      <c r="G7" s="1495"/>
      <c r="H7" s="1496"/>
      <c r="I7" s="251"/>
      <c r="J7" s="980"/>
      <c r="K7" s="980"/>
      <c r="L7" s="252"/>
      <c r="M7" s="251"/>
      <c r="N7" s="251" t="s">
        <v>1426</v>
      </c>
      <c r="O7" s="110"/>
      <c r="P7" s="6"/>
    </row>
    <row r="8" spans="1:16" ht="39.9" customHeight="1">
      <c r="A8" s="2107">
        <v>2561</v>
      </c>
      <c r="B8" s="2107" t="s">
        <v>455</v>
      </c>
      <c r="C8" s="2107"/>
      <c r="D8" s="1492"/>
      <c r="E8" s="2107" t="s">
        <v>456</v>
      </c>
      <c r="F8" s="319" t="s">
        <v>1424</v>
      </c>
      <c r="G8" s="330"/>
      <c r="H8" s="331"/>
      <c r="I8" s="1494"/>
      <c r="J8" s="279"/>
      <c r="K8" s="279"/>
      <c r="L8" s="279"/>
      <c r="M8" s="287"/>
      <c r="N8" s="2108" t="s">
        <v>1427</v>
      </c>
      <c r="O8" s="2018" t="s">
        <v>1428</v>
      </c>
      <c r="P8" s="37" t="s">
        <v>148</v>
      </c>
    </row>
    <row r="9" spans="1:16" ht="39.9" customHeight="1">
      <c r="A9" s="2107"/>
      <c r="B9" s="2107"/>
      <c r="C9" s="2107"/>
      <c r="D9" s="1492"/>
      <c r="E9" s="2107"/>
      <c r="F9" s="1501" t="s">
        <v>302</v>
      </c>
      <c r="G9" s="1499"/>
      <c r="H9" s="1500"/>
      <c r="I9" s="1497"/>
      <c r="J9" s="505"/>
      <c r="K9" s="505"/>
      <c r="L9" s="505"/>
      <c r="M9" s="1493"/>
      <c r="N9" s="2109"/>
      <c r="O9" s="2020"/>
      <c r="P9" s="37"/>
    </row>
    <row r="10" spans="1:16" ht="30" customHeight="1">
      <c r="A10" s="253"/>
      <c r="B10" s="253"/>
      <c r="C10" s="254"/>
      <c r="D10" s="254"/>
      <c r="E10" s="1217"/>
      <c r="F10" s="254"/>
      <c r="G10" s="254"/>
      <c r="H10" s="254"/>
      <c r="I10" s="254"/>
      <c r="J10" s="254"/>
      <c r="K10" s="254"/>
      <c r="L10" s="254"/>
      <c r="M10" s="254"/>
      <c r="N10" s="85"/>
      <c r="P10" s="6"/>
    </row>
    <row r="11" spans="1:16" ht="30" customHeight="1">
      <c r="A11" s="6" t="s">
        <v>1425</v>
      </c>
      <c r="N11" s="85"/>
      <c r="P11" s="6"/>
    </row>
    <row r="12" spans="1:16" ht="30" customHeight="1">
      <c r="N12" s="85"/>
      <c r="P12" s="6"/>
    </row>
    <row r="13" spans="1:16" ht="30" customHeight="1">
      <c r="N13" s="85"/>
      <c r="P13" s="6"/>
    </row>
    <row r="14" spans="1:16">
      <c r="A14" s="12"/>
      <c r="B14" s="12"/>
      <c r="C14" s="12"/>
    </row>
    <row r="15" spans="1:16">
      <c r="A15" s="12"/>
      <c r="B15" s="12"/>
      <c r="C15" s="12"/>
    </row>
    <row r="18" ht="14.25" customHeight="1"/>
  </sheetData>
  <mergeCells count="20">
    <mergeCell ref="N8:N9"/>
    <mergeCell ref="O8:O9"/>
    <mergeCell ref="B6:C6"/>
    <mergeCell ref="F6:H6"/>
    <mergeCell ref="B7:C7"/>
    <mergeCell ref="A8:A9"/>
    <mergeCell ref="B8:C9"/>
    <mergeCell ref="E8:E9"/>
    <mergeCell ref="F3:G3"/>
    <mergeCell ref="H3:L3"/>
    <mergeCell ref="B4:E5"/>
    <mergeCell ref="F4:G4"/>
    <mergeCell ref="H4:L4"/>
    <mergeCell ref="F5:G5"/>
    <mergeCell ref="H5:L5"/>
    <mergeCell ref="A2:A3"/>
    <mergeCell ref="A4:A5"/>
    <mergeCell ref="F2:G2"/>
    <mergeCell ref="H2:L2"/>
    <mergeCell ref="B2:E3"/>
  </mergeCells>
  <phoneticPr fontId="2"/>
  <hyperlinks>
    <hyperlink ref="A1:O1" location="TEMPLATE!A1" display="RACE (NOT REQUIRED GRINDING)"/>
  </hyperlinks>
  <pageMargins left="0.70866141732283472" right="0.70866141732283472" top="0.74803149606299213" bottom="0.74803149606299213" header="0.31496062992125984" footer="0.31496062992125984"/>
  <pageSetup paperSize="9" scale="64" orientation="landscape" r:id="rId1"/>
  <rowBreaks count="1" manualBreakCount="1">
    <brk id="17" max="14" man="1"/>
  </rowBreaks>
  <colBreaks count="1" manualBreakCount="1">
    <brk id="15" max="8"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FF00"/>
    <pageSetUpPr fitToPage="1"/>
  </sheetPr>
  <dimension ref="A1:Q35"/>
  <sheetViews>
    <sheetView showGridLines="0" view="pageBreakPreview" zoomScaleNormal="100" zoomScaleSheetLayoutView="100" workbookViewId="0"/>
  </sheetViews>
  <sheetFormatPr defaultRowHeight="13.8"/>
  <cols>
    <col min="1" max="1" width="10.3984375" customWidth="1"/>
    <col min="2" max="2" width="17.69921875" customWidth="1"/>
    <col min="3" max="3" width="21.3984375" bestFit="1" customWidth="1"/>
    <col min="4" max="4" width="5.59765625" customWidth="1"/>
    <col min="5" max="5" width="23.8984375" bestFit="1" customWidth="1"/>
    <col min="6" max="7" width="15.19921875" customWidth="1"/>
    <col min="8" max="12" width="5.59765625" customWidth="1"/>
    <col min="13" max="13" width="11" bestFit="1" customWidth="1"/>
    <col min="14" max="14" width="52.69921875" bestFit="1" customWidth="1"/>
    <col min="15" max="15" width="7.5" style="1009" customWidth="1"/>
    <col min="16" max="16" width="11.09765625" customWidth="1"/>
  </cols>
  <sheetData>
    <row r="1" spans="1:17">
      <c r="A1" s="835" t="s">
        <v>1261</v>
      </c>
      <c r="B1" s="835"/>
      <c r="C1" s="835"/>
      <c r="D1" s="835"/>
      <c r="E1" s="835"/>
      <c r="F1" s="835"/>
      <c r="G1" s="835"/>
      <c r="H1" s="835"/>
      <c r="I1" s="835"/>
      <c r="J1" s="835"/>
      <c r="K1" s="835"/>
      <c r="L1" s="835"/>
      <c r="M1" s="835"/>
      <c r="N1" s="835"/>
      <c r="O1" s="1406"/>
    </row>
    <row r="2" spans="1:17" ht="30" customHeight="1">
      <c r="A2" s="2013" t="s">
        <v>5</v>
      </c>
      <c r="B2" s="1993"/>
      <c r="C2" s="1993"/>
      <c r="D2" s="1993"/>
      <c r="E2" s="1993"/>
      <c r="F2" s="2006" t="s">
        <v>1391</v>
      </c>
      <c r="G2" s="2006"/>
      <c r="H2" s="2009"/>
      <c r="I2" s="2009"/>
      <c r="J2" s="2009"/>
      <c r="K2" s="2009"/>
      <c r="L2" s="2009"/>
      <c r="M2" s="904" t="s">
        <v>1187</v>
      </c>
      <c r="N2" s="838" t="s">
        <v>1393</v>
      </c>
      <c r="O2" s="1405"/>
    </row>
    <row r="3" spans="1:17" ht="30" customHeight="1">
      <c r="A3" s="2014"/>
      <c r="B3" s="1993"/>
      <c r="C3" s="1993"/>
      <c r="D3" s="1993"/>
      <c r="E3" s="1993"/>
      <c r="F3" s="2006" t="s">
        <v>1371</v>
      </c>
      <c r="G3" s="2006"/>
      <c r="H3" s="2009"/>
      <c r="I3" s="2009"/>
      <c r="J3" s="2009"/>
      <c r="K3" s="2009"/>
      <c r="L3" s="2009"/>
      <c r="M3" s="35"/>
      <c r="N3" s="7"/>
      <c r="O3" s="839"/>
    </row>
    <row r="4" spans="1:17" ht="30" customHeight="1">
      <c r="A4" s="2013" t="s">
        <v>38</v>
      </c>
      <c r="B4" s="1993"/>
      <c r="C4" s="1993"/>
      <c r="D4" s="1993"/>
      <c r="E4" s="1993"/>
      <c r="F4" s="2007" t="s">
        <v>1392</v>
      </c>
      <c r="G4" s="2007"/>
      <c r="H4" s="2009"/>
      <c r="I4" s="2009"/>
      <c r="J4" s="2009"/>
      <c r="K4" s="2009"/>
      <c r="L4" s="2009"/>
      <c r="M4" s="35"/>
      <c r="N4" s="7"/>
      <c r="O4" s="839"/>
    </row>
    <row r="5" spans="1:17" ht="30" customHeight="1">
      <c r="A5" s="2014"/>
      <c r="B5" s="1993"/>
      <c r="C5" s="1993"/>
      <c r="D5" s="1993"/>
      <c r="E5" s="1993"/>
      <c r="F5" s="2008" t="s">
        <v>1372</v>
      </c>
      <c r="G5" s="2008"/>
      <c r="H5" s="2009"/>
      <c r="I5" s="2009"/>
      <c r="J5" s="2009"/>
      <c r="K5" s="2009"/>
      <c r="L5" s="2009"/>
      <c r="M5" s="35"/>
      <c r="N5" s="7"/>
      <c r="O5" s="839"/>
    </row>
    <row r="6" spans="1:17" ht="60" customHeight="1">
      <c r="A6" s="908" t="s">
        <v>1227</v>
      </c>
      <c r="B6" s="2004" t="s">
        <v>6</v>
      </c>
      <c r="C6" s="2005"/>
      <c r="D6" s="1323" t="s">
        <v>1407</v>
      </c>
      <c r="E6" s="82" t="s">
        <v>64</v>
      </c>
      <c r="F6" s="2001" t="s">
        <v>1</v>
      </c>
      <c r="G6" s="2002"/>
      <c r="H6" s="2003"/>
      <c r="I6" s="1038" t="s">
        <v>66</v>
      </c>
      <c r="J6" s="1038" t="s">
        <v>1376</v>
      </c>
      <c r="K6" s="1372" t="s">
        <v>1377</v>
      </c>
      <c r="L6" s="1372" t="s">
        <v>1375</v>
      </c>
      <c r="M6" s="1069" t="s">
        <v>1378</v>
      </c>
      <c r="N6" s="1069" t="s">
        <v>1387</v>
      </c>
      <c r="O6" s="1322" t="s">
        <v>1379</v>
      </c>
    </row>
    <row r="7" spans="1:17" ht="24.6" customHeight="1">
      <c r="A7" s="2138" t="s">
        <v>1260</v>
      </c>
      <c r="B7" s="2145" t="s">
        <v>460</v>
      </c>
      <c r="C7" s="2146"/>
      <c r="D7" s="148"/>
      <c r="E7" s="148" t="s">
        <v>461</v>
      </c>
      <c r="F7" s="312" t="s">
        <v>462</v>
      </c>
      <c r="G7" s="313"/>
      <c r="H7" s="313"/>
      <c r="I7" s="148"/>
      <c r="J7" s="148"/>
      <c r="K7" s="148"/>
      <c r="L7" s="148"/>
      <c r="M7" s="103"/>
      <c r="N7" s="103" t="s">
        <v>165</v>
      </c>
      <c r="O7" s="2127" t="s">
        <v>1262</v>
      </c>
      <c r="P7" s="1523" t="s">
        <v>166</v>
      </c>
    </row>
    <row r="8" spans="1:17" ht="24.6" customHeight="1">
      <c r="A8" s="2138"/>
      <c r="B8" s="2147"/>
      <c r="C8" s="2148"/>
      <c r="D8" s="142"/>
      <c r="E8" s="142" t="s">
        <v>461</v>
      </c>
      <c r="F8" s="314" t="s">
        <v>462</v>
      </c>
      <c r="G8" s="315"/>
      <c r="H8" s="315"/>
      <c r="I8" s="142"/>
      <c r="J8" s="142"/>
      <c r="K8" s="142"/>
      <c r="L8" s="142"/>
      <c r="M8" s="83"/>
      <c r="N8" s="83" t="s">
        <v>165</v>
      </c>
      <c r="O8" s="2128"/>
      <c r="P8" s="1379" t="s">
        <v>1429</v>
      </c>
      <c r="Q8" s="301" t="s">
        <v>182</v>
      </c>
    </row>
    <row r="9" spans="1:17" ht="27.6">
      <c r="A9" s="2139">
        <v>1021</v>
      </c>
      <c r="B9" s="2154" t="s">
        <v>458</v>
      </c>
      <c r="C9" s="1542" t="s">
        <v>1430</v>
      </c>
      <c r="D9" s="1047"/>
      <c r="E9" s="1047"/>
      <c r="F9" s="2112"/>
      <c r="G9" s="2113"/>
      <c r="H9" s="2113"/>
      <c r="I9" s="1047"/>
      <c r="J9" s="1047"/>
      <c r="K9" s="1047"/>
      <c r="L9" s="1047"/>
      <c r="M9" s="1524"/>
      <c r="N9" s="1525" t="s">
        <v>1432</v>
      </c>
      <c r="O9" s="1376"/>
    </row>
    <row r="10" spans="1:17" ht="24.6" customHeight="1">
      <c r="A10" s="2140"/>
      <c r="B10" s="2155"/>
      <c r="C10" s="2157" t="s">
        <v>464</v>
      </c>
      <c r="D10" s="262"/>
      <c r="E10" s="262" t="s">
        <v>465</v>
      </c>
      <c r="F10" s="263" t="s">
        <v>466</v>
      </c>
      <c r="G10" s="316"/>
      <c r="H10" s="316"/>
      <c r="I10" s="264"/>
      <c r="J10" s="265"/>
      <c r="K10" s="265"/>
      <c r="L10" s="265"/>
      <c r="M10" s="10"/>
      <c r="N10" s="2159" t="s">
        <v>1431</v>
      </c>
      <c r="O10" s="298" t="str">
        <f t="shared" ref="O10:O13" si="0">HYPERLINK(VLOOKUP(F10,LINK,2,FALSE),VLOOKUP(F10,LINK,3,FALSE))</f>
        <v>EXCEL</v>
      </c>
    </row>
    <row r="11" spans="1:17" ht="24.6" customHeight="1">
      <c r="A11" s="2140"/>
      <c r="B11" s="2155"/>
      <c r="C11" s="2158"/>
      <c r="D11" s="268"/>
      <c r="E11" s="268" t="s">
        <v>470</v>
      </c>
      <c r="F11" s="269" t="s">
        <v>471</v>
      </c>
      <c r="G11" s="317"/>
      <c r="H11" s="317"/>
      <c r="I11" s="270"/>
      <c r="J11" s="271"/>
      <c r="K11" s="271"/>
      <c r="L11" s="271"/>
      <c r="M11" s="11"/>
      <c r="N11" s="2160"/>
      <c r="O11" s="299" t="str">
        <f t="shared" si="0"/>
        <v>EXCEL</v>
      </c>
    </row>
    <row r="12" spans="1:17" ht="24.6" customHeight="1">
      <c r="A12" s="2141"/>
      <c r="B12" s="2156"/>
      <c r="C12" s="272" t="s">
        <v>472</v>
      </c>
      <c r="D12" s="272"/>
      <c r="E12" s="272" t="s">
        <v>465</v>
      </c>
      <c r="F12" s="273" t="s">
        <v>473</v>
      </c>
      <c r="G12" s="318"/>
      <c r="H12" s="318"/>
      <c r="I12" s="274"/>
      <c r="J12" s="275"/>
      <c r="K12" s="275"/>
      <c r="L12" s="275"/>
      <c r="M12" s="28"/>
      <c r="N12" s="2161"/>
      <c r="O12" s="1377" t="str">
        <f t="shared" si="0"/>
        <v>EXCEL</v>
      </c>
    </row>
    <row r="13" spans="1:17" ht="24.6" customHeight="1">
      <c r="A13" s="2139">
        <v>1011</v>
      </c>
      <c r="B13" s="1996" t="s">
        <v>1441</v>
      </c>
      <c r="C13" s="2162" t="s">
        <v>1134</v>
      </c>
      <c r="D13" s="262"/>
      <c r="E13" s="262" t="s">
        <v>56</v>
      </c>
      <c r="F13" s="263" t="s">
        <v>162</v>
      </c>
      <c r="G13" s="316"/>
      <c r="H13" s="316"/>
      <c r="I13" s="264"/>
      <c r="J13" s="277"/>
      <c r="K13" s="277"/>
      <c r="L13" s="277"/>
      <c r="M13" s="15"/>
      <c r="N13" s="101"/>
      <c r="O13" s="2127" t="str">
        <f t="shared" si="0"/>
        <v>EXCEL</v>
      </c>
    </row>
    <row r="14" spans="1:17" ht="24.6" customHeight="1">
      <c r="A14" s="2141"/>
      <c r="B14" s="2117"/>
      <c r="C14" s="2163"/>
      <c r="D14" s="268"/>
      <c r="E14" s="268" t="s">
        <v>57</v>
      </c>
      <c r="F14" s="269" t="s">
        <v>163</v>
      </c>
      <c r="G14" s="317"/>
      <c r="H14" s="317"/>
      <c r="I14" s="270"/>
      <c r="J14" s="271"/>
      <c r="K14" s="271"/>
      <c r="L14" s="271"/>
      <c r="M14" s="11"/>
      <c r="N14" s="102"/>
      <c r="O14" s="2128"/>
      <c r="P14" t="s">
        <v>1120</v>
      </c>
    </row>
    <row r="15" spans="1:17" ht="24.6" customHeight="1">
      <c r="A15" s="2134">
        <v>1061</v>
      </c>
      <c r="B15" s="2116" t="s">
        <v>77</v>
      </c>
      <c r="C15" s="2055" t="s">
        <v>652</v>
      </c>
      <c r="D15" s="188"/>
      <c r="E15" s="303" t="s">
        <v>72</v>
      </c>
      <c r="F15" s="342" t="s">
        <v>515</v>
      </c>
      <c r="G15" s="343"/>
      <c r="H15" s="343"/>
      <c r="I15" s="188"/>
      <c r="J15" s="188"/>
      <c r="K15" s="188"/>
      <c r="L15" s="188"/>
      <c r="M15" s="2114" t="s">
        <v>1433</v>
      </c>
      <c r="N15" s="2129" t="s">
        <v>1435</v>
      </c>
      <c r="O15" s="2149" t="str">
        <f>HYPERLINK(VLOOKUP(F15,LINK,2,FALSE),VLOOKUP(F15,LINK,3,FALSE))</f>
        <v>EXCEL</v>
      </c>
    </row>
    <row r="16" spans="1:17" ht="24.6" customHeight="1">
      <c r="A16" s="2134"/>
      <c r="B16" s="2135"/>
      <c r="C16" s="2055"/>
      <c r="D16" s="1402"/>
      <c r="E16" s="1404" t="s">
        <v>73</v>
      </c>
      <c r="F16" s="345" t="s">
        <v>517</v>
      </c>
      <c r="G16" s="346"/>
      <c r="H16" s="346"/>
      <c r="I16" s="1402"/>
      <c r="J16" s="1402"/>
      <c r="K16" s="1402"/>
      <c r="L16" s="1402"/>
      <c r="M16" s="2115"/>
      <c r="N16" s="2130"/>
      <c r="O16" s="2149"/>
    </row>
    <row r="17" spans="1:15" ht="24.6" customHeight="1">
      <c r="A17" s="2134"/>
      <c r="B17" s="2135"/>
      <c r="C17" s="2055"/>
      <c r="D17" s="1402"/>
      <c r="E17" s="1219" t="s">
        <v>518</v>
      </c>
      <c r="F17" s="2118" t="s">
        <v>82</v>
      </c>
      <c r="G17" s="2119"/>
      <c r="H17" s="2120"/>
      <c r="I17" s="1402"/>
      <c r="J17" s="228"/>
      <c r="K17" s="228"/>
      <c r="L17" s="1402"/>
      <c r="M17" s="307"/>
      <c r="N17" s="2130" t="s">
        <v>1436</v>
      </c>
      <c r="O17" s="2149"/>
    </row>
    <row r="18" spans="1:15" ht="24.6" customHeight="1">
      <c r="A18" s="2134"/>
      <c r="B18" s="2135"/>
      <c r="C18" s="2055"/>
      <c r="D18" s="1402"/>
      <c r="E18" s="1219" t="s">
        <v>79</v>
      </c>
      <c r="F18" s="2121" t="s">
        <v>80</v>
      </c>
      <c r="G18" s="2122"/>
      <c r="H18" s="2123"/>
      <c r="I18" s="1402"/>
      <c r="J18" s="228"/>
      <c r="K18" s="228"/>
      <c r="L18" s="1402"/>
      <c r="M18" s="1538"/>
      <c r="N18" s="2130"/>
      <c r="O18" s="2149"/>
    </row>
    <row r="19" spans="1:15" ht="24.6" customHeight="1">
      <c r="A19" s="2134"/>
      <c r="B19" s="2135"/>
      <c r="C19" s="2055"/>
      <c r="D19" s="1403"/>
      <c r="E19" s="1539" t="s">
        <v>75</v>
      </c>
      <c r="F19" s="2124" t="s">
        <v>1174</v>
      </c>
      <c r="G19" s="2125"/>
      <c r="H19" s="2126"/>
      <c r="I19" s="1403"/>
      <c r="J19" s="229"/>
      <c r="K19" s="229"/>
      <c r="L19" s="1403"/>
      <c r="M19" s="308"/>
      <c r="N19" s="2133"/>
      <c r="O19" s="2149"/>
    </row>
    <row r="20" spans="1:15" ht="24.6" customHeight="1">
      <c r="A20" s="2134"/>
      <c r="B20" s="2135"/>
      <c r="C20" s="2150" t="s">
        <v>589</v>
      </c>
      <c r="D20" s="188"/>
      <c r="E20" s="753" t="s">
        <v>590</v>
      </c>
      <c r="F20" s="423" t="s">
        <v>591</v>
      </c>
      <c r="G20" s="1362"/>
      <c r="H20" s="424"/>
      <c r="I20" s="188"/>
      <c r="J20" s="188"/>
      <c r="K20" s="188"/>
      <c r="L20" s="188"/>
      <c r="M20" s="2116" t="s">
        <v>1434</v>
      </c>
      <c r="N20" s="2131" t="s">
        <v>620</v>
      </c>
      <c r="O20" s="2018" t="str">
        <f>HYPERLINK(VLOOKUP(F20,LINK,2,FALSE),VLOOKUP(F20,LINK,3,FALSE))</f>
        <v>EXCEL</v>
      </c>
    </row>
    <row r="21" spans="1:15" ht="24.6" customHeight="1">
      <c r="A21" s="2134"/>
      <c r="B21" s="2117"/>
      <c r="C21" s="2151"/>
      <c r="D21" s="756"/>
      <c r="E21" s="754" t="s">
        <v>592</v>
      </c>
      <c r="F21" s="425" t="s">
        <v>593</v>
      </c>
      <c r="G21" s="1502"/>
      <c r="H21" s="426"/>
      <c r="I21" s="756"/>
      <c r="J21" s="756"/>
      <c r="K21" s="982"/>
      <c r="L21" s="756"/>
      <c r="M21" s="2117"/>
      <c r="N21" s="2132"/>
      <c r="O21" s="2020"/>
    </row>
    <row r="22" spans="1:15" ht="24.6" customHeight="1">
      <c r="A22" s="2134">
        <v>1181</v>
      </c>
      <c r="B22" s="2144" t="s">
        <v>1125</v>
      </c>
      <c r="C22" s="2055" t="s">
        <v>1135</v>
      </c>
      <c r="D22" s="188"/>
      <c r="E22" s="148" t="s">
        <v>433</v>
      </c>
      <c r="F22" s="1388" t="s">
        <v>434</v>
      </c>
      <c r="G22" s="1389"/>
      <c r="H22" s="1390"/>
      <c r="I22" s="188"/>
      <c r="J22" s="188"/>
      <c r="K22" s="188"/>
      <c r="L22" s="188"/>
      <c r="M22" s="188"/>
      <c r="N22" s="188"/>
      <c r="O22" s="2018" t="s">
        <v>1417</v>
      </c>
    </row>
    <row r="23" spans="1:15" ht="24.6" customHeight="1">
      <c r="A23" s="2134"/>
      <c r="B23" s="2144"/>
      <c r="C23" s="2055"/>
      <c r="D23" s="755"/>
      <c r="E23" s="133" t="s">
        <v>1116</v>
      </c>
      <c r="F23" s="1391" t="s">
        <v>372</v>
      </c>
      <c r="G23" s="1392"/>
      <c r="H23" s="1393"/>
      <c r="I23" s="1402"/>
      <c r="J23" s="1402"/>
      <c r="K23" s="1402"/>
      <c r="L23" s="1402"/>
      <c r="M23" s="1402"/>
      <c r="N23" s="1402"/>
      <c r="O23" s="2019"/>
    </row>
    <row r="24" spans="1:15" ht="24.6" customHeight="1">
      <c r="A24" s="2134"/>
      <c r="B24" s="2144"/>
      <c r="C24" s="2055"/>
      <c r="D24" s="755"/>
      <c r="E24" s="133" t="s">
        <v>404</v>
      </c>
      <c r="F24" s="1391" t="s">
        <v>405</v>
      </c>
      <c r="G24" s="1392"/>
      <c r="H24" s="1393"/>
      <c r="I24" s="1402"/>
      <c r="J24" s="1402"/>
      <c r="K24" s="1402"/>
      <c r="L24" s="1402"/>
      <c r="M24" s="1402"/>
      <c r="N24" s="1402"/>
      <c r="O24" s="2019"/>
    </row>
    <row r="25" spans="1:15" ht="24.6" customHeight="1">
      <c r="A25" s="2134"/>
      <c r="B25" s="2144"/>
      <c r="C25" s="2055"/>
      <c r="D25" s="755"/>
      <c r="E25" s="1537" t="s">
        <v>406</v>
      </c>
      <c r="F25" s="2118" t="s">
        <v>438</v>
      </c>
      <c r="G25" s="2119"/>
      <c r="H25" s="2120"/>
      <c r="I25" s="1045"/>
      <c r="J25" s="698"/>
      <c r="K25" s="698"/>
      <c r="L25" s="1045"/>
      <c r="M25" s="1045"/>
      <c r="N25" s="306" t="s">
        <v>1439</v>
      </c>
      <c r="O25" s="2019"/>
    </row>
    <row r="26" spans="1:15" ht="24.6" customHeight="1">
      <c r="A26" s="2134"/>
      <c r="B26" s="2144"/>
      <c r="C26" s="2055"/>
      <c r="D26" s="452"/>
      <c r="E26" s="1537" t="s">
        <v>407</v>
      </c>
      <c r="F26" s="2121" t="s">
        <v>1420</v>
      </c>
      <c r="G26" s="2122"/>
      <c r="H26" s="2123"/>
      <c r="I26" s="698"/>
      <c r="J26" s="698"/>
      <c r="K26" s="698"/>
      <c r="L26" s="698"/>
      <c r="M26" s="698"/>
      <c r="N26" s="1526" t="s">
        <v>1439</v>
      </c>
      <c r="O26" s="2019"/>
    </row>
    <row r="27" spans="1:15" ht="24.6" customHeight="1">
      <c r="A27" s="2134"/>
      <c r="B27" s="2144"/>
      <c r="C27" s="2055"/>
      <c r="D27" s="756"/>
      <c r="E27" s="1420" t="s">
        <v>750</v>
      </c>
      <c r="F27" s="1394" t="s">
        <v>408</v>
      </c>
      <c r="G27" s="1395"/>
      <c r="H27" s="1396"/>
      <c r="I27" s="1403"/>
      <c r="J27" s="1403"/>
      <c r="K27" s="1403"/>
      <c r="L27" s="1403"/>
      <c r="M27" s="1403"/>
      <c r="N27" s="440" t="s">
        <v>1418</v>
      </c>
      <c r="O27" s="2020"/>
    </row>
    <row r="28" spans="1:15" ht="20.100000000000001" customHeight="1">
      <c r="A28" s="2134">
        <v>1081</v>
      </c>
      <c r="B28" s="2116" t="s">
        <v>1126</v>
      </c>
      <c r="C28" s="2055" t="s">
        <v>1136</v>
      </c>
      <c r="D28" s="188"/>
      <c r="E28" s="303" t="s">
        <v>1138</v>
      </c>
      <c r="F28" s="342" t="s">
        <v>1140</v>
      </c>
      <c r="G28" s="343"/>
      <c r="H28" s="343"/>
      <c r="I28" s="188"/>
      <c r="J28" s="188"/>
      <c r="K28" s="188"/>
      <c r="L28" s="188"/>
      <c r="M28" s="441"/>
      <c r="N28" s="758"/>
      <c r="O28" s="1378" t="s">
        <v>1239</v>
      </c>
    </row>
    <row r="29" spans="1:15" ht="20.100000000000001" customHeight="1">
      <c r="A29" s="2134"/>
      <c r="B29" s="2135"/>
      <c r="C29" s="2055"/>
      <c r="D29" s="755"/>
      <c r="E29" s="757" t="s">
        <v>1139</v>
      </c>
      <c r="F29" s="345" t="s">
        <v>1141</v>
      </c>
      <c r="G29" s="346"/>
      <c r="H29" s="346"/>
      <c r="I29" s="755"/>
      <c r="J29" s="755"/>
      <c r="K29" s="981"/>
      <c r="L29" s="755"/>
      <c r="M29" s="307"/>
      <c r="N29" s="759"/>
      <c r="O29" s="1378" t="s">
        <v>1417</v>
      </c>
    </row>
    <row r="30" spans="1:15" ht="20.100000000000001" customHeight="1">
      <c r="A30" s="2136" t="s">
        <v>1437</v>
      </c>
      <c r="B30" s="2142" t="s">
        <v>474</v>
      </c>
      <c r="C30" s="2142" t="s">
        <v>1440</v>
      </c>
      <c r="D30" s="1527"/>
      <c r="E30" s="1540" t="s">
        <v>475</v>
      </c>
      <c r="F30" s="1528" t="s">
        <v>476</v>
      </c>
      <c r="G30" s="1529"/>
      <c r="H30" s="1529"/>
      <c r="I30" s="1527"/>
      <c r="J30" s="1535"/>
      <c r="K30" s="1535"/>
      <c r="L30" s="1527"/>
      <c r="M30" s="1530"/>
      <c r="N30" s="2152" t="s">
        <v>1438</v>
      </c>
      <c r="O30" s="2127" t="s">
        <v>1239</v>
      </c>
    </row>
    <row r="31" spans="1:15" ht="20.100000000000001" customHeight="1">
      <c r="A31" s="2137"/>
      <c r="B31" s="2143"/>
      <c r="C31" s="2143"/>
      <c r="D31" s="1531"/>
      <c r="E31" s="1541" t="s">
        <v>477</v>
      </c>
      <c r="F31" s="1532" t="s">
        <v>478</v>
      </c>
      <c r="G31" s="1533"/>
      <c r="H31" s="1533"/>
      <c r="I31" s="1531"/>
      <c r="J31" s="1536"/>
      <c r="K31" s="1536"/>
      <c r="L31" s="1531"/>
      <c r="M31" s="1534"/>
      <c r="N31" s="2153"/>
      <c r="O31" s="2128"/>
    </row>
    <row r="32" spans="1:15" ht="20.100000000000001" customHeight="1">
      <c r="A32" s="975"/>
      <c r="B32" s="301"/>
    </row>
    <row r="33" spans="1:1" ht="31.5" customHeight="1">
      <c r="A33" s="975"/>
    </row>
    <row r="34" spans="1:1" ht="31.5" customHeight="1">
      <c r="A34" s="975"/>
    </row>
    <row r="35" spans="1:1" ht="31.5" customHeight="1">
      <c r="A35" s="975"/>
    </row>
  </sheetData>
  <mergeCells count="54">
    <mergeCell ref="H5:L5"/>
    <mergeCell ref="O30:O31"/>
    <mergeCell ref="O15:O19"/>
    <mergeCell ref="C20:C21"/>
    <mergeCell ref="O20:O21"/>
    <mergeCell ref="B6:C6"/>
    <mergeCell ref="F6:H6"/>
    <mergeCell ref="N30:N31"/>
    <mergeCell ref="B9:B12"/>
    <mergeCell ref="C10:C11"/>
    <mergeCell ref="N10:N12"/>
    <mergeCell ref="B13:B14"/>
    <mergeCell ref="C13:C14"/>
    <mergeCell ref="C30:C31"/>
    <mergeCell ref="C22:C27"/>
    <mergeCell ref="C28:C29"/>
    <mergeCell ref="A28:A29"/>
    <mergeCell ref="B15:B21"/>
    <mergeCell ref="A30:A31"/>
    <mergeCell ref="A7:A8"/>
    <mergeCell ref="A9:A12"/>
    <mergeCell ref="B30:B31"/>
    <mergeCell ref="B22:B27"/>
    <mergeCell ref="B28:B29"/>
    <mergeCell ref="B7:C8"/>
    <mergeCell ref="A13:A14"/>
    <mergeCell ref="F25:H25"/>
    <mergeCell ref="F26:H26"/>
    <mergeCell ref="A2:A3"/>
    <mergeCell ref="A4:A5"/>
    <mergeCell ref="C15:C19"/>
    <mergeCell ref="A15:A21"/>
    <mergeCell ref="A22:A27"/>
    <mergeCell ref="F2:G2"/>
    <mergeCell ref="F3:G3"/>
    <mergeCell ref="F4:G4"/>
    <mergeCell ref="F5:G5"/>
    <mergeCell ref="B2:E3"/>
    <mergeCell ref="H2:L2"/>
    <mergeCell ref="H3:L3"/>
    <mergeCell ref="B4:E5"/>
    <mergeCell ref="H4:L4"/>
    <mergeCell ref="O7:O8"/>
    <mergeCell ref="N15:N16"/>
    <mergeCell ref="N20:N21"/>
    <mergeCell ref="N17:N19"/>
    <mergeCell ref="O22:O27"/>
    <mergeCell ref="O13:O14"/>
    <mergeCell ref="F9:H9"/>
    <mergeCell ref="M15:M16"/>
    <mergeCell ref="M20:M21"/>
    <mergeCell ref="F17:H17"/>
    <mergeCell ref="F18:H18"/>
    <mergeCell ref="F19:H19"/>
  </mergeCells>
  <phoneticPr fontId="2"/>
  <conditionalFormatting sqref="E20:H21">
    <cfRule type="expression" priority="1" stopIfTrue="1">
      <formula>$J20="COMP"</formula>
    </cfRule>
    <cfRule type="expression" dxfId="515" priority="2" stopIfTrue="1">
      <formula>$J20=""</formula>
    </cfRule>
    <cfRule type="expression" priority="3" stopIfTrue="1">
      <formula>$J20="-"</formula>
    </cfRule>
    <cfRule type="expression" dxfId="514" priority="4" stopIfTrue="1">
      <formula>$J20=0</formula>
    </cfRule>
    <cfRule type="expression" dxfId="513" priority="5" stopIfTrue="1">
      <formula>$J20&lt;&gt;""</formula>
    </cfRule>
  </conditionalFormatting>
  <hyperlinks>
    <hyperlink ref="Q8" r:id="rId1"/>
  </hyperlinks>
  <pageMargins left="0.70866141732283472" right="0.70866141732283472" top="0.74803149606299213" bottom="0.74803149606299213" header="0.31496062992125984" footer="0.31496062992125984"/>
  <pageSetup paperSize="9" scale="57" orientation="landscape" r:id="rId2"/>
  <colBreaks count="1" manualBreakCount="1">
    <brk id="15"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Q91"/>
  <sheetViews>
    <sheetView showGridLines="0" view="pageBreakPreview" zoomScaleNormal="100" zoomScaleSheetLayoutView="100" workbookViewId="0"/>
  </sheetViews>
  <sheetFormatPr defaultColWidth="9" defaultRowHeight="13.2"/>
  <cols>
    <col min="1" max="1" width="11.8984375" style="6" bestFit="1" customWidth="1"/>
    <col min="2" max="2" width="13.5" style="6" bestFit="1" customWidth="1"/>
    <col min="3" max="3" width="16.8984375" style="6" customWidth="1"/>
    <col min="4" max="4" width="5.59765625" style="5" customWidth="1"/>
    <col min="5" max="5" width="23.09765625" style="6" bestFit="1" customWidth="1"/>
    <col min="6" max="7" width="11.59765625" style="6" customWidth="1"/>
    <col min="8" max="12" width="5.59765625" style="6" customWidth="1"/>
    <col min="13" max="13" width="22.8984375" style="6" customWidth="1"/>
    <col min="14" max="14" width="47.8984375" style="6" customWidth="1"/>
    <col min="15" max="15" width="10" style="6" customWidth="1"/>
    <col min="16" max="16" width="6.5" style="85" bestFit="1" customWidth="1"/>
    <col min="17" max="17" width="34.5" style="6" bestFit="1" customWidth="1"/>
    <col min="18" max="16384" width="9" style="6"/>
  </cols>
  <sheetData>
    <row r="1" spans="1:16" s="40" customFormat="1">
      <c r="A1" s="1050" t="s">
        <v>1058</v>
      </c>
      <c r="B1" s="1050"/>
      <c r="C1" s="1050"/>
      <c r="D1" s="1050"/>
      <c r="E1" s="1050"/>
      <c r="F1" s="1050"/>
      <c r="G1" s="1050"/>
      <c r="H1" s="1050"/>
      <c r="I1" s="1050"/>
      <c r="J1" s="1050"/>
      <c r="K1" s="1050"/>
      <c r="L1" s="1050"/>
      <c r="M1" s="1050"/>
      <c r="N1" s="1050"/>
      <c r="O1" s="1050"/>
      <c r="P1" s="88"/>
    </row>
    <row r="2" spans="1:16" s="40" customFormat="1" ht="30" customHeight="1">
      <c r="A2" s="2013" t="s">
        <v>5</v>
      </c>
      <c r="B2" s="1993"/>
      <c r="C2" s="1993"/>
      <c r="D2" s="1993"/>
      <c r="E2" s="1993"/>
      <c r="F2" s="2006" t="s">
        <v>1391</v>
      </c>
      <c r="G2" s="2006"/>
      <c r="H2" s="2009"/>
      <c r="I2" s="2009"/>
      <c r="J2" s="2009"/>
      <c r="K2" s="2009"/>
      <c r="L2" s="2009"/>
      <c r="M2" s="904" t="s">
        <v>1187</v>
      </c>
      <c r="N2" s="838" t="s">
        <v>1393</v>
      </c>
      <c r="O2" s="1405"/>
      <c r="P2" s="89"/>
    </row>
    <row r="3" spans="1:16" s="40" customFormat="1" ht="30" customHeight="1">
      <c r="A3" s="2014"/>
      <c r="B3" s="1993"/>
      <c r="C3" s="1993"/>
      <c r="D3" s="1993"/>
      <c r="E3" s="1993"/>
      <c r="F3" s="2006" t="s">
        <v>1371</v>
      </c>
      <c r="G3" s="2006"/>
      <c r="H3" s="2009"/>
      <c r="I3" s="2009"/>
      <c r="J3" s="2009"/>
      <c r="K3" s="2009"/>
      <c r="L3" s="2009"/>
      <c r="M3" s="35"/>
      <c r="N3" s="7"/>
      <c r="O3" s="839"/>
      <c r="P3" s="89"/>
    </row>
    <row r="4" spans="1:16" s="40" customFormat="1" ht="30" customHeight="1">
      <c r="A4" s="2013" t="s">
        <v>38</v>
      </c>
      <c r="B4" s="1993"/>
      <c r="C4" s="1993"/>
      <c r="D4" s="1993"/>
      <c r="E4" s="1993"/>
      <c r="F4" s="2007" t="s">
        <v>1392</v>
      </c>
      <c r="G4" s="2007"/>
      <c r="H4" s="2009"/>
      <c r="I4" s="2009"/>
      <c r="J4" s="2009"/>
      <c r="K4" s="2009"/>
      <c r="L4" s="2009"/>
      <c r="M4" s="35"/>
      <c r="N4" s="7"/>
      <c r="O4" s="839"/>
      <c r="P4" s="89"/>
    </row>
    <row r="5" spans="1:16" s="40" customFormat="1" ht="30" customHeight="1">
      <c r="A5" s="2014"/>
      <c r="B5" s="1993"/>
      <c r="C5" s="1993"/>
      <c r="D5" s="1993"/>
      <c r="E5" s="1993"/>
      <c r="F5" s="2008" t="s">
        <v>1372</v>
      </c>
      <c r="G5" s="2008"/>
      <c r="H5" s="2009"/>
      <c r="I5" s="2009"/>
      <c r="J5" s="2009"/>
      <c r="K5" s="2009"/>
      <c r="L5" s="2009"/>
      <c r="M5" s="35"/>
      <c r="N5" s="7"/>
      <c r="O5" s="839"/>
      <c r="P5" s="89"/>
    </row>
    <row r="6" spans="1:16" ht="60" customHeight="1">
      <c r="A6" s="908" t="s">
        <v>1227</v>
      </c>
      <c r="B6" s="2004" t="s">
        <v>6</v>
      </c>
      <c r="C6" s="2005"/>
      <c r="D6" s="1323" t="s">
        <v>1407</v>
      </c>
      <c r="E6" s="82" t="s">
        <v>64</v>
      </c>
      <c r="F6" s="2001" t="s">
        <v>1</v>
      </c>
      <c r="G6" s="2002"/>
      <c r="H6" s="2003"/>
      <c r="I6" s="1038" t="s">
        <v>66</v>
      </c>
      <c r="J6" s="1038" t="s">
        <v>1376</v>
      </c>
      <c r="K6" s="1372" t="s">
        <v>1377</v>
      </c>
      <c r="L6" s="1372" t="s">
        <v>1375</v>
      </c>
      <c r="M6" s="1069" t="s">
        <v>1378</v>
      </c>
      <c r="N6" s="1069" t="s">
        <v>1387</v>
      </c>
      <c r="O6" s="1322" t="s">
        <v>1379</v>
      </c>
      <c r="P6" s="6"/>
    </row>
    <row r="7" spans="1:16" ht="20.100000000000001" customHeight="1">
      <c r="A7" s="2220">
        <v>2511</v>
      </c>
      <c r="B7" s="2206" t="s">
        <v>1443</v>
      </c>
      <c r="C7" s="2207"/>
      <c r="D7" s="279"/>
      <c r="E7" s="125" t="s">
        <v>99</v>
      </c>
      <c r="F7" s="319" t="s">
        <v>21</v>
      </c>
      <c r="G7" s="320"/>
      <c r="H7" s="321"/>
      <c r="I7" s="262"/>
      <c r="J7" s="977"/>
      <c r="K7" s="977"/>
      <c r="L7" s="280"/>
      <c r="M7" s="281"/>
      <c r="N7" s="2167" t="s">
        <v>1444</v>
      </c>
      <c r="O7" s="2179"/>
      <c r="P7" s="88" t="s">
        <v>1021</v>
      </c>
    </row>
    <row r="8" spans="1:16" ht="20.100000000000001" customHeight="1">
      <c r="A8" s="2220"/>
      <c r="B8" s="2208"/>
      <c r="C8" s="2209"/>
      <c r="D8" s="282"/>
      <c r="E8" s="178" t="s">
        <v>99</v>
      </c>
      <c r="F8" s="322" t="s">
        <v>21</v>
      </c>
      <c r="G8" s="323"/>
      <c r="H8" s="324"/>
      <c r="I8" s="282"/>
      <c r="J8" s="282"/>
      <c r="K8" s="282"/>
      <c r="L8" s="283"/>
      <c r="M8" s="282"/>
      <c r="N8" s="2168"/>
      <c r="O8" s="2180"/>
      <c r="P8" s="300" t="s">
        <v>180</v>
      </c>
    </row>
    <row r="9" spans="1:16" ht="20.100000000000001" customHeight="1">
      <c r="A9" s="2220"/>
      <c r="B9" s="2208"/>
      <c r="C9" s="2209"/>
      <c r="D9" s="1545"/>
      <c r="E9" s="875" t="s">
        <v>486</v>
      </c>
      <c r="F9" s="1218" t="s">
        <v>522</v>
      </c>
      <c r="G9" s="1543"/>
      <c r="H9" s="1544" t="s">
        <v>523</v>
      </c>
      <c r="I9" s="1562"/>
      <c r="J9" s="1562"/>
      <c r="K9" s="1562"/>
      <c r="L9" s="1562"/>
      <c r="M9" s="1546"/>
      <c r="N9" s="34" t="s">
        <v>1458</v>
      </c>
      <c r="O9" s="2165" t="str">
        <f>HYPERLINK(VLOOKUP(F9,LINK,2,FALSE),VLOOKUP(F9,LINK,3,FALSE))</f>
        <v>EXCEL</v>
      </c>
      <c r="P9" s="37" t="s">
        <v>1447</v>
      </c>
    </row>
    <row r="10" spans="1:16" ht="20.100000000000001" customHeight="1">
      <c r="A10" s="2220"/>
      <c r="B10" s="2208"/>
      <c r="C10" s="2209"/>
      <c r="D10" s="286"/>
      <c r="E10" s="178" t="s">
        <v>100</v>
      </c>
      <c r="F10" s="326" t="s">
        <v>505</v>
      </c>
      <c r="G10" s="327"/>
      <c r="H10" s="328"/>
      <c r="I10" s="286"/>
      <c r="J10" s="286"/>
      <c r="K10" s="286"/>
      <c r="L10" s="286"/>
      <c r="M10" s="42"/>
      <c r="N10" s="34" t="s">
        <v>1445</v>
      </c>
      <c r="O10" s="2165"/>
      <c r="P10" s="6"/>
    </row>
    <row r="11" spans="1:16" ht="20.100000000000001" customHeight="1">
      <c r="A11" s="2220"/>
      <c r="B11" s="2210"/>
      <c r="C11" s="2211"/>
      <c r="D11" s="286"/>
      <c r="E11" s="217" t="s">
        <v>506</v>
      </c>
      <c r="F11" s="326" t="s">
        <v>22</v>
      </c>
      <c r="G11" s="327"/>
      <c r="H11" s="328"/>
      <c r="I11" s="286"/>
      <c r="J11" s="286"/>
      <c r="K11" s="286"/>
      <c r="L11" s="286"/>
      <c r="M11" s="42"/>
      <c r="N11" s="42" t="s">
        <v>1446</v>
      </c>
      <c r="O11" s="2166"/>
      <c r="P11" s="6"/>
    </row>
    <row r="12" spans="1:16" ht="36.9" customHeight="1">
      <c r="A12" s="1387">
        <v>2561</v>
      </c>
      <c r="B12" s="2212" t="s">
        <v>1649</v>
      </c>
      <c r="C12" s="2213"/>
      <c r="D12" s="279"/>
      <c r="E12" s="1035" t="s">
        <v>456</v>
      </c>
      <c r="F12" s="2184" t="s">
        <v>1457</v>
      </c>
      <c r="G12" s="2185"/>
      <c r="H12" s="2186"/>
      <c r="I12" s="279"/>
      <c r="J12" s="279"/>
      <c r="K12" s="279"/>
      <c r="L12" s="279"/>
      <c r="M12" s="32"/>
      <c r="N12" s="29" t="s">
        <v>1450</v>
      </c>
      <c r="O12" s="1384" t="s">
        <v>1451</v>
      </c>
      <c r="P12" s="6"/>
    </row>
    <row r="13" spans="1:16" ht="27" customHeight="1">
      <c r="A13" s="1891">
        <v>2562</v>
      </c>
      <c r="B13" s="2215" t="s">
        <v>1650</v>
      </c>
      <c r="C13" s="2216"/>
      <c r="D13" s="1398"/>
      <c r="E13" s="1890" t="s">
        <v>456</v>
      </c>
      <c r="F13" s="2196" t="s">
        <v>1651</v>
      </c>
      <c r="G13" s="2197"/>
      <c r="H13" s="2198"/>
      <c r="I13" s="1398"/>
      <c r="J13" s="1398"/>
      <c r="K13" s="1398"/>
      <c r="L13" s="1398"/>
      <c r="M13" s="20"/>
      <c r="N13" s="20" t="s">
        <v>1450</v>
      </c>
      <c r="O13" s="1892" t="s">
        <v>197</v>
      </c>
      <c r="P13" s="6"/>
    </row>
    <row r="14" spans="1:16" ht="50.1" customHeight="1">
      <c r="A14" s="1557" t="s">
        <v>1314</v>
      </c>
      <c r="B14" s="1558" t="s">
        <v>1264</v>
      </c>
      <c r="C14" s="1559" t="s">
        <v>1449</v>
      </c>
      <c r="D14" s="1560"/>
      <c r="E14" s="1560"/>
      <c r="F14" s="2181"/>
      <c r="G14" s="2182"/>
      <c r="H14" s="2183"/>
      <c r="I14" s="1560"/>
      <c r="J14" s="1560"/>
      <c r="K14" s="1560"/>
      <c r="L14" s="1560"/>
      <c r="M14" s="1561"/>
      <c r="N14" s="1550" t="s">
        <v>1456</v>
      </c>
      <c r="O14" s="1551"/>
      <c r="P14" s="87" t="s">
        <v>1448</v>
      </c>
    </row>
    <row r="15" spans="1:16" ht="20.100000000000001" customHeight="1">
      <c r="A15" s="2217">
        <v>1011</v>
      </c>
      <c r="B15" s="2206" t="s">
        <v>23</v>
      </c>
      <c r="C15" s="2207"/>
      <c r="D15" s="279"/>
      <c r="E15" s="1035" t="s">
        <v>158</v>
      </c>
      <c r="F15" s="2184" t="s">
        <v>159</v>
      </c>
      <c r="G15" s="2190"/>
      <c r="H15" s="2191"/>
      <c r="I15" s="279"/>
      <c r="J15" s="279"/>
      <c r="K15" s="279"/>
      <c r="L15" s="279"/>
      <c r="M15" s="287"/>
      <c r="N15" s="2172" t="s">
        <v>1452</v>
      </c>
      <c r="O15" s="2176" t="str">
        <f>HYPERLINK(VLOOKUP(F15,LINK,2,FALSE),VLOOKUP(F15,LINK,3,FALSE))</f>
        <v>EXCEL</v>
      </c>
      <c r="P15" s="37"/>
    </row>
    <row r="16" spans="1:16" ht="20.100000000000001" customHeight="1">
      <c r="A16" s="2218"/>
      <c r="B16" s="2208"/>
      <c r="C16" s="2209"/>
      <c r="D16" s="282"/>
      <c r="E16" s="515" t="s">
        <v>24</v>
      </c>
      <c r="F16" s="2192" t="s">
        <v>507</v>
      </c>
      <c r="G16" s="2193"/>
      <c r="H16" s="2194"/>
      <c r="I16" s="282"/>
      <c r="J16" s="282"/>
      <c r="K16" s="282"/>
      <c r="L16" s="282"/>
      <c r="M16" s="284"/>
      <c r="N16" s="2173"/>
      <c r="O16" s="2177"/>
      <c r="P16" s="37" t="s">
        <v>1119</v>
      </c>
    </row>
    <row r="17" spans="1:17" ht="35.4" customHeight="1">
      <c r="A17" s="2218"/>
      <c r="B17" s="2208"/>
      <c r="C17" s="2209"/>
      <c r="D17" s="1552"/>
      <c r="E17" s="1553" t="s">
        <v>508</v>
      </c>
      <c r="F17" s="2187" t="s">
        <v>1592</v>
      </c>
      <c r="G17" s="2188"/>
      <c r="H17" s="2189"/>
      <c r="I17" s="1552"/>
      <c r="J17" s="1552"/>
      <c r="K17" s="1552"/>
      <c r="L17" s="1552"/>
      <c r="M17" s="1554"/>
      <c r="N17" s="2174" t="s">
        <v>1659</v>
      </c>
      <c r="O17" s="2177"/>
      <c r="P17" s="1591" t="s">
        <v>134</v>
      </c>
    </row>
    <row r="18" spans="1:17" ht="20.100000000000001" customHeight="1">
      <c r="A18" s="2219"/>
      <c r="B18" s="2210"/>
      <c r="C18" s="2211"/>
      <c r="D18" s="1555"/>
      <c r="E18" s="1556" t="s">
        <v>1453</v>
      </c>
      <c r="F18" s="2169" t="s">
        <v>1454</v>
      </c>
      <c r="G18" s="2170"/>
      <c r="H18" s="2171"/>
      <c r="I18" s="1549"/>
      <c r="J18" s="1549"/>
      <c r="K18" s="1549"/>
      <c r="L18" s="1549"/>
      <c r="M18" s="1555"/>
      <c r="N18" s="2175"/>
      <c r="O18" s="2178"/>
      <c r="P18" s="6"/>
    </row>
    <row r="19" spans="1:17" ht="20.100000000000001" customHeight="1">
      <c r="A19" s="1784">
        <v>3491</v>
      </c>
      <c r="B19" s="2215" t="s">
        <v>1318</v>
      </c>
      <c r="C19" s="2216"/>
      <c r="D19" s="1785"/>
      <c r="E19" s="1783" t="s">
        <v>1033</v>
      </c>
      <c r="F19" s="2214" t="s">
        <v>1606</v>
      </c>
      <c r="G19" s="2197"/>
      <c r="H19" s="2198"/>
      <c r="I19" s="1786"/>
      <c r="J19" s="1786"/>
      <c r="K19" s="1786"/>
      <c r="L19" s="1784"/>
      <c r="M19" s="1784"/>
      <c r="N19" s="1784"/>
      <c r="O19" s="1782" t="s">
        <v>1239</v>
      </c>
      <c r="P19" s="1139"/>
    </row>
    <row r="20" spans="1:17" ht="20.100000000000001" customHeight="1">
      <c r="A20" s="975"/>
      <c r="B20" s="975"/>
      <c r="D20" s="291"/>
      <c r="E20" s="292"/>
      <c r="F20" s="293"/>
      <c r="G20" s="293"/>
      <c r="H20" s="293"/>
      <c r="I20" s="291"/>
      <c r="J20" s="291"/>
      <c r="K20" s="291"/>
      <c r="L20" s="291"/>
      <c r="M20" s="294"/>
      <c r="N20" s="295"/>
      <c r="O20" s="100"/>
      <c r="P20" s="6"/>
    </row>
    <row r="21" spans="1:17">
      <c r="A21" s="77"/>
      <c r="B21" s="77"/>
      <c r="C21" s="77"/>
      <c r="D21" s="86"/>
      <c r="E21" s="14"/>
      <c r="F21" s="17"/>
      <c r="G21" s="24"/>
      <c r="H21" s="24"/>
      <c r="I21" s="24"/>
      <c r="J21" s="14"/>
      <c r="K21" s="14"/>
      <c r="L21" s="14"/>
      <c r="M21" s="14"/>
      <c r="N21" s="18"/>
      <c r="O21" s="25"/>
      <c r="P21" s="94"/>
    </row>
    <row r="22" spans="1:17">
      <c r="A22" s="80"/>
      <c r="B22" s="80"/>
      <c r="C22" s="80"/>
      <c r="D22" s="2204"/>
      <c r="E22" s="14"/>
      <c r="F22" s="17"/>
      <c r="G22" s="24"/>
      <c r="H22" s="24"/>
      <c r="I22" s="24"/>
      <c r="J22" s="14"/>
      <c r="K22" s="14"/>
      <c r="L22" s="14"/>
      <c r="M22" s="14"/>
      <c r="N22" s="18"/>
      <c r="O22" s="25"/>
      <c r="P22" s="94"/>
    </row>
    <row r="23" spans="1:17">
      <c r="A23" s="80"/>
      <c r="B23" s="80"/>
      <c r="C23" s="80"/>
      <c r="D23" s="2204"/>
      <c r="E23" s="14"/>
      <c r="F23" s="17"/>
      <c r="G23" s="24"/>
      <c r="H23" s="24"/>
      <c r="I23" s="24"/>
      <c r="J23" s="14"/>
      <c r="K23" s="14"/>
      <c r="L23" s="14"/>
      <c r="M23" s="14"/>
      <c r="N23" s="18"/>
      <c r="O23" s="25"/>
      <c r="P23" s="94"/>
    </row>
    <row r="24" spans="1:17">
      <c r="A24" s="80"/>
      <c r="B24" s="80"/>
      <c r="C24" s="80"/>
      <c r="D24" s="2204"/>
      <c r="E24" s="14"/>
      <c r="F24" s="17"/>
      <c r="G24" s="24"/>
      <c r="H24" s="24"/>
      <c r="I24" s="24"/>
      <c r="J24" s="14"/>
      <c r="K24" s="14"/>
      <c r="L24" s="14"/>
      <c r="M24" s="14"/>
      <c r="N24" s="18"/>
      <c r="O24" s="25"/>
      <c r="P24" s="94"/>
    </row>
    <row r="25" spans="1:17">
      <c r="A25" s="80"/>
      <c r="B25" s="80"/>
      <c r="C25" s="80"/>
      <c r="D25" s="2204"/>
      <c r="E25" s="14"/>
      <c r="F25" s="17"/>
      <c r="G25" s="24"/>
      <c r="H25" s="24"/>
      <c r="I25" s="24"/>
      <c r="J25" s="14"/>
      <c r="K25" s="14"/>
      <c r="L25" s="14"/>
      <c r="M25" s="14"/>
      <c r="N25" s="18"/>
      <c r="O25" s="25"/>
      <c r="P25" s="94"/>
    </row>
    <row r="26" spans="1:17" ht="18" customHeight="1">
      <c r="A26" s="80"/>
      <c r="B26" s="80"/>
      <c r="C26" s="80"/>
      <c r="D26" s="2204"/>
      <c r="E26" s="14"/>
      <c r="F26" s="17"/>
      <c r="G26" s="24"/>
      <c r="H26" s="24"/>
      <c r="I26" s="24"/>
      <c r="J26" s="14"/>
      <c r="K26" s="14"/>
      <c r="L26" s="14"/>
      <c r="M26" s="14"/>
      <c r="N26" s="16"/>
      <c r="O26" s="16"/>
      <c r="P26" s="72"/>
      <c r="Q26" s="14"/>
    </row>
    <row r="27" spans="1:17">
      <c r="A27" s="80"/>
      <c r="B27" s="80"/>
      <c r="C27" s="80"/>
      <c r="D27" s="17"/>
      <c r="E27" s="14"/>
      <c r="F27" s="17"/>
      <c r="G27" s="47"/>
      <c r="H27" s="47"/>
      <c r="I27" s="47"/>
      <c r="J27" s="14"/>
      <c r="K27" s="14"/>
      <c r="L27" s="14"/>
      <c r="M27" s="14"/>
      <c r="N27" s="30"/>
      <c r="O27" s="18"/>
      <c r="P27" s="95"/>
      <c r="Q27" s="48"/>
    </row>
    <row r="28" spans="1:17" ht="18" customHeight="1">
      <c r="A28" s="80"/>
      <c r="B28" s="80"/>
      <c r="C28" s="80"/>
      <c r="D28" s="76"/>
      <c r="E28" s="14"/>
      <c r="F28" s="23"/>
      <c r="G28" s="24"/>
      <c r="H28" s="24"/>
      <c r="I28" s="24"/>
      <c r="J28" s="14"/>
      <c r="K28" s="14"/>
      <c r="L28" s="14"/>
      <c r="M28" s="14"/>
      <c r="N28" s="16"/>
      <c r="O28" s="16"/>
      <c r="P28" s="72"/>
      <c r="Q28" s="14"/>
    </row>
    <row r="29" spans="1:17">
      <c r="A29" s="80"/>
      <c r="B29" s="80"/>
      <c r="C29" s="80"/>
      <c r="D29" s="79"/>
      <c r="E29" s="49"/>
      <c r="F29" s="50"/>
      <c r="G29" s="51"/>
      <c r="H29" s="51"/>
      <c r="I29" s="51"/>
      <c r="J29" s="49"/>
      <c r="K29" s="49"/>
      <c r="L29" s="49"/>
      <c r="M29" s="49"/>
      <c r="N29" s="52"/>
      <c r="O29" s="53"/>
      <c r="P29" s="96"/>
      <c r="Q29" s="54"/>
    </row>
    <row r="30" spans="1:17">
      <c r="A30" s="77"/>
      <c r="B30" s="77"/>
      <c r="C30" s="77"/>
      <c r="D30" s="78"/>
      <c r="E30" s="14"/>
      <c r="F30" s="17"/>
      <c r="G30" s="24"/>
      <c r="H30" s="24"/>
      <c r="I30" s="24"/>
      <c r="J30" s="14"/>
      <c r="K30" s="14"/>
      <c r="L30" s="14"/>
      <c r="M30" s="14"/>
      <c r="N30" s="18"/>
      <c r="O30" s="25"/>
      <c r="P30" s="94"/>
      <c r="Q30" s="14"/>
    </row>
    <row r="31" spans="1:17">
      <c r="A31" s="77"/>
      <c r="B31" s="77"/>
      <c r="C31" s="77"/>
      <c r="D31" s="78"/>
      <c r="E31" s="14"/>
      <c r="F31" s="17"/>
      <c r="G31" s="24"/>
      <c r="H31" s="24"/>
      <c r="I31" s="24"/>
      <c r="J31" s="14"/>
      <c r="K31" s="14"/>
      <c r="L31" s="14"/>
      <c r="M31" s="14"/>
      <c r="N31" s="18"/>
      <c r="O31" s="25"/>
      <c r="P31" s="94"/>
      <c r="Q31" s="14"/>
    </row>
    <row r="32" spans="1:17">
      <c r="A32" s="77"/>
      <c r="B32" s="77"/>
      <c r="C32" s="77"/>
      <c r="D32" s="78"/>
      <c r="E32" s="14"/>
      <c r="F32" s="17"/>
      <c r="G32" s="24"/>
      <c r="H32" s="24"/>
      <c r="I32" s="24"/>
      <c r="J32" s="14"/>
      <c r="K32" s="14"/>
      <c r="L32" s="14"/>
      <c r="M32" s="14"/>
      <c r="N32" s="18"/>
      <c r="O32" s="25"/>
      <c r="P32" s="94"/>
      <c r="Q32" s="14"/>
    </row>
    <row r="33" spans="1:17">
      <c r="A33" s="77"/>
      <c r="B33" s="77"/>
      <c r="C33" s="77"/>
      <c r="D33" s="78"/>
      <c r="E33" s="14"/>
      <c r="F33" s="17"/>
      <c r="G33" s="24"/>
      <c r="H33" s="24"/>
      <c r="I33" s="24"/>
      <c r="J33" s="14"/>
      <c r="K33" s="14"/>
      <c r="L33" s="14"/>
      <c r="M33" s="14"/>
      <c r="N33" s="18"/>
      <c r="O33" s="25"/>
      <c r="P33" s="94"/>
      <c r="Q33" s="14"/>
    </row>
    <row r="34" spans="1:17">
      <c r="A34" s="77"/>
      <c r="B34" s="77"/>
      <c r="C34" s="77"/>
      <c r="D34" s="78"/>
      <c r="E34" s="14"/>
      <c r="F34" s="17"/>
      <c r="G34" s="24"/>
      <c r="H34" s="24"/>
      <c r="I34" s="24"/>
      <c r="J34" s="14"/>
      <c r="K34" s="14"/>
      <c r="L34" s="14"/>
      <c r="M34" s="14"/>
      <c r="N34" s="18"/>
      <c r="O34" s="25"/>
      <c r="P34" s="94"/>
      <c r="Q34" s="14"/>
    </row>
    <row r="35" spans="1:17">
      <c r="A35" s="77"/>
      <c r="B35" s="77"/>
      <c r="C35" s="77"/>
      <c r="D35" s="78"/>
      <c r="E35" s="14"/>
      <c r="F35" s="17"/>
      <c r="G35" s="24"/>
      <c r="H35" s="24"/>
      <c r="I35" s="24"/>
      <c r="J35" s="14"/>
      <c r="K35" s="14"/>
      <c r="L35" s="14"/>
      <c r="M35" s="14"/>
      <c r="N35" s="18"/>
      <c r="O35" s="25"/>
      <c r="P35" s="94"/>
      <c r="Q35" s="14"/>
    </row>
    <row r="36" spans="1:17">
      <c r="A36" s="77"/>
      <c r="B36" s="77"/>
      <c r="C36" s="77"/>
      <c r="D36" s="78"/>
      <c r="E36" s="14"/>
      <c r="F36" s="17"/>
      <c r="G36" s="24"/>
      <c r="H36" s="24"/>
      <c r="I36" s="24"/>
      <c r="J36" s="14"/>
      <c r="K36" s="14"/>
      <c r="L36" s="14"/>
      <c r="M36" s="14"/>
      <c r="N36" s="18"/>
      <c r="O36" s="25"/>
      <c r="P36" s="94"/>
      <c r="Q36" s="14"/>
    </row>
    <row r="37" spans="1:17">
      <c r="A37" s="43"/>
      <c r="B37" s="43"/>
      <c r="C37" s="43"/>
      <c r="D37" s="43"/>
      <c r="E37" s="44"/>
      <c r="F37" s="43"/>
      <c r="G37" s="45"/>
      <c r="H37" s="45"/>
      <c r="I37" s="45"/>
      <c r="J37" s="43"/>
      <c r="K37" s="43"/>
      <c r="L37" s="43"/>
      <c r="M37" s="43"/>
      <c r="N37" s="43"/>
      <c r="O37" s="43"/>
      <c r="P37" s="43"/>
      <c r="Q37" s="14"/>
    </row>
    <row r="38" spans="1:17">
      <c r="A38" s="12"/>
      <c r="B38" s="12"/>
      <c r="C38" s="12"/>
      <c r="D38" s="78"/>
      <c r="E38" s="14"/>
      <c r="F38" s="23"/>
      <c r="G38" s="24"/>
      <c r="H38" s="24"/>
      <c r="I38" s="24"/>
      <c r="J38" s="14"/>
      <c r="K38" s="14"/>
      <c r="L38" s="14"/>
      <c r="M38" s="14"/>
      <c r="N38" s="14"/>
      <c r="O38" s="55"/>
      <c r="P38" s="84"/>
      <c r="Q38" s="14"/>
    </row>
    <row r="39" spans="1:17" ht="13.8">
      <c r="A39" s="12"/>
      <c r="B39" s="12"/>
      <c r="C39" s="12"/>
      <c r="D39" s="58"/>
      <c r="E39" s="56"/>
      <c r="F39" s="57"/>
      <c r="G39" s="58"/>
      <c r="H39" s="58"/>
      <c r="I39" s="58"/>
      <c r="J39" s="59"/>
      <c r="K39" s="978"/>
      <c r="L39" s="60"/>
      <c r="M39" s="60"/>
      <c r="N39" s="61"/>
      <c r="O39" s="12"/>
      <c r="P39" s="84"/>
      <c r="Q39" s="14"/>
    </row>
    <row r="40" spans="1:17" ht="13.8">
      <c r="A40" s="12"/>
      <c r="B40" s="12"/>
      <c r="C40" s="12"/>
      <c r="D40" s="58"/>
      <c r="E40" s="56"/>
      <c r="F40" s="57"/>
      <c r="G40" s="58"/>
      <c r="H40" s="58"/>
      <c r="I40" s="58"/>
      <c r="J40" s="59"/>
      <c r="K40" s="978"/>
      <c r="L40" s="60"/>
      <c r="M40" s="60"/>
      <c r="N40" s="61"/>
      <c r="O40" s="61"/>
      <c r="P40" s="97"/>
      <c r="Q40" s="14"/>
    </row>
    <row r="41" spans="1:17" ht="13.8">
      <c r="A41" s="12"/>
      <c r="B41" s="12"/>
      <c r="C41" s="12"/>
      <c r="D41" s="58"/>
      <c r="E41" s="56"/>
      <c r="F41" s="57"/>
      <c r="G41" s="58"/>
      <c r="H41" s="58"/>
      <c r="I41" s="58"/>
      <c r="J41" s="59"/>
      <c r="K41" s="978"/>
      <c r="L41" s="60"/>
      <c r="M41" s="60"/>
      <c r="N41" s="61"/>
      <c r="O41" s="61"/>
      <c r="P41" s="97"/>
      <c r="Q41" s="14"/>
    </row>
    <row r="42" spans="1:17" ht="13.8">
      <c r="A42" s="12"/>
      <c r="B42" s="12"/>
      <c r="C42" s="12"/>
      <c r="D42" s="58"/>
      <c r="E42" s="56"/>
      <c r="F42" s="57"/>
      <c r="G42" s="58"/>
      <c r="H42" s="58"/>
      <c r="I42" s="58"/>
      <c r="J42" s="59"/>
      <c r="K42" s="978"/>
      <c r="L42" s="60"/>
      <c r="M42" s="60"/>
      <c r="N42" s="61"/>
      <c r="O42" s="61"/>
      <c r="P42" s="97"/>
      <c r="Q42" s="14"/>
    </row>
    <row r="43" spans="1:17" ht="13.8">
      <c r="A43" s="12"/>
      <c r="B43" s="12"/>
      <c r="C43" s="12"/>
      <c r="D43" s="58"/>
      <c r="E43" s="56"/>
      <c r="F43" s="57"/>
      <c r="G43" s="58"/>
      <c r="H43" s="58"/>
      <c r="I43" s="58"/>
      <c r="J43" s="59"/>
      <c r="K43" s="978"/>
      <c r="L43" s="60"/>
      <c r="M43" s="60"/>
      <c r="N43" s="61"/>
      <c r="O43" s="61"/>
      <c r="P43" s="97"/>
      <c r="Q43" s="14"/>
    </row>
    <row r="44" spans="1:17" ht="13.8">
      <c r="A44" s="12"/>
      <c r="B44" s="12"/>
      <c r="C44" s="12"/>
      <c r="D44" s="58"/>
      <c r="E44" s="56"/>
      <c r="F44" s="57"/>
      <c r="G44" s="58"/>
      <c r="H44" s="58"/>
      <c r="I44" s="58"/>
      <c r="J44" s="59"/>
      <c r="K44" s="978"/>
      <c r="L44" s="60"/>
      <c r="M44" s="60"/>
      <c r="N44" s="61"/>
      <c r="O44" s="61"/>
      <c r="P44" s="97"/>
      <c r="Q44" s="14"/>
    </row>
    <row r="45" spans="1:17" ht="13.8">
      <c r="A45" s="12"/>
      <c r="B45" s="12"/>
      <c r="C45" s="12"/>
      <c r="D45" s="58"/>
      <c r="E45" s="56"/>
      <c r="F45" s="57"/>
      <c r="G45" s="58"/>
      <c r="H45" s="58"/>
      <c r="I45" s="58"/>
      <c r="J45" s="59"/>
      <c r="K45" s="978"/>
      <c r="L45" s="60"/>
      <c r="M45" s="60"/>
      <c r="N45" s="61"/>
      <c r="O45" s="61"/>
      <c r="P45" s="97"/>
      <c r="Q45" s="14"/>
    </row>
    <row r="46" spans="1:17" ht="18" customHeight="1">
      <c r="A46" s="12"/>
      <c r="B46" s="12"/>
      <c r="C46" s="12"/>
      <c r="D46" s="58"/>
      <c r="E46" s="56"/>
      <c r="F46" s="62"/>
      <c r="G46" s="58"/>
      <c r="H46" s="58"/>
      <c r="I46" s="58"/>
      <c r="J46" s="59"/>
      <c r="K46" s="978"/>
      <c r="L46" s="60"/>
      <c r="M46" s="60"/>
      <c r="N46" s="61"/>
      <c r="O46" s="61"/>
      <c r="P46" s="97"/>
      <c r="Q46" s="14"/>
    </row>
    <row r="47" spans="1:17" ht="18" customHeight="1">
      <c r="A47" s="12"/>
      <c r="B47" s="12"/>
      <c r="C47" s="12"/>
      <c r="D47" s="58"/>
      <c r="E47" s="56"/>
      <c r="F47" s="57"/>
      <c r="G47" s="58"/>
      <c r="H47" s="58"/>
      <c r="I47" s="58"/>
      <c r="J47" s="59"/>
      <c r="K47" s="978"/>
      <c r="L47" s="60"/>
      <c r="M47" s="60"/>
      <c r="N47" s="61"/>
      <c r="O47" s="61"/>
      <c r="P47" s="97"/>
      <c r="Q47" s="14"/>
    </row>
    <row r="48" spans="1:17" ht="18" customHeight="1">
      <c r="A48" s="12"/>
      <c r="B48" s="12"/>
      <c r="C48" s="12"/>
      <c r="D48" s="58"/>
      <c r="E48" s="56"/>
      <c r="F48" s="57"/>
      <c r="G48" s="58"/>
      <c r="H48" s="58"/>
      <c r="I48" s="58"/>
      <c r="J48" s="59"/>
      <c r="K48" s="978"/>
      <c r="L48" s="60"/>
      <c r="M48" s="60"/>
      <c r="N48" s="61"/>
      <c r="O48" s="61"/>
      <c r="P48" s="97"/>
      <c r="Q48" s="14"/>
    </row>
    <row r="49" spans="1:17" ht="18" customHeight="1">
      <c r="A49" s="12"/>
      <c r="B49" s="12"/>
      <c r="C49" s="12"/>
      <c r="D49" s="58"/>
      <c r="E49" s="56"/>
      <c r="F49" s="57"/>
      <c r="G49" s="58"/>
      <c r="H49" s="58"/>
      <c r="I49" s="58"/>
      <c r="J49" s="59"/>
      <c r="K49" s="978"/>
      <c r="L49" s="60"/>
      <c r="M49" s="60"/>
      <c r="N49" s="61"/>
      <c r="O49" s="61"/>
      <c r="P49" s="97"/>
      <c r="Q49" s="14"/>
    </row>
    <row r="50" spans="1:17" ht="18" customHeight="1">
      <c r="A50" s="12"/>
      <c r="B50" s="12"/>
      <c r="C50" s="12"/>
      <c r="D50" s="58"/>
      <c r="E50" s="56"/>
      <c r="F50" s="57"/>
      <c r="G50" s="58"/>
      <c r="H50" s="58"/>
      <c r="I50" s="58"/>
      <c r="J50" s="59"/>
      <c r="K50" s="978"/>
      <c r="L50" s="60"/>
      <c r="M50" s="60"/>
      <c r="N50" s="63"/>
      <c r="O50" s="63"/>
      <c r="P50" s="98"/>
      <c r="Q50" s="14"/>
    </row>
    <row r="51" spans="1:17" ht="13.8">
      <c r="A51" s="12"/>
      <c r="B51" s="12"/>
      <c r="C51" s="12"/>
      <c r="D51" s="58"/>
      <c r="E51" s="56"/>
      <c r="F51" s="2195"/>
      <c r="G51" s="64"/>
      <c r="H51" s="64"/>
      <c r="I51" s="64"/>
      <c r="J51" s="2205"/>
      <c r="K51" s="978"/>
      <c r="L51" s="59"/>
      <c r="M51" s="2205"/>
      <c r="N51" s="2164"/>
      <c r="O51" s="2164"/>
      <c r="P51" s="99"/>
      <c r="Q51" s="14"/>
    </row>
    <row r="52" spans="1:17" ht="13.8">
      <c r="A52" s="12"/>
      <c r="B52" s="12"/>
      <c r="C52" s="12"/>
      <c r="D52" s="58"/>
      <c r="E52" s="56"/>
      <c r="F52" s="2195"/>
      <c r="G52" s="65"/>
      <c r="H52" s="65"/>
      <c r="I52" s="65"/>
      <c r="J52" s="2205"/>
      <c r="K52" s="978"/>
      <c r="L52" s="59"/>
      <c r="M52" s="2205"/>
      <c r="N52" s="2164"/>
      <c r="O52" s="2164"/>
      <c r="P52" s="99"/>
      <c r="Q52" s="14"/>
    </row>
    <row r="53" spans="1:17" ht="13.8">
      <c r="A53" s="12"/>
      <c r="B53" s="12"/>
      <c r="C53" s="12"/>
      <c r="D53" s="58"/>
      <c r="E53" s="56"/>
      <c r="F53" s="2195"/>
      <c r="G53" s="64"/>
      <c r="H53" s="64"/>
      <c r="I53" s="64"/>
      <c r="J53" s="2205"/>
      <c r="K53" s="978"/>
      <c r="L53" s="59"/>
      <c r="M53" s="2205"/>
      <c r="N53" s="2164"/>
      <c r="O53" s="2164"/>
      <c r="P53" s="99"/>
      <c r="Q53" s="14"/>
    </row>
    <row r="54" spans="1:17" ht="13.8">
      <c r="A54" s="12"/>
      <c r="B54" s="12"/>
      <c r="C54" s="12"/>
      <c r="D54" s="58"/>
      <c r="E54" s="56"/>
      <c r="F54" s="2195"/>
      <c r="G54" s="64"/>
      <c r="H54" s="64"/>
      <c r="I54" s="64"/>
      <c r="J54" s="2201"/>
      <c r="K54" s="976"/>
      <c r="L54" s="41"/>
      <c r="M54" s="2201"/>
      <c r="N54" s="2164"/>
      <c r="O54" s="2164"/>
      <c r="P54" s="99"/>
      <c r="Q54" s="14"/>
    </row>
    <row r="55" spans="1:17" ht="13.8">
      <c r="A55" s="12"/>
      <c r="B55" s="12"/>
      <c r="C55" s="12"/>
      <c r="D55" s="58"/>
      <c r="E55" s="56"/>
      <c r="F55" s="2195"/>
      <c r="G55" s="65"/>
      <c r="H55" s="65"/>
      <c r="I55" s="65"/>
      <c r="J55" s="2201"/>
      <c r="K55" s="976"/>
      <c r="L55" s="41"/>
      <c r="M55" s="2201"/>
      <c r="N55" s="2164"/>
      <c r="O55" s="2164"/>
      <c r="P55" s="99"/>
      <c r="Q55" s="14"/>
    </row>
    <row r="56" spans="1:17" ht="13.8">
      <c r="A56" s="12"/>
      <c r="B56" s="12"/>
      <c r="C56" s="12"/>
      <c r="D56" s="58"/>
      <c r="E56" s="56"/>
      <c r="F56" s="2195"/>
      <c r="G56" s="64"/>
      <c r="H56" s="64"/>
      <c r="I56" s="64"/>
      <c r="J56" s="2201"/>
      <c r="K56" s="976"/>
      <c r="L56" s="41"/>
      <c r="M56" s="2201"/>
      <c r="N56" s="2164"/>
      <c r="O56" s="2164"/>
      <c r="P56" s="99"/>
      <c r="Q56" s="14"/>
    </row>
    <row r="57" spans="1:17">
      <c r="A57" s="14"/>
      <c r="B57" s="14"/>
      <c r="C57" s="14"/>
      <c r="D57" s="16"/>
      <c r="E57" s="14"/>
      <c r="F57" s="14"/>
      <c r="G57" s="14"/>
      <c r="H57" s="14"/>
      <c r="I57" s="14"/>
      <c r="J57" s="14"/>
      <c r="K57" s="14"/>
      <c r="L57" s="14"/>
      <c r="M57" s="14"/>
      <c r="N57" s="14"/>
      <c r="O57" s="14"/>
      <c r="P57" s="84"/>
      <c r="Q57" s="14"/>
    </row>
    <row r="58" spans="1:17">
      <c r="A58" s="14"/>
      <c r="B58" s="14"/>
      <c r="C58" s="14"/>
      <c r="D58" s="16"/>
      <c r="E58" s="14"/>
      <c r="F58" s="14"/>
      <c r="G58" s="14"/>
      <c r="H58" s="14"/>
      <c r="I58" s="14"/>
      <c r="J58" s="14"/>
      <c r="K58" s="14"/>
      <c r="L58" s="14"/>
      <c r="M58" s="14"/>
      <c r="N58" s="14"/>
      <c r="O58" s="14"/>
      <c r="P58" s="84"/>
      <c r="Q58" s="14"/>
    </row>
    <row r="59" spans="1:17">
      <c r="A59" s="43"/>
      <c r="B59" s="43"/>
      <c r="C59" s="43"/>
      <c r="D59" s="43"/>
      <c r="E59" s="44"/>
      <c r="F59" s="43"/>
      <c r="G59" s="45"/>
      <c r="H59" s="45"/>
      <c r="I59" s="45"/>
      <c r="J59" s="43"/>
      <c r="K59" s="43"/>
      <c r="L59" s="43"/>
      <c r="M59" s="43"/>
      <c r="N59" s="43"/>
      <c r="O59" s="43"/>
      <c r="P59" s="43"/>
      <c r="Q59" s="14"/>
    </row>
    <row r="60" spans="1:17">
      <c r="A60" s="2199"/>
      <c r="B60" s="1385"/>
      <c r="C60" s="2199"/>
      <c r="D60" s="2202"/>
      <c r="E60" s="46"/>
      <c r="F60" s="46"/>
      <c r="G60" s="24"/>
      <c r="H60" s="24"/>
      <c r="I60" s="24"/>
      <c r="J60" s="66"/>
      <c r="K60" s="66"/>
      <c r="L60" s="67"/>
      <c r="M60" s="67"/>
      <c r="N60" s="68"/>
      <c r="O60" s="2199"/>
      <c r="P60" s="84"/>
      <c r="Q60" s="14"/>
    </row>
    <row r="61" spans="1:17">
      <c r="A61" s="2199"/>
      <c r="B61" s="1385"/>
      <c r="C61" s="2199"/>
      <c r="D61" s="2203"/>
      <c r="E61" s="46"/>
      <c r="F61" s="46"/>
      <c r="G61" s="24"/>
      <c r="H61" s="24"/>
      <c r="I61" s="24"/>
      <c r="J61" s="66"/>
      <c r="K61" s="66"/>
      <c r="L61" s="69"/>
      <c r="M61" s="70"/>
      <c r="N61" s="71"/>
      <c r="O61" s="2199"/>
      <c r="P61" s="84"/>
      <c r="Q61" s="14"/>
    </row>
    <row r="62" spans="1:17">
      <c r="A62" s="2199"/>
      <c r="B62" s="1385"/>
      <c r="C62" s="2199"/>
      <c r="D62" s="2203"/>
      <c r="E62" s="46"/>
      <c r="F62" s="46"/>
      <c r="G62" s="24"/>
      <c r="H62" s="24"/>
      <c r="I62" s="24"/>
      <c r="J62" s="66"/>
      <c r="K62" s="66"/>
      <c r="L62" s="69"/>
      <c r="M62" s="70"/>
      <c r="N62" s="71"/>
      <c r="O62" s="2199"/>
      <c r="P62" s="84"/>
      <c r="Q62" s="14"/>
    </row>
    <row r="63" spans="1:17">
      <c r="A63" s="2199"/>
      <c r="B63" s="1385"/>
      <c r="C63" s="2199"/>
      <c r="D63" s="2203"/>
      <c r="E63" s="46"/>
      <c r="F63" s="46"/>
      <c r="G63" s="24"/>
      <c r="H63" s="24"/>
      <c r="I63" s="24"/>
      <c r="J63" s="66"/>
      <c r="K63" s="66"/>
      <c r="L63" s="69"/>
      <c r="M63" s="69"/>
      <c r="N63" s="71"/>
      <c r="O63" s="2199"/>
      <c r="P63" s="84"/>
      <c r="Q63" s="14"/>
    </row>
    <row r="64" spans="1:17">
      <c r="A64" s="2199"/>
      <c r="B64" s="1385"/>
      <c r="C64" s="2199"/>
      <c r="D64" s="23"/>
      <c r="E64" s="14"/>
      <c r="F64" s="23"/>
      <c r="G64" s="24"/>
      <c r="H64" s="24"/>
      <c r="I64" s="24"/>
      <c r="J64" s="14"/>
      <c r="K64" s="14"/>
      <c r="L64" s="14"/>
      <c r="M64" s="14"/>
      <c r="N64" s="14"/>
      <c r="O64" s="2199"/>
      <c r="P64" s="84"/>
      <c r="Q64" s="14"/>
    </row>
    <row r="65" spans="1:17">
      <c r="A65" s="2199"/>
      <c r="B65" s="1385"/>
      <c r="C65" s="2199"/>
      <c r="D65" s="72"/>
      <c r="E65" s="14"/>
      <c r="F65" s="23"/>
      <c r="G65" s="24"/>
      <c r="H65" s="24"/>
      <c r="I65" s="24"/>
      <c r="J65" s="14"/>
      <c r="K65" s="14"/>
      <c r="L65" s="14"/>
      <c r="M65" s="14"/>
      <c r="N65" s="14"/>
      <c r="O65" s="2199"/>
      <c r="P65" s="84"/>
      <c r="Q65" s="14"/>
    </row>
    <row r="66" spans="1:17">
      <c r="A66" s="14"/>
      <c r="B66" s="14"/>
      <c r="C66" s="14"/>
      <c r="D66" s="16"/>
      <c r="E66" s="14"/>
      <c r="F66" s="14"/>
      <c r="G66" s="14"/>
      <c r="H66" s="14"/>
      <c r="I66" s="14"/>
      <c r="J66" s="14"/>
      <c r="K66" s="14"/>
      <c r="L66" s="14"/>
      <c r="M66" s="14"/>
      <c r="N66" s="14"/>
      <c r="O66" s="14"/>
      <c r="P66" s="84"/>
      <c r="Q66" s="14"/>
    </row>
    <row r="67" spans="1:17">
      <c r="A67" s="14"/>
      <c r="B67" s="14"/>
      <c r="C67" s="14"/>
      <c r="D67" s="16"/>
      <c r="E67" s="14"/>
      <c r="F67" s="14"/>
      <c r="G67" s="14"/>
      <c r="H67" s="14"/>
      <c r="I67" s="14"/>
      <c r="J67" s="14"/>
      <c r="K67" s="14"/>
      <c r="L67" s="14"/>
      <c r="M67" s="14"/>
      <c r="N67" s="14"/>
      <c r="O67" s="14"/>
      <c r="P67" s="84"/>
      <c r="Q67" s="14"/>
    </row>
    <row r="68" spans="1:17">
      <c r="A68" s="14"/>
      <c r="B68" s="14"/>
      <c r="C68" s="14"/>
      <c r="D68" s="16"/>
      <c r="E68" s="14"/>
      <c r="F68" s="14"/>
      <c r="G68" s="14"/>
      <c r="H68" s="14"/>
      <c r="I68" s="14"/>
      <c r="J68" s="14"/>
      <c r="K68" s="14"/>
      <c r="L68" s="14"/>
      <c r="M68" s="14"/>
      <c r="N68" s="14"/>
      <c r="O68" s="14"/>
      <c r="P68" s="84"/>
      <c r="Q68" s="14"/>
    </row>
    <row r="69" spans="1:17">
      <c r="A69" s="14"/>
      <c r="B69" s="14"/>
      <c r="C69" s="14"/>
      <c r="D69" s="16"/>
      <c r="E69" s="14"/>
      <c r="F69" s="14"/>
      <c r="G69" s="14"/>
      <c r="H69" s="14"/>
      <c r="I69" s="14"/>
      <c r="J69" s="14"/>
      <c r="K69" s="14"/>
      <c r="L69" s="14"/>
      <c r="M69" s="14"/>
      <c r="N69" s="14"/>
      <c r="O69" s="14"/>
      <c r="P69" s="84"/>
      <c r="Q69" s="14"/>
    </row>
    <row r="70" spans="1:17">
      <c r="A70" s="43"/>
      <c r="B70" s="43"/>
      <c r="C70" s="43"/>
      <c r="D70" s="43"/>
      <c r="E70" s="44"/>
      <c r="F70" s="43"/>
      <c r="G70" s="45"/>
      <c r="H70" s="45"/>
      <c r="I70" s="45"/>
      <c r="J70" s="43"/>
      <c r="K70" s="43"/>
      <c r="L70" s="43"/>
      <c r="M70" s="43"/>
      <c r="N70" s="43"/>
      <c r="O70" s="43"/>
      <c r="P70" s="43"/>
      <c r="Q70" s="14"/>
    </row>
    <row r="71" spans="1:17">
      <c r="A71" s="2199"/>
      <c r="B71" s="1385"/>
      <c r="C71" s="2199"/>
      <c r="D71" s="23"/>
      <c r="E71" s="14"/>
      <c r="F71" s="23"/>
      <c r="G71" s="73"/>
      <c r="H71" s="73"/>
      <c r="I71" s="73"/>
      <c r="J71" s="14"/>
      <c r="K71" s="14"/>
      <c r="L71" s="14"/>
      <c r="M71" s="14"/>
      <c r="N71" s="14"/>
      <c r="O71" s="55"/>
      <c r="P71" s="84"/>
      <c r="Q71" s="14"/>
    </row>
    <row r="72" spans="1:17" ht="13.8">
      <c r="A72" s="2199"/>
      <c r="B72" s="1385"/>
      <c r="C72" s="2199"/>
      <c r="D72" s="2200"/>
      <c r="E72" s="14"/>
      <c r="F72" s="62"/>
      <c r="G72" s="74"/>
      <c r="H72" s="74"/>
      <c r="I72" s="74"/>
      <c r="J72" s="62"/>
      <c r="K72" s="62"/>
      <c r="L72" s="62"/>
      <c r="M72" s="62"/>
      <c r="N72" s="75"/>
      <c r="O72" s="62"/>
      <c r="P72" s="62"/>
      <c r="Q72" s="14"/>
    </row>
    <row r="73" spans="1:17" ht="13.8">
      <c r="A73" s="2199"/>
      <c r="B73" s="1385"/>
      <c r="C73" s="2199"/>
      <c r="D73" s="2200"/>
      <c r="E73" s="14"/>
      <c r="F73" s="62"/>
      <c r="G73" s="74"/>
      <c r="H73" s="74"/>
      <c r="I73" s="74"/>
      <c r="J73" s="62"/>
      <c r="K73" s="62"/>
      <c r="L73" s="62"/>
      <c r="M73" s="62"/>
      <c r="N73" s="75"/>
      <c r="O73" s="62"/>
      <c r="P73" s="62"/>
      <c r="Q73" s="14"/>
    </row>
    <row r="74" spans="1:17">
      <c r="A74" s="2199"/>
      <c r="B74" s="1385"/>
      <c r="C74" s="2199"/>
      <c r="D74" s="17"/>
      <c r="E74" s="14"/>
      <c r="F74" s="23"/>
      <c r="G74" s="73"/>
      <c r="H74" s="73"/>
      <c r="I74" s="73"/>
      <c r="J74" s="14"/>
      <c r="K74" s="14"/>
      <c r="L74" s="14"/>
      <c r="M74" s="14"/>
      <c r="N74" s="14"/>
      <c r="O74" s="55"/>
      <c r="P74" s="84"/>
      <c r="Q74" s="14"/>
    </row>
    <row r="75" spans="1:17">
      <c r="A75" s="14"/>
      <c r="B75" s="14"/>
      <c r="C75" s="14"/>
      <c r="D75" s="16"/>
      <c r="E75" s="14"/>
      <c r="F75" s="14"/>
      <c r="G75" s="14"/>
      <c r="H75" s="14"/>
      <c r="I75" s="14"/>
      <c r="J75" s="14"/>
      <c r="K75" s="14"/>
      <c r="L75" s="14"/>
      <c r="M75" s="14"/>
      <c r="N75" s="14"/>
      <c r="O75" s="14"/>
      <c r="P75" s="84"/>
      <c r="Q75" s="14"/>
    </row>
    <row r="76" spans="1:17">
      <c r="A76" s="14"/>
      <c r="B76" s="14"/>
      <c r="C76" s="14"/>
      <c r="D76" s="16"/>
      <c r="E76" s="14"/>
      <c r="F76" s="14"/>
      <c r="G76" s="14"/>
      <c r="H76" s="14"/>
      <c r="I76" s="14"/>
      <c r="J76" s="14"/>
      <c r="K76" s="14"/>
      <c r="L76" s="14"/>
      <c r="M76" s="14"/>
      <c r="N76" s="14"/>
      <c r="O76" s="14"/>
      <c r="P76" s="84"/>
      <c r="Q76" s="14"/>
    </row>
    <row r="77" spans="1:17">
      <c r="A77" s="14"/>
      <c r="B77" s="14"/>
      <c r="C77" s="14"/>
      <c r="D77" s="16"/>
      <c r="E77" s="14"/>
      <c r="F77" s="14"/>
      <c r="G77" s="14"/>
      <c r="H77" s="14"/>
      <c r="I77" s="14"/>
      <c r="J77" s="14"/>
      <c r="K77" s="14"/>
      <c r="L77" s="14"/>
      <c r="M77" s="14"/>
      <c r="N77" s="14"/>
      <c r="O77" s="14"/>
      <c r="P77" s="84"/>
      <c r="Q77" s="14"/>
    </row>
    <row r="78" spans="1:17">
      <c r="A78" s="14"/>
      <c r="B78" s="14"/>
      <c r="C78" s="14"/>
      <c r="D78" s="16"/>
      <c r="E78" s="14"/>
      <c r="F78" s="14"/>
      <c r="G78" s="14"/>
      <c r="H78" s="14"/>
      <c r="I78" s="14"/>
      <c r="J78" s="14"/>
      <c r="K78" s="14"/>
      <c r="L78" s="14"/>
      <c r="M78" s="14"/>
      <c r="N78" s="14"/>
      <c r="O78" s="14"/>
      <c r="P78" s="84"/>
      <c r="Q78" s="14"/>
    </row>
    <row r="79" spans="1:17">
      <c r="A79" s="14"/>
      <c r="B79" s="14"/>
      <c r="C79" s="14"/>
      <c r="D79" s="16"/>
      <c r="E79" s="14"/>
      <c r="F79" s="14"/>
      <c r="G79" s="14"/>
      <c r="H79" s="14"/>
      <c r="I79" s="14"/>
      <c r="J79" s="14"/>
      <c r="K79" s="14"/>
      <c r="L79" s="14"/>
      <c r="M79" s="14"/>
      <c r="N79" s="14"/>
      <c r="O79" s="14"/>
      <c r="P79" s="84"/>
      <c r="Q79" s="14"/>
    </row>
    <row r="80" spans="1:17">
      <c r="A80" s="14"/>
      <c r="B80" s="14"/>
      <c r="C80" s="14"/>
      <c r="D80" s="16"/>
      <c r="E80" s="14"/>
      <c r="F80" s="14"/>
      <c r="G80" s="14"/>
      <c r="H80" s="14"/>
      <c r="I80" s="14"/>
      <c r="J80" s="14"/>
      <c r="K80" s="14"/>
      <c r="L80" s="14"/>
      <c r="M80" s="14"/>
      <c r="N80" s="14"/>
      <c r="O80" s="14"/>
      <c r="P80" s="84"/>
      <c r="Q80" s="14"/>
    </row>
    <row r="81" spans="1:17" ht="20.100000000000001" customHeight="1">
      <c r="A81" s="43"/>
      <c r="B81" s="43"/>
      <c r="C81" s="43"/>
      <c r="D81" s="43"/>
      <c r="E81" s="44"/>
      <c r="F81" s="43"/>
      <c r="G81" s="45"/>
      <c r="H81" s="45"/>
      <c r="I81" s="45"/>
      <c r="J81" s="43"/>
      <c r="K81" s="43"/>
      <c r="L81" s="43"/>
      <c r="M81" s="43"/>
      <c r="N81" s="43"/>
      <c r="O81" s="43"/>
      <c r="P81" s="43"/>
      <c r="Q81" s="14"/>
    </row>
    <row r="82" spans="1:17" ht="20.100000000000001" customHeight="1">
      <c r="A82" s="2199"/>
      <c r="B82" s="1385"/>
      <c r="C82" s="2199"/>
      <c r="D82" s="2200"/>
      <c r="E82" s="14"/>
      <c r="F82" s="62"/>
      <c r="G82" s="74"/>
      <c r="H82" s="74"/>
      <c r="I82" s="74"/>
      <c r="J82" s="62"/>
      <c r="K82" s="62"/>
      <c r="L82" s="62"/>
      <c r="M82" s="62"/>
      <c r="N82" s="75"/>
      <c r="O82" s="62"/>
      <c r="P82" s="62"/>
      <c r="Q82" s="14"/>
    </row>
    <row r="83" spans="1:17" ht="20.100000000000001" customHeight="1">
      <c r="A83" s="2199"/>
      <c r="B83" s="1385"/>
      <c r="C83" s="2199"/>
      <c r="D83" s="2200"/>
      <c r="E83" s="14"/>
      <c r="F83" s="62"/>
      <c r="G83" s="74"/>
      <c r="H83" s="74"/>
      <c r="I83" s="74"/>
      <c r="J83" s="62"/>
      <c r="K83" s="62"/>
      <c r="L83" s="62"/>
      <c r="M83" s="62"/>
      <c r="N83" s="75"/>
      <c r="O83" s="62"/>
      <c r="P83" s="62"/>
      <c r="Q83" s="14"/>
    </row>
    <row r="84" spans="1:17" ht="20.100000000000001" customHeight="1">
      <c r="A84" s="2199"/>
      <c r="B84" s="1385"/>
      <c r="C84" s="2199"/>
      <c r="D84" s="2200"/>
      <c r="E84" s="14"/>
      <c r="F84" s="62"/>
      <c r="G84" s="74"/>
      <c r="H84" s="74"/>
      <c r="I84" s="74"/>
      <c r="J84" s="62"/>
      <c r="K84" s="62"/>
      <c r="L84" s="62"/>
      <c r="M84" s="62"/>
      <c r="N84" s="75"/>
      <c r="O84" s="62"/>
      <c r="P84" s="62"/>
      <c r="Q84" s="14"/>
    </row>
    <row r="85" spans="1:17" ht="20.100000000000001" customHeight="1">
      <c r="A85" s="2199"/>
      <c r="B85" s="1385"/>
      <c r="C85" s="2199"/>
      <c r="D85" s="2200"/>
      <c r="E85" s="14"/>
      <c r="F85" s="62"/>
      <c r="G85" s="74"/>
      <c r="H85" s="74"/>
      <c r="I85" s="74"/>
      <c r="J85" s="62"/>
      <c r="K85" s="62"/>
      <c r="L85" s="62"/>
      <c r="M85" s="62"/>
      <c r="N85" s="75"/>
      <c r="O85" s="62"/>
      <c r="P85" s="62"/>
      <c r="Q85" s="14"/>
    </row>
    <row r="86" spans="1:17">
      <c r="A86" s="14"/>
      <c r="B86" s="14"/>
      <c r="C86" s="14"/>
      <c r="D86" s="16"/>
      <c r="E86" s="14"/>
      <c r="F86" s="14"/>
      <c r="G86" s="14"/>
      <c r="H86" s="14"/>
      <c r="I86" s="14"/>
      <c r="J86" s="14"/>
      <c r="K86" s="14"/>
      <c r="L86" s="14"/>
      <c r="M86" s="14"/>
      <c r="N86" s="14"/>
      <c r="O86" s="14"/>
      <c r="P86" s="84"/>
      <c r="Q86" s="14"/>
    </row>
    <row r="87" spans="1:17">
      <c r="A87" s="14"/>
      <c r="B87" s="14"/>
      <c r="C87" s="14"/>
      <c r="D87" s="16"/>
      <c r="E87" s="14"/>
      <c r="F87" s="14"/>
      <c r="G87" s="14"/>
      <c r="H87" s="14"/>
      <c r="I87" s="14"/>
      <c r="J87" s="14"/>
      <c r="K87" s="14"/>
      <c r="L87" s="14"/>
      <c r="M87" s="14"/>
      <c r="N87" s="14"/>
      <c r="O87" s="14"/>
      <c r="P87" s="84"/>
      <c r="Q87" s="14"/>
    </row>
    <row r="88" spans="1:17">
      <c r="A88" s="14"/>
      <c r="B88" s="14"/>
      <c r="C88" s="14"/>
      <c r="D88" s="16"/>
      <c r="E88" s="14"/>
      <c r="F88" s="14"/>
      <c r="G88" s="14"/>
      <c r="H88" s="14"/>
      <c r="I88" s="14"/>
      <c r="J88" s="14"/>
      <c r="K88" s="14"/>
      <c r="L88" s="14"/>
      <c r="M88" s="14"/>
      <c r="N88" s="14"/>
      <c r="O88" s="14"/>
      <c r="P88" s="84"/>
      <c r="Q88" s="14"/>
    </row>
    <row r="89" spans="1:17">
      <c r="A89" s="14"/>
      <c r="B89" s="14"/>
      <c r="C89" s="14"/>
      <c r="D89" s="16"/>
      <c r="E89" s="14"/>
      <c r="F89" s="14"/>
      <c r="G89" s="14"/>
      <c r="H89" s="14"/>
      <c r="I89" s="14"/>
      <c r="J89" s="14"/>
      <c r="K89" s="14"/>
      <c r="L89" s="14"/>
      <c r="M89" s="14"/>
      <c r="N89" s="14"/>
      <c r="O89" s="14"/>
      <c r="P89" s="84"/>
      <c r="Q89" s="14"/>
    </row>
    <row r="90" spans="1:17">
      <c r="A90" s="14"/>
      <c r="B90" s="14"/>
      <c r="C90" s="14"/>
      <c r="D90" s="16"/>
      <c r="E90" s="14"/>
      <c r="F90" s="14"/>
      <c r="G90" s="14"/>
      <c r="H90" s="14"/>
      <c r="I90" s="14"/>
      <c r="J90" s="14"/>
      <c r="K90" s="14"/>
      <c r="L90" s="14"/>
      <c r="M90" s="14"/>
      <c r="N90" s="14"/>
      <c r="O90" s="14"/>
      <c r="P90" s="84"/>
      <c r="Q90" s="14"/>
    </row>
    <row r="91" spans="1:17">
      <c r="A91" s="14"/>
      <c r="B91" s="14"/>
      <c r="C91" s="14"/>
      <c r="D91" s="16"/>
      <c r="E91" s="14"/>
      <c r="F91" s="14"/>
      <c r="G91" s="14"/>
      <c r="H91" s="14"/>
      <c r="I91" s="14"/>
      <c r="J91" s="14"/>
      <c r="K91" s="14"/>
      <c r="L91" s="14"/>
      <c r="M91" s="14"/>
      <c r="N91" s="14"/>
      <c r="O91" s="14"/>
      <c r="P91" s="84"/>
      <c r="Q91" s="14"/>
    </row>
  </sheetData>
  <mergeCells count="56">
    <mergeCell ref="A15:A18"/>
    <mergeCell ref="F2:G2"/>
    <mergeCell ref="H2:L2"/>
    <mergeCell ref="F3:G3"/>
    <mergeCell ref="H3:L3"/>
    <mergeCell ref="F4:G4"/>
    <mergeCell ref="H4:L4"/>
    <mergeCell ref="F5:G5"/>
    <mergeCell ref="A2:A3"/>
    <mergeCell ref="A4:A5"/>
    <mergeCell ref="A7:A11"/>
    <mergeCell ref="B2:E3"/>
    <mergeCell ref="B4:E5"/>
    <mergeCell ref="H5:L5"/>
    <mergeCell ref="B6:C6"/>
    <mergeCell ref="F6:H6"/>
    <mergeCell ref="D22:D26"/>
    <mergeCell ref="J51:J53"/>
    <mergeCell ref="M51:M53"/>
    <mergeCell ref="B7:C11"/>
    <mergeCell ref="B12:C12"/>
    <mergeCell ref="B15:C18"/>
    <mergeCell ref="F19:H19"/>
    <mergeCell ref="B19:C19"/>
    <mergeCell ref="B13:C13"/>
    <mergeCell ref="A82:A85"/>
    <mergeCell ref="C82:C85"/>
    <mergeCell ref="D82:D85"/>
    <mergeCell ref="O60:O65"/>
    <mergeCell ref="F54:F56"/>
    <mergeCell ref="J54:J56"/>
    <mergeCell ref="M54:M56"/>
    <mergeCell ref="N54:N56"/>
    <mergeCell ref="O54:O56"/>
    <mergeCell ref="A60:A65"/>
    <mergeCell ref="A71:A74"/>
    <mergeCell ref="C71:C74"/>
    <mergeCell ref="D72:D73"/>
    <mergeCell ref="C60:C65"/>
    <mergeCell ref="D60:D63"/>
    <mergeCell ref="O51:O53"/>
    <mergeCell ref="O9:O11"/>
    <mergeCell ref="N7:N8"/>
    <mergeCell ref="F18:H18"/>
    <mergeCell ref="N15:N16"/>
    <mergeCell ref="N17:N18"/>
    <mergeCell ref="O15:O18"/>
    <mergeCell ref="O7:O8"/>
    <mergeCell ref="F14:H14"/>
    <mergeCell ref="F12:H12"/>
    <mergeCell ref="F17:H17"/>
    <mergeCell ref="F15:H15"/>
    <mergeCell ref="F16:H16"/>
    <mergeCell ref="N51:N53"/>
    <mergeCell ref="F51:F53"/>
    <mergeCell ref="F13:H13"/>
  </mergeCells>
  <phoneticPr fontId="14"/>
  <hyperlinks>
    <hyperlink ref="P8" r:id="rId1"/>
    <hyperlink ref="P7" r:id="rId2" location="28スリーブの加工判断.pdf"/>
    <hyperlink ref="A1:P1" location="TEMPLATE!A1" display="SLEEVE"/>
  </hyperlinks>
  <pageMargins left="0.70866141732283472" right="0.70866141732283472" top="0.74803149606299213" bottom="0.74803149606299213" header="0.31496062992125984" footer="0.31496062992125984"/>
  <pageSetup paperSize="9" scale="65" orientation="landscape" r:id="rId3"/>
  <rowBreaks count="1" manualBreakCount="1">
    <brk id="36" max="13" man="1"/>
  </rowBreaks>
  <legacy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FF00"/>
    <pageSetUpPr fitToPage="1"/>
  </sheetPr>
  <dimension ref="A1:P34"/>
  <sheetViews>
    <sheetView showGridLines="0" view="pageBreakPreview" zoomScaleNormal="100" zoomScaleSheetLayoutView="100" workbookViewId="0"/>
  </sheetViews>
  <sheetFormatPr defaultColWidth="9" defaultRowHeight="13.2"/>
  <cols>
    <col min="1" max="2" width="22.3984375" style="6" customWidth="1"/>
    <col min="3" max="3" width="15.3984375" style="6" customWidth="1"/>
    <col min="4" max="4" width="5.59765625" style="5" customWidth="1"/>
    <col min="5" max="5" width="29.69921875" style="6" customWidth="1"/>
    <col min="6" max="6" width="18" style="6" bestFit="1" customWidth="1"/>
    <col min="7" max="7" width="12.09765625" style="6" bestFit="1" customWidth="1"/>
    <col min="8" max="12" width="5.59765625" style="6" customWidth="1"/>
    <col min="13" max="13" width="11" style="6" bestFit="1" customWidth="1"/>
    <col min="14" max="14" width="44.5" style="6" customWidth="1"/>
    <col min="15" max="15" width="6.69921875" style="6" bestFit="1" customWidth="1"/>
    <col min="16" max="16" width="6.8984375" style="6" bestFit="1" customWidth="1"/>
    <col min="17" max="16384" width="9" style="6"/>
  </cols>
  <sheetData>
    <row r="1" spans="1:16">
      <c r="A1" s="835" t="s">
        <v>1060</v>
      </c>
      <c r="B1" s="835"/>
      <c r="C1" s="835"/>
      <c r="D1" s="835"/>
      <c r="E1" s="835"/>
      <c r="F1" s="835"/>
      <c r="G1" s="835"/>
      <c r="H1" s="835"/>
      <c r="I1" s="835"/>
      <c r="J1" s="835"/>
      <c r="K1" s="835"/>
      <c r="L1" s="835"/>
      <c r="M1" s="835"/>
      <c r="N1" s="835"/>
      <c r="O1" s="835"/>
      <c r="P1" s="100"/>
    </row>
    <row r="2" spans="1:16" ht="30" customHeight="1">
      <c r="A2" s="2013" t="s">
        <v>5</v>
      </c>
      <c r="B2" s="1993"/>
      <c r="C2" s="1993"/>
      <c r="D2" s="1993"/>
      <c r="E2" s="1993"/>
      <c r="F2" s="2006" t="s">
        <v>1391</v>
      </c>
      <c r="G2" s="2006"/>
      <c r="H2" s="2009"/>
      <c r="I2" s="2009"/>
      <c r="J2" s="2009"/>
      <c r="K2" s="2009"/>
      <c r="L2" s="2009"/>
      <c r="M2" s="904" t="s">
        <v>1187</v>
      </c>
      <c r="N2" s="838" t="s">
        <v>1393</v>
      </c>
      <c r="O2" s="1405"/>
      <c r="P2" s="974"/>
    </row>
    <row r="3" spans="1:16" ht="30" customHeight="1">
      <c r="A3" s="2014"/>
      <c r="B3" s="1993"/>
      <c r="C3" s="1993"/>
      <c r="D3" s="1993"/>
      <c r="E3" s="1993"/>
      <c r="F3" s="2006" t="s">
        <v>1371</v>
      </c>
      <c r="G3" s="2006"/>
      <c r="H3" s="2009"/>
      <c r="I3" s="2009"/>
      <c r="J3" s="2009"/>
      <c r="K3" s="2009"/>
      <c r="L3" s="2009"/>
      <c r="M3" s="35"/>
      <c r="N3" s="7"/>
      <c r="O3" s="839"/>
      <c r="P3" s="974"/>
    </row>
    <row r="4" spans="1:16" ht="30" customHeight="1">
      <c r="A4" s="2013" t="s">
        <v>38</v>
      </c>
      <c r="B4" s="1993"/>
      <c r="C4" s="1993"/>
      <c r="D4" s="1993"/>
      <c r="E4" s="1993"/>
      <c r="F4" s="2007" t="s">
        <v>1392</v>
      </c>
      <c r="G4" s="2007"/>
      <c r="H4" s="2009"/>
      <c r="I4" s="2009"/>
      <c r="J4" s="2009"/>
      <c r="K4" s="2009"/>
      <c r="L4" s="2009"/>
      <c r="M4" s="35"/>
      <c r="N4" s="7"/>
      <c r="O4" s="839"/>
      <c r="P4" s="974"/>
    </row>
    <row r="5" spans="1:16" ht="30" customHeight="1">
      <c r="A5" s="2014"/>
      <c r="B5" s="1993"/>
      <c r="C5" s="1993"/>
      <c r="D5" s="1993"/>
      <c r="E5" s="1993"/>
      <c r="F5" s="2008" t="s">
        <v>1372</v>
      </c>
      <c r="G5" s="2008"/>
      <c r="H5" s="2009"/>
      <c r="I5" s="2009"/>
      <c r="J5" s="2009"/>
      <c r="K5" s="2009"/>
      <c r="L5" s="2009"/>
      <c r="M5" s="35"/>
      <c r="N5" s="7"/>
      <c r="O5" s="839"/>
      <c r="P5" s="974"/>
    </row>
    <row r="6" spans="1:16" ht="60" customHeight="1">
      <c r="A6" s="908" t="s">
        <v>1227</v>
      </c>
      <c r="B6" s="2004" t="s">
        <v>6</v>
      </c>
      <c r="C6" s="2005"/>
      <c r="D6" s="1323" t="s">
        <v>1407</v>
      </c>
      <c r="E6" s="82" t="s">
        <v>64</v>
      </c>
      <c r="F6" s="2001" t="s">
        <v>1</v>
      </c>
      <c r="G6" s="2002"/>
      <c r="H6" s="2003"/>
      <c r="I6" s="1038" t="s">
        <v>66</v>
      </c>
      <c r="J6" s="1038" t="s">
        <v>1376</v>
      </c>
      <c r="K6" s="1372" t="s">
        <v>1377</v>
      </c>
      <c r="L6" s="1372" t="s">
        <v>1375</v>
      </c>
      <c r="M6" s="1069" t="s">
        <v>1378</v>
      </c>
      <c r="N6" s="1069" t="s">
        <v>1387</v>
      </c>
      <c r="O6" s="1322" t="s">
        <v>1379</v>
      </c>
    </row>
    <row r="7" spans="1:16" ht="20.100000000000001" customHeight="1">
      <c r="A7" s="2231">
        <v>1011</v>
      </c>
      <c r="B7" s="2234" t="s">
        <v>23</v>
      </c>
      <c r="C7" s="2234"/>
      <c r="D7" s="279"/>
      <c r="E7" s="1035" t="s">
        <v>158</v>
      </c>
      <c r="F7" s="2184" t="s">
        <v>159</v>
      </c>
      <c r="G7" s="2190"/>
      <c r="H7" s="2191"/>
      <c r="I7" s="279"/>
      <c r="J7" s="279"/>
      <c r="K7" s="279"/>
      <c r="L7" s="279"/>
      <c r="M7" s="287"/>
      <c r="N7" s="2222" t="s">
        <v>1452</v>
      </c>
      <c r="O7" s="2224" t="str">
        <f>HYPERLINK(VLOOKUP(F7,LINK,2,FALSE),VLOOKUP(F7,LINK,3,FALSE))</f>
        <v>EXCEL</v>
      </c>
    </row>
    <row r="8" spans="1:16" ht="20.100000000000001" customHeight="1">
      <c r="A8" s="2232"/>
      <c r="B8" s="2235"/>
      <c r="C8" s="2235"/>
      <c r="D8" s="282"/>
      <c r="E8" s="515" t="s">
        <v>24</v>
      </c>
      <c r="F8" s="2192" t="s">
        <v>503</v>
      </c>
      <c r="G8" s="2193"/>
      <c r="H8" s="2194"/>
      <c r="I8" s="282"/>
      <c r="J8" s="282"/>
      <c r="K8" s="282"/>
      <c r="L8" s="282"/>
      <c r="M8" s="284"/>
      <c r="N8" s="2223"/>
      <c r="O8" s="2165"/>
      <c r="P8" s="37" t="s">
        <v>1122</v>
      </c>
    </row>
    <row r="9" spans="1:16" ht="36.9" customHeight="1">
      <c r="A9" s="2232"/>
      <c r="B9" s="2235"/>
      <c r="C9" s="2235"/>
      <c r="D9" s="1552"/>
      <c r="E9" s="1553" t="s">
        <v>504</v>
      </c>
      <c r="F9" s="2226" t="s">
        <v>1592</v>
      </c>
      <c r="G9" s="2227"/>
      <c r="H9" s="2227"/>
      <c r="I9" s="1552"/>
      <c r="J9" s="1552"/>
      <c r="K9" s="1552"/>
      <c r="L9" s="1552"/>
      <c r="M9" s="1554"/>
      <c r="N9" s="2228" t="s">
        <v>1459</v>
      </c>
      <c r="O9" s="2165"/>
    </row>
    <row r="10" spans="1:16" ht="20.100000000000001" customHeight="1">
      <c r="A10" s="2233"/>
      <c r="B10" s="2236"/>
      <c r="C10" s="2236"/>
      <c r="D10" s="1555"/>
      <c r="E10" s="1556" t="s">
        <v>1453</v>
      </c>
      <c r="F10" s="2230" t="s">
        <v>1454</v>
      </c>
      <c r="G10" s="2230"/>
      <c r="H10" s="2230"/>
      <c r="I10" s="1549"/>
      <c r="J10" s="1549"/>
      <c r="K10" s="1549"/>
      <c r="L10" s="1549"/>
      <c r="M10" s="1555"/>
      <c r="N10" s="2229"/>
      <c r="O10" s="2225"/>
    </row>
    <row r="11" spans="1:16" ht="20.100000000000001" customHeight="1">
      <c r="A11" s="2134">
        <v>1061</v>
      </c>
      <c r="B11" s="2116" t="s">
        <v>77</v>
      </c>
      <c r="C11" s="2055" t="s">
        <v>78</v>
      </c>
      <c r="D11" s="188"/>
      <c r="E11" s="303" t="s">
        <v>72</v>
      </c>
      <c r="F11" s="342" t="s">
        <v>81</v>
      </c>
      <c r="G11" s="343"/>
      <c r="H11" s="343"/>
      <c r="I11" s="188"/>
      <c r="J11" s="188"/>
      <c r="K11" s="188"/>
      <c r="L11" s="188"/>
      <c r="M11" s="2114" t="s">
        <v>1433</v>
      </c>
      <c r="N11" s="2129" t="s">
        <v>1435</v>
      </c>
      <c r="O11" s="2149" t="str">
        <f>HYPERLINK(VLOOKUP(F11,LINK,2,FALSE),VLOOKUP(F11,LINK,3,FALSE))</f>
        <v>EXCEL</v>
      </c>
    </row>
    <row r="12" spans="1:16" ht="20.100000000000001" customHeight="1">
      <c r="A12" s="2134"/>
      <c r="B12" s="2135"/>
      <c r="C12" s="2055"/>
      <c r="D12" s="1402"/>
      <c r="E12" s="1404" t="s">
        <v>73</v>
      </c>
      <c r="F12" s="345" t="s">
        <v>83</v>
      </c>
      <c r="G12" s="346"/>
      <c r="H12" s="346"/>
      <c r="I12" s="1402"/>
      <c r="J12" s="1402"/>
      <c r="K12" s="1402"/>
      <c r="L12" s="1402"/>
      <c r="M12" s="2115"/>
      <c r="N12" s="2130"/>
      <c r="O12" s="2149"/>
    </row>
    <row r="13" spans="1:16" ht="20.100000000000001" customHeight="1">
      <c r="A13" s="2134"/>
      <c r="B13" s="2135"/>
      <c r="C13" s="2055"/>
      <c r="D13" s="1402"/>
      <c r="E13" s="1219" t="s">
        <v>74</v>
      </c>
      <c r="F13" s="2118" t="s">
        <v>82</v>
      </c>
      <c r="G13" s="2119"/>
      <c r="H13" s="2120"/>
      <c r="I13" s="1402"/>
      <c r="J13" s="228"/>
      <c r="K13" s="228"/>
      <c r="L13" s="1402"/>
      <c r="M13" s="307"/>
      <c r="N13" s="2130" t="s">
        <v>1436</v>
      </c>
      <c r="O13" s="2149"/>
    </row>
    <row r="14" spans="1:16" ht="20.100000000000001" customHeight="1">
      <c r="A14" s="2134"/>
      <c r="B14" s="2135"/>
      <c r="C14" s="2055"/>
      <c r="D14" s="1402"/>
      <c r="E14" s="1219" t="s">
        <v>79</v>
      </c>
      <c r="F14" s="2121" t="s">
        <v>80</v>
      </c>
      <c r="G14" s="2122"/>
      <c r="H14" s="2123"/>
      <c r="I14" s="1402"/>
      <c r="J14" s="228"/>
      <c r="K14" s="228"/>
      <c r="L14" s="1402"/>
      <c r="M14" s="1538"/>
      <c r="N14" s="2130"/>
      <c r="O14" s="2149"/>
    </row>
    <row r="15" spans="1:16" ht="20.100000000000001" customHeight="1">
      <c r="A15" s="2134"/>
      <c r="B15" s="2135"/>
      <c r="C15" s="2055"/>
      <c r="D15" s="1403"/>
      <c r="E15" s="1539" t="s">
        <v>75</v>
      </c>
      <c r="F15" s="2124" t="s">
        <v>1174</v>
      </c>
      <c r="G15" s="2125"/>
      <c r="H15" s="2126"/>
      <c r="I15" s="1403"/>
      <c r="J15" s="229"/>
      <c r="K15" s="229"/>
      <c r="L15" s="1403"/>
      <c r="M15" s="308"/>
      <c r="N15" s="2133"/>
      <c r="O15" s="2149"/>
    </row>
    <row r="16" spans="1:16" ht="20.100000000000001" customHeight="1">
      <c r="A16" s="2134"/>
      <c r="B16" s="2135"/>
      <c r="C16" s="2150" t="s">
        <v>589</v>
      </c>
      <c r="D16" s="188"/>
      <c r="E16" s="1400" t="s">
        <v>590</v>
      </c>
      <c r="F16" s="1423" t="s">
        <v>591</v>
      </c>
      <c r="G16" s="1424"/>
      <c r="H16" s="424"/>
      <c r="I16" s="188"/>
      <c r="J16" s="188"/>
      <c r="K16" s="188"/>
      <c r="L16" s="188"/>
      <c r="M16" s="2116" t="s">
        <v>1434</v>
      </c>
      <c r="N16" s="2131" t="s">
        <v>620</v>
      </c>
      <c r="O16" s="2018" t="str">
        <f>HYPERLINK(VLOOKUP(F16,LINK,2,FALSE),VLOOKUP(F16,LINK,3,FALSE))</f>
        <v>EXCEL</v>
      </c>
    </row>
    <row r="17" spans="1:15" ht="20.100000000000001" customHeight="1">
      <c r="A17" s="2134"/>
      <c r="B17" s="2117"/>
      <c r="C17" s="2151"/>
      <c r="D17" s="1403"/>
      <c r="E17" s="1401" t="s">
        <v>592</v>
      </c>
      <c r="F17" s="425" t="s">
        <v>593</v>
      </c>
      <c r="G17" s="1502"/>
      <c r="H17" s="426"/>
      <c r="I17" s="1403"/>
      <c r="J17" s="1403"/>
      <c r="K17" s="1403"/>
      <c r="L17" s="1403"/>
      <c r="M17" s="2117"/>
      <c r="N17" s="2132"/>
      <c r="O17" s="2020"/>
    </row>
    <row r="18" spans="1:15" ht="33.75" customHeight="1">
      <c r="A18" s="835" t="s">
        <v>1060</v>
      </c>
      <c r="B18" s="835"/>
      <c r="C18" s="835"/>
      <c r="D18" s="835"/>
      <c r="E18" s="835"/>
      <c r="F18" s="835"/>
      <c r="G18" s="835"/>
      <c r="H18" s="835"/>
      <c r="I18" s="835"/>
      <c r="J18" s="835"/>
      <c r="K18" s="835"/>
      <c r="L18" s="835"/>
      <c r="M18" s="835"/>
      <c r="N18" s="835"/>
      <c r="O18" s="835"/>
    </row>
    <row r="19" spans="1:15" ht="24" customHeight="1">
      <c r="A19" s="2013" t="s">
        <v>5</v>
      </c>
      <c r="B19" s="1993"/>
      <c r="C19" s="1993"/>
      <c r="D19" s="1993"/>
      <c r="E19" s="1993"/>
      <c r="F19" s="2006" t="s">
        <v>1391</v>
      </c>
      <c r="G19" s="2006"/>
      <c r="H19" s="2009"/>
      <c r="I19" s="2009"/>
      <c r="J19" s="2009"/>
      <c r="K19" s="2009"/>
      <c r="L19" s="2009"/>
      <c r="M19" s="904" t="s">
        <v>1187</v>
      </c>
      <c r="N19" s="838" t="s">
        <v>1393</v>
      </c>
      <c r="O19" s="1405"/>
    </row>
    <row r="20" spans="1:15" ht="24" customHeight="1">
      <c r="A20" s="2014"/>
      <c r="B20" s="1993"/>
      <c r="C20" s="1993"/>
      <c r="D20" s="1993"/>
      <c r="E20" s="1993"/>
      <c r="F20" s="2006" t="s">
        <v>1371</v>
      </c>
      <c r="G20" s="2006"/>
      <c r="H20" s="2009"/>
      <c r="I20" s="2009"/>
      <c r="J20" s="2009"/>
      <c r="K20" s="2009"/>
      <c r="L20" s="2009"/>
      <c r="M20" s="35"/>
      <c r="N20" s="7"/>
      <c r="O20" s="839"/>
    </row>
    <row r="21" spans="1:15" ht="24" customHeight="1">
      <c r="A21" s="2013" t="s">
        <v>38</v>
      </c>
      <c r="B21" s="1993"/>
      <c r="C21" s="1993"/>
      <c r="D21" s="1993"/>
      <c r="E21" s="1993"/>
      <c r="F21" s="2007" t="s">
        <v>1392</v>
      </c>
      <c r="G21" s="2007"/>
      <c r="H21" s="2009"/>
      <c r="I21" s="2009"/>
      <c r="J21" s="2009"/>
      <c r="K21" s="2009"/>
      <c r="L21" s="2009"/>
      <c r="M21" s="35"/>
      <c r="N21" s="7"/>
      <c r="O21" s="839"/>
    </row>
    <row r="22" spans="1:15" ht="24" customHeight="1">
      <c r="A22" s="2014"/>
      <c r="B22" s="1993"/>
      <c r="C22" s="1993"/>
      <c r="D22" s="1993"/>
      <c r="E22" s="1993"/>
      <c r="F22" s="2008" t="s">
        <v>1372</v>
      </c>
      <c r="G22" s="2008"/>
      <c r="H22" s="2009"/>
      <c r="I22" s="2009"/>
      <c r="J22" s="2009"/>
      <c r="K22" s="2009"/>
      <c r="L22" s="2009"/>
      <c r="M22" s="35"/>
      <c r="N22" s="7"/>
      <c r="O22" s="839"/>
    </row>
    <row r="23" spans="1:15" ht="52.2">
      <c r="A23" s="908" t="s">
        <v>1227</v>
      </c>
      <c r="B23" s="2004" t="s">
        <v>6</v>
      </c>
      <c r="C23" s="2005"/>
      <c r="D23" s="1323" t="s">
        <v>1407</v>
      </c>
      <c r="E23" s="82" t="s">
        <v>64</v>
      </c>
      <c r="F23" s="2001" t="s">
        <v>1</v>
      </c>
      <c r="G23" s="2002"/>
      <c r="H23" s="2003"/>
      <c r="I23" s="1038" t="s">
        <v>66</v>
      </c>
      <c r="J23" s="1038" t="s">
        <v>1376</v>
      </c>
      <c r="K23" s="1372" t="s">
        <v>1377</v>
      </c>
      <c r="L23" s="1372" t="s">
        <v>1375</v>
      </c>
      <c r="M23" s="1069" t="s">
        <v>1378</v>
      </c>
      <c r="N23" s="1069" t="s">
        <v>1387</v>
      </c>
      <c r="O23" s="1322" t="s">
        <v>1379</v>
      </c>
    </row>
    <row r="24" spans="1:15" ht="23.4" customHeight="1">
      <c r="A24" s="2220" t="s">
        <v>1461</v>
      </c>
      <c r="B24" s="2217" t="s">
        <v>1460</v>
      </c>
      <c r="C24" s="2055" t="s">
        <v>78</v>
      </c>
      <c r="D24" s="188"/>
      <c r="E24" s="303" t="s">
        <v>72</v>
      </c>
      <c r="F24" s="342" t="s">
        <v>81</v>
      </c>
      <c r="G24" s="343"/>
      <c r="H24" s="343"/>
      <c r="I24" s="188"/>
      <c r="J24" s="188"/>
      <c r="K24" s="188"/>
      <c r="L24" s="188"/>
      <c r="M24" s="2114" t="s">
        <v>1433</v>
      </c>
      <c r="N24" s="2129" t="s">
        <v>1435</v>
      </c>
      <c r="O24" s="2149" t="str">
        <f>HYPERLINK(VLOOKUP(F24,LINK,2,FALSE),VLOOKUP(F24,LINK,3,FALSE))</f>
        <v>EXCEL</v>
      </c>
    </row>
    <row r="25" spans="1:15" ht="23.4" customHeight="1">
      <c r="A25" s="2220"/>
      <c r="B25" s="2218"/>
      <c r="C25" s="2055"/>
      <c r="D25" s="1402"/>
      <c r="E25" s="1404" t="s">
        <v>73</v>
      </c>
      <c r="F25" s="345" t="s">
        <v>83</v>
      </c>
      <c r="G25" s="346"/>
      <c r="H25" s="346"/>
      <c r="I25" s="1402"/>
      <c r="J25" s="1402"/>
      <c r="K25" s="1402"/>
      <c r="L25" s="1402"/>
      <c r="M25" s="2115"/>
      <c r="N25" s="2130"/>
      <c r="O25" s="2149"/>
    </row>
    <row r="26" spans="1:15" ht="23.4" customHeight="1">
      <c r="A26" s="2220"/>
      <c r="B26" s="2218"/>
      <c r="C26" s="2055"/>
      <c r="D26" s="1402"/>
      <c r="E26" s="1219" t="s">
        <v>74</v>
      </c>
      <c r="F26" s="2118" t="s">
        <v>82</v>
      </c>
      <c r="G26" s="2119"/>
      <c r="H26" s="2120"/>
      <c r="I26" s="1402"/>
      <c r="J26" s="228"/>
      <c r="K26" s="228"/>
      <c r="L26" s="1402"/>
      <c r="M26" s="307"/>
      <c r="N26" s="2130" t="s">
        <v>1436</v>
      </c>
      <c r="O26" s="2149"/>
    </row>
    <row r="27" spans="1:15" ht="23.4" customHeight="1">
      <c r="A27" s="2220"/>
      <c r="B27" s="2218"/>
      <c r="C27" s="2055"/>
      <c r="D27" s="1402"/>
      <c r="E27" s="1219" t="s">
        <v>79</v>
      </c>
      <c r="F27" s="2121" t="s">
        <v>80</v>
      </c>
      <c r="G27" s="2122"/>
      <c r="H27" s="2123"/>
      <c r="I27" s="1402"/>
      <c r="J27" s="228"/>
      <c r="K27" s="228"/>
      <c r="L27" s="1402"/>
      <c r="M27" s="1538"/>
      <c r="N27" s="2130"/>
      <c r="O27" s="2149"/>
    </row>
    <row r="28" spans="1:15" ht="23.4" customHeight="1">
      <c r="A28" s="2220"/>
      <c r="B28" s="2218"/>
      <c r="C28" s="2055"/>
      <c r="D28" s="1403"/>
      <c r="E28" s="1539" t="s">
        <v>75</v>
      </c>
      <c r="F28" s="2124" t="s">
        <v>1174</v>
      </c>
      <c r="G28" s="2125"/>
      <c r="H28" s="2126"/>
      <c r="I28" s="1403"/>
      <c r="J28" s="229"/>
      <c r="K28" s="229"/>
      <c r="L28" s="1403"/>
      <c r="M28" s="308"/>
      <c r="N28" s="2133"/>
      <c r="O28" s="2149"/>
    </row>
    <row r="29" spans="1:15" ht="23.4" customHeight="1">
      <c r="A29" s="2220"/>
      <c r="B29" s="2218"/>
      <c r="C29" s="2150" t="s">
        <v>589</v>
      </c>
      <c r="D29" s="188"/>
      <c r="E29" s="1400" t="s">
        <v>590</v>
      </c>
      <c r="F29" s="1423" t="s">
        <v>591</v>
      </c>
      <c r="G29" s="1424"/>
      <c r="H29" s="424"/>
      <c r="I29" s="188"/>
      <c r="J29" s="188"/>
      <c r="K29" s="188"/>
      <c r="L29" s="188"/>
      <c r="M29" s="2116" t="s">
        <v>1434</v>
      </c>
      <c r="N29" s="2131" t="s">
        <v>620</v>
      </c>
      <c r="O29" s="2018" t="str">
        <f>HYPERLINK(VLOOKUP(F29,LINK,2,FALSE),VLOOKUP(F29,LINK,3,FALSE))</f>
        <v>EXCEL</v>
      </c>
    </row>
    <row r="30" spans="1:15" ht="23.4" customHeight="1">
      <c r="A30" s="2220"/>
      <c r="B30" s="2219"/>
      <c r="C30" s="2151"/>
      <c r="D30" s="1403"/>
      <c r="E30" s="1401" t="s">
        <v>592</v>
      </c>
      <c r="F30" s="425" t="s">
        <v>593</v>
      </c>
      <c r="G30" s="1502"/>
      <c r="H30" s="426"/>
      <c r="I30" s="1403"/>
      <c r="J30" s="1403"/>
      <c r="K30" s="1403"/>
      <c r="L30" s="1403"/>
      <c r="M30" s="2117"/>
      <c r="N30" s="2132"/>
      <c r="O30" s="2020"/>
    </row>
    <row r="31" spans="1:15" ht="23.4" customHeight="1">
      <c r="A31" s="2220" t="s">
        <v>1463</v>
      </c>
      <c r="B31" s="2220" t="s">
        <v>1462</v>
      </c>
      <c r="C31" s="2221" t="s">
        <v>1354</v>
      </c>
      <c r="D31" s="279"/>
      <c r="E31" s="1035" t="s">
        <v>158</v>
      </c>
      <c r="F31" s="2184" t="s">
        <v>159</v>
      </c>
      <c r="G31" s="2190"/>
      <c r="H31" s="2191"/>
      <c r="I31" s="279"/>
      <c r="J31" s="279"/>
      <c r="K31" s="279"/>
      <c r="L31" s="279"/>
      <c r="M31" s="287"/>
      <c r="N31" s="2222" t="s">
        <v>1452</v>
      </c>
      <c r="O31" s="2224" t="str">
        <f>HYPERLINK(VLOOKUP(F31,LINK,2,FALSE),VLOOKUP(F31,LINK,3,FALSE))</f>
        <v>EXCEL</v>
      </c>
    </row>
    <row r="32" spans="1:15" ht="23.4" customHeight="1">
      <c r="A32" s="2220"/>
      <c r="B32" s="2220"/>
      <c r="C32" s="2221"/>
      <c r="D32" s="282"/>
      <c r="E32" s="515" t="s">
        <v>24</v>
      </c>
      <c r="F32" s="2192" t="s">
        <v>503</v>
      </c>
      <c r="G32" s="2193"/>
      <c r="H32" s="2194"/>
      <c r="I32" s="282"/>
      <c r="J32" s="282"/>
      <c r="K32" s="282"/>
      <c r="L32" s="282"/>
      <c r="M32" s="284"/>
      <c r="N32" s="2223"/>
      <c r="O32" s="2165"/>
    </row>
    <row r="33" spans="1:15" ht="23.4" customHeight="1">
      <c r="A33" s="2220"/>
      <c r="B33" s="2220"/>
      <c r="C33" s="2221"/>
      <c r="D33" s="1552"/>
      <c r="E33" s="1553" t="s">
        <v>504</v>
      </c>
      <c r="F33" s="2226" t="s">
        <v>1455</v>
      </c>
      <c r="G33" s="2227"/>
      <c r="H33" s="2227"/>
      <c r="I33" s="1552"/>
      <c r="J33" s="1552"/>
      <c r="K33" s="1552"/>
      <c r="L33" s="1552"/>
      <c r="M33" s="1554"/>
      <c r="N33" s="2228" t="s">
        <v>1459</v>
      </c>
      <c r="O33" s="2165"/>
    </row>
    <row r="34" spans="1:15" ht="23.4" customHeight="1">
      <c r="A34" s="2220"/>
      <c r="B34" s="2220"/>
      <c r="C34" s="2221"/>
      <c r="D34" s="1555"/>
      <c r="E34" s="1556" t="s">
        <v>1453</v>
      </c>
      <c r="F34" s="2230" t="s">
        <v>1454</v>
      </c>
      <c r="G34" s="2230"/>
      <c r="H34" s="2230"/>
      <c r="I34" s="1549"/>
      <c r="J34" s="1549"/>
      <c r="K34" s="1549"/>
      <c r="L34" s="1549"/>
      <c r="M34" s="1555"/>
      <c r="N34" s="2229"/>
      <c r="O34" s="2225"/>
    </row>
  </sheetData>
  <mergeCells count="75">
    <mergeCell ref="A4:A5"/>
    <mergeCell ref="A2:A3"/>
    <mergeCell ref="F2:G2"/>
    <mergeCell ref="H2:L2"/>
    <mergeCell ref="F3:G3"/>
    <mergeCell ref="H3:L3"/>
    <mergeCell ref="F4:G4"/>
    <mergeCell ref="H4:L4"/>
    <mergeCell ref="F5:G5"/>
    <mergeCell ref="H5:L5"/>
    <mergeCell ref="B2:E3"/>
    <mergeCell ref="B4:E5"/>
    <mergeCell ref="O7:O10"/>
    <mergeCell ref="F6:H6"/>
    <mergeCell ref="O11:O15"/>
    <mergeCell ref="C11:C15"/>
    <mergeCell ref="B6:C6"/>
    <mergeCell ref="C16:C17"/>
    <mergeCell ref="A11:A17"/>
    <mergeCell ref="O16:O17"/>
    <mergeCell ref="F13:H13"/>
    <mergeCell ref="F14:H14"/>
    <mergeCell ref="F15:H15"/>
    <mergeCell ref="A19:A20"/>
    <mergeCell ref="F19:G19"/>
    <mergeCell ref="H19:L19"/>
    <mergeCell ref="F20:G20"/>
    <mergeCell ref="H20:L20"/>
    <mergeCell ref="B19:E20"/>
    <mergeCell ref="A21:A22"/>
    <mergeCell ref="F21:G21"/>
    <mergeCell ref="H21:L21"/>
    <mergeCell ref="F22:G22"/>
    <mergeCell ref="H22:L22"/>
    <mergeCell ref="B21:E22"/>
    <mergeCell ref="A24:A30"/>
    <mergeCell ref="C24:C28"/>
    <mergeCell ref="O24:O28"/>
    <mergeCell ref="F26:H26"/>
    <mergeCell ref="F27:H27"/>
    <mergeCell ref="F28:H28"/>
    <mergeCell ref="C29:C30"/>
    <mergeCell ref="O29:O30"/>
    <mergeCell ref="B24:B30"/>
    <mergeCell ref="M24:M25"/>
    <mergeCell ref="N24:N25"/>
    <mergeCell ref="N26:N28"/>
    <mergeCell ref="M29:M30"/>
    <mergeCell ref="N29:N30"/>
    <mergeCell ref="B23:C23"/>
    <mergeCell ref="A7:A10"/>
    <mergeCell ref="B7:C10"/>
    <mergeCell ref="F7:H7"/>
    <mergeCell ref="N7:N8"/>
    <mergeCell ref="F8:H8"/>
    <mergeCell ref="F9:H9"/>
    <mergeCell ref="N9:N10"/>
    <mergeCell ref="F10:H10"/>
    <mergeCell ref="B11:B17"/>
    <mergeCell ref="M11:M12"/>
    <mergeCell ref="N11:N12"/>
    <mergeCell ref="N13:N15"/>
    <mergeCell ref="M16:M17"/>
    <mergeCell ref="N16:N17"/>
    <mergeCell ref="F23:H23"/>
    <mergeCell ref="O31:O34"/>
    <mergeCell ref="F32:H32"/>
    <mergeCell ref="F33:H33"/>
    <mergeCell ref="N33:N34"/>
    <mergeCell ref="F34:H34"/>
    <mergeCell ref="A31:A34"/>
    <mergeCell ref="B31:B34"/>
    <mergeCell ref="C31:C34"/>
    <mergeCell ref="F31:H31"/>
    <mergeCell ref="N31:N32"/>
  </mergeCells>
  <phoneticPr fontId="2"/>
  <conditionalFormatting sqref="E16:H17">
    <cfRule type="expression" priority="6" stopIfTrue="1">
      <formula>$J16="COMP"</formula>
    </cfRule>
    <cfRule type="expression" dxfId="512" priority="7" stopIfTrue="1">
      <formula>$J16=""</formula>
    </cfRule>
    <cfRule type="expression" priority="8" stopIfTrue="1">
      <formula>$J16="-"</formula>
    </cfRule>
    <cfRule type="expression" dxfId="511" priority="9" stopIfTrue="1">
      <formula>$J16=0</formula>
    </cfRule>
    <cfRule type="expression" dxfId="510" priority="10" stopIfTrue="1">
      <formula>$J16&lt;&gt;""</formula>
    </cfRule>
  </conditionalFormatting>
  <conditionalFormatting sqref="E29:H30">
    <cfRule type="expression" priority="1" stopIfTrue="1">
      <formula>$J29="COMP"</formula>
    </cfRule>
    <cfRule type="expression" dxfId="509" priority="2" stopIfTrue="1">
      <formula>$J29=""</formula>
    </cfRule>
    <cfRule type="expression" priority="3" stopIfTrue="1">
      <formula>$J29="-"</formula>
    </cfRule>
    <cfRule type="expression" dxfId="508" priority="4" stopIfTrue="1">
      <formula>$J29=0</formula>
    </cfRule>
    <cfRule type="expression" dxfId="507" priority="5" stopIfTrue="1">
      <formula>$J29&lt;&gt;""</formula>
    </cfRule>
  </conditionalFormatting>
  <hyperlinks>
    <hyperlink ref="A1:P1" location="TEMPLATE!A1" display="SLEEVE (ID GRIND)"/>
    <hyperlink ref="A18:O18" location="TEMPLATE!A1" display="SLEEVE (ID GRIND)"/>
  </hyperlinks>
  <pageMargins left="0.25" right="0.25" top="0.75" bottom="0.75" header="0.3" footer="0.3"/>
  <pageSetup paperSize="9" scale="53" orientation="landscape" r:id="rId1"/>
  <colBreaks count="1" manualBreakCount="1">
    <brk id="15" max="1048575" man="1"/>
  </col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O22"/>
  <sheetViews>
    <sheetView showGridLines="0" view="pageBreakPreview" zoomScaleNormal="100" zoomScaleSheetLayoutView="100" workbookViewId="0"/>
  </sheetViews>
  <sheetFormatPr defaultColWidth="9" defaultRowHeight="13.2"/>
  <cols>
    <col min="1" max="1" width="11.8984375" style="6" bestFit="1" customWidth="1"/>
    <col min="2" max="2" width="24.5" style="6" customWidth="1"/>
    <col min="3" max="3" width="5.59765625" style="6" customWidth="1"/>
    <col min="4" max="4" width="23.09765625" style="6" bestFit="1" customWidth="1"/>
    <col min="5" max="5" width="12.59765625" style="6" bestFit="1" customWidth="1"/>
    <col min="6" max="6" width="7.09765625" style="6" customWidth="1"/>
    <col min="7" max="11" width="5.59765625" style="6" customWidth="1"/>
    <col min="12" max="12" width="34.8984375" style="6" customWidth="1"/>
    <col min="13" max="13" width="37.19921875" style="6" bestFit="1" customWidth="1"/>
    <col min="14" max="14" width="6.3984375" style="6" bestFit="1" customWidth="1"/>
    <col min="15" max="15" width="6.5" style="105" bestFit="1" customWidth="1"/>
    <col min="16" max="16" width="23.59765625" style="6" bestFit="1" customWidth="1"/>
    <col min="17" max="16384" width="9" style="6"/>
  </cols>
  <sheetData>
    <row r="1" spans="1:15">
      <c r="A1" s="835" t="s">
        <v>1059</v>
      </c>
      <c r="B1" s="835"/>
      <c r="C1" s="835"/>
      <c r="D1" s="835"/>
      <c r="E1" s="835"/>
      <c r="F1" s="835"/>
      <c r="G1" s="835"/>
      <c r="H1" s="835"/>
      <c r="I1" s="835"/>
      <c r="J1" s="835"/>
      <c r="K1" s="835"/>
      <c r="L1" s="835"/>
      <c r="M1" s="835"/>
      <c r="N1" s="835"/>
      <c r="O1" s="100"/>
    </row>
    <row r="2" spans="1:15" ht="30" customHeight="1">
      <c r="A2" s="2013" t="s">
        <v>5</v>
      </c>
      <c r="B2" s="1993"/>
      <c r="C2" s="1993"/>
      <c r="D2" s="1993"/>
      <c r="E2" s="2006" t="s">
        <v>268</v>
      </c>
      <c r="F2" s="2006"/>
      <c r="G2" s="2246"/>
      <c r="H2" s="2247"/>
      <c r="I2" s="2247"/>
      <c r="J2" s="2247"/>
      <c r="K2" s="2248"/>
      <c r="L2" s="2237" t="s">
        <v>1187</v>
      </c>
      <c r="M2" s="2238"/>
      <c r="N2" s="2239"/>
      <c r="O2" s="974"/>
    </row>
    <row r="3" spans="1:15" ht="30" customHeight="1">
      <c r="A3" s="2014"/>
      <c r="B3" s="1993"/>
      <c r="C3" s="1993"/>
      <c r="D3" s="1993"/>
      <c r="E3" s="2006" t="s">
        <v>1249</v>
      </c>
      <c r="F3" s="2006"/>
      <c r="G3" s="2246"/>
      <c r="H3" s="2247"/>
      <c r="I3" s="2247"/>
      <c r="J3" s="2247"/>
      <c r="K3" s="2248"/>
      <c r="L3" s="2240"/>
      <c r="M3" s="2241"/>
      <c r="N3" s="2242"/>
      <c r="O3" s="974"/>
    </row>
    <row r="4" spans="1:15" ht="30" customHeight="1">
      <c r="A4" s="2013" t="s">
        <v>38</v>
      </c>
      <c r="B4" s="1993"/>
      <c r="C4" s="1993"/>
      <c r="D4" s="1993"/>
      <c r="E4" s="2007" t="s">
        <v>1250</v>
      </c>
      <c r="F4" s="2007"/>
      <c r="G4" s="2246"/>
      <c r="H4" s="2247"/>
      <c r="I4" s="2247"/>
      <c r="J4" s="2247"/>
      <c r="K4" s="2248"/>
      <c r="L4" s="2240"/>
      <c r="M4" s="2241"/>
      <c r="N4" s="2242"/>
      <c r="O4" s="974"/>
    </row>
    <row r="5" spans="1:15" ht="30" customHeight="1">
      <c r="A5" s="2014"/>
      <c r="B5" s="1993"/>
      <c r="C5" s="1993"/>
      <c r="D5" s="1993"/>
      <c r="E5" s="2008" t="s">
        <v>269</v>
      </c>
      <c r="F5" s="2008"/>
      <c r="G5" s="2246"/>
      <c r="H5" s="2247"/>
      <c r="I5" s="2247"/>
      <c r="J5" s="2247"/>
      <c r="K5" s="2248"/>
      <c r="L5" s="2243"/>
      <c r="M5" s="2244"/>
      <c r="N5" s="2245"/>
      <c r="O5" s="974"/>
    </row>
    <row r="6" spans="1:15" ht="60" customHeight="1">
      <c r="A6" s="923" t="s">
        <v>1227</v>
      </c>
      <c r="B6" s="971" t="s">
        <v>6</v>
      </c>
      <c r="C6" s="1037" t="s">
        <v>1251</v>
      </c>
      <c r="D6" s="82" t="s">
        <v>64</v>
      </c>
      <c r="E6" s="2001" t="s">
        <v>1</v>
      </c>
      <c r="F6" s="2002"/>
      <c r="G6" s="2003"/>
      <c r="H6" s="1038" t="s">
        <v>66</v>
      </c>
      <c r="I6" s="1038" t="s">
        <v>1247</v>
      </c>
      <c r="J6" s="1039" t="s">
        <v>1248</v>
      </c>
      <c r="K6" s="1040" t="s">
        <v>2</v>
      </c>
      <c r="L6" s="971" t="s">
        <v>1256</v>
      </c>
      <c r="M6" s="971" t="s">
        <v>1257</v>
      </c>
      <c r="N6" s="90" t="s">
        <v>183</v>
      </c>
      <c r="O6" s="6"/>
    </row>
    <row r="7" spans="1:15" ht="20.100000000000001" customHeight="1">
      <c r="A7" s="2220">
        <v>2511</v>
      </c>
      <c r="B7" s="2249" t="s">
        <v>179</v>
      </c>
      <c r="C7" s="279"/>
      <c r="D7" s="993" t="s">
        <v>488</v>
      </c>
      <c r="E7" s="319" t="s">
        <v>489</v>
      </c>
      <c r="F7" s="320"/>
      <c r="G7" s="321"/>
      <c r="H7" s="977"/>
      <c r="I7" s="977"/>
      <c r="J7" s="977"/>
      <c r="K7" s="280"/>
      <c r="L7" s="1053" t="s">
        <v>116</v>
      </c>
      <c r="M7" s="32"/>
      <c r="N7" s="2224"/>
      <c r="O7" s="6"/>
    </row>
    <row r="8" spans="1:15" ht="20.100000000000001" customHeight="1">
      <c r="A8" s="2220"/>
      <c r="B8" s="2250"/>
      <c r="C8" s="282"/>
      <c r="D8" s="515" t="s">
        <v>488</v>
      </c>
      <c r="E8" s="322" t="s">
        <v>489</v>
      </c>
      <c r="F8" s="323"/>
      <c r="G8" s="324"/>
      <c r="H8" s="282"/>
      <c r="I8" s="282"/>
      <c r="J8" s="282"/>
      <c r="K8" s="283"/>
      <c r="L8" s="27" t="s">
        <v>116</v>
      </c>
      <c r="M8" s="34"/>
      <c r="N8" s="2165"/>
      <c r="O8" s="6"/>
    </row>
    <row r="9" spans="1:15" ht="20.100000000000001" customHeight="1">
      <c r="A9" s="2220"/>
      <c r="B9" s="2250"/>
      <c r="C9" s="285"/>
      <c r="D9" s="515" t="s">
        <v>490</v>
      </c>
      <c r="E9" s="322" t="s">
        <v>525</v>
      </c>
      <c r="F9" s="323"/>
      <c r="G9" s="325" t="s">
        <v>526</v>
      </c>
      <c r="H9" s="285"/>
      <c r="I9" s="285"/>
      <c r="J9" s="285"/>
      <c r="K9" s="285"/>
      <c r="L9" s="34" t="s">
        <v>509</v>
      </c>
      <c r="M9" s="34" t="s">
        <v>84</v>
      </c>
      <c r="N9" s="2165" t="str">
        <f>HYPERLINK(VLOOKUP(E9,LINK,2,FALSE),VLOOKUP(E9,LINK,3,FALSE))</f>
        <v>EXCEL</v>
      </c>
      <c r="O9" s="6"/>
    </row>
    <row r="10" spans="1:15" ht="20.100000000000001" customHeight="1">
      <c r="A10" s="2220"/>
      <c r="B10" s="2251"/>
      <c r="C10" s="282"/>
      <c r="D10" s="515" t="s">
        <v>491</v>
      </c>
      <c r="E10" s="322" t="s">
        <v>511</v>
      </c>
      <c r="F10" s="323"/>
      <c r="G10" s="324"/>
      <c r="H10" s="282"/>
      <c r="I10" s="282"/>
      <c r="J10" s="282"/>
      <c r="K10" s="282"/>
      <c r="L10" s="34"/>
      <c r="M10" s="34" t="s">
        <v>84</v>
      </c>
      <c r="N10" s="2165"/>
      <c r="O10" s="6"/>
    </row>
    <row r="11" spans="1:15" ht="20.100000000000001" customHeight="1">
      <c r="A11" s="2220"/>
      <c r="B11" s="2251"/>
      <c r="C11" s="286"/>
      <c r="D11" s="987" t="s">
        <v>492</v>
      </c>
      <c r="E11" s="326" t="s">
        <v>493</v>
      </c>
      <c r="F11" s="327"/>
      <c r="G11" s="328"/>
      <c r="H11" s="286"/>
      <c r="I11" s="286"/>
      <c r="J11" s="286"/>
      <c r="K11" s="286"/>
      <c r="L11" s="42"/>
      <c r="M11" s="42" t="s">
        <v>85</v>
      </c>
      <c r="N11" s="2225"/>
      <c r="O11" s="6"/>
    </row>
    <row r="12" spans="1:15" ht="39.9" customHeight="1">
      <c r="A12" s="1052">
        <v>2561</v>
      </c>
      <c r="B12" s="989" t="s">
        <v>494</v>
      </c>
      <c r="C12" s="980"/>
      <c r="D12" s="989" t="s">
        <v>495</v>
      </c>
      <c r="E12" s="309" t="s">
        <v>496</v>
      </c>
      <c r="F12" s="310"/>
      <c r="G12" s="311"/>
      <c r="H12" s="980"/>
      <c r="I12" s="980"/>
      <c r="J12" s="980"/>
      <c r="K12" s="980"/>
      <c r="L12" s="26" t="s">
        <v>1265</v>
      </c>
      <c r="M12" s="20" t="s">
        <v>497</v>
      </c>
      <c r="N12" s="92" t="str">
        <f>HYPERLINK(VLOOKUP(E12,LINK,2,FALSE),VLOOKUP(E12,LINK,3,FALSE))</f>
        <v>EXCEL</v>
      </c>
      <c r="O12" s="37" t="s">
        <v>148</v>
      </c>
    </row>
    <row r="13" spans="1:15" ht="50.1" customHeight="1">
      <c r="A13" s="1052">
        <v>401</v>
      </c>
      <c r="B13" s="979" t="s">
        <v>498</v>
      </c>
      <c r="C13" s="1051"/>
      <c r="D13" s="1051"/>
      <c r="E13" s="2258"/>
      <c r="F13" s="2259"/>
      <c r="G13" s="2260"/>
      <c r="H13" s="1051"/>
      <c r="I13" s="1051"/>
      <c r="J13" s="1051"/>
      <c r="K13" s="1051"/>
      <c r="L13" s="2255" t="s">
        <v>1263</v>
      </c>
      <c r="M13" s="2256"/>
      <c r="N13" s="2257"/>
      <c r="O13" s="37"/>
    </row>
    <row r="14" spans="1:15" ht="20.100000000000001" customHeight="1">
      <c r="A14" s="2220">
        <v>1011</v>
      </c>
      <c r="B14" s="2252" t="s">
        <v>499</v>
      </c>
      <c r="C14" s="279"/>
      <c r="D14" s="993" t="s">
        <v>500</v>
      </c>
      <c r="E14" s="329" t="s">
        <v>501</v>
      </c>
      <c r="F14" s="330"/>
      <c r="G14" s="331"/>
      <c r="H14" s="279"/>
      <c r="I14" s="279"/>
      <c r="J14" s="279"/>
      <c r="K14" s="279"/>
      <c r="L14" s="33"/>
      <c r="M14" s="32" t="s">
        <v>86</v>
      </c>
      <c r="N14" s="2176" t="str">
        <f>HYPERLINK(VLOOKUP(E14,LINK,2,FALSE),VLOOKUP(E14,LINK,3,FALSE))</f>
        <v>EXCEL</v>
      </c>
      <c r="O14" s="37"/>
    </row>
    <row r="15" spans="1:15" ht="20.100000000000001" customHeight="1">
      <c r="A15" s="2220"/>
      <c r="B15" s="2253"/>
      <c r="C15" s="288"/>
      <c r="D15" s="988" t="s">
        <v>502</v>
      </c>
      <c r="E15" s="332" t="s">
        <v>503</v>
      </c>
      <c r="F15" s="333"/>
      <c r="G15" s="334"/>
      <c r="H15" s="288"/>
      <c r="I15" s="288"/>
      <c r="J15" s="288"/>
      <c r="K15" s="288"/>
      <c r="L15" s="296"/>
      <c r="M15" s="296" t="s">
        <v>86</v>
      </c>
      <c r="N15" s="2177"/>
      <c r="O15" s="37" t="s">
        <v>1121</v>
      </c>
    </row>
    <row r="16" spans="1:15" ht="20.100000000000001" customHeight="1">
      <c r="A16" s="2220"/>
      <c r="B16" s="2254"/>
      <c r="C16" s="289"/>
      <c r="D16" s="290" t="s">
        <v>504</v>
      </c>
      <c r="E16" s="335"/>
      <c r="F16" s="336"/>
      <c r="G16" s="337"/>
      <c r="H16" s="289"/>
      <c r="I16" s="289"/>
      <c r="J16" s="289"/>
      <c r="K16" s="289"/>
      <c r="L16" s="36"/>
      <c r="M16" s="297" t="s">
        <v>133</v>
      </c>
      <c r="N16" s="2178"/>
      <c r="O16" s="93" t="s">
        <v>134</v>
      </c>
    </row>
    <row r="17" spans="1:15" ht="39.9" customHeight="1">
      <c r="A17" s="1052">
        <v>3091</v>
      </c>
      <c r="B17" s="989" t="s">
        <v>512</v>
      </c>
      <c r="C17" s="980"/>
      <c r="D17" s="989" t="s">
        <v>513</v>
      </c>
      <c r="E17" s="341" t="s">
        <v>527</v>
      </c>
      <c r="F17" s="339"/>
      <c r="G17" s="340">
        <v>-94</v>
      </c>
      <c r="H17" s="980"/>
      <c r="I17" s="980"/>
      <c r="J17" s="980"/>
      <c r="K17" s="252"/>
      <c r="L17" s="26" t="s">
        <v>142</v>
      </c>
      <c r="M17" s="26" t="s">
        <v>117</v>
      </c>
      <c r="N17" s="302" t="str">
        <f>HYPERLINK(VLOOKUP(E17,LINK,2,FALSE),VLOOKUP(E17,LINK,3,FALSE))</f>
        <v>-</v>
      </c>
      <c r="O17" s="6"/>
    </row>
    <row r="18" spans="1:15" ht="20.100000000000001" customHeight="1">
      <c r="A18" s="975"/>
      <c r="B18" s="86" t="s">
        <v>177</v>
      </c>
      <c r="C18" s="14"/>
      <c r="D18" s="17"/>
      <c r="E18" s="19"/>
      <c r="F18" s="19"/>
      <c r="G18" s="19"/>
      <c r="H18" s="14"/>
      <c r="I18" s="14"/>
      <c r="J18" s="14"/>
      <c r="K18" s="14"/>
      <c r="L18" s="18"/>
      <c r="M18" s="30"/>
      <c r="N18" s="106"/>
      <c r="O18" s="6"/>
    </row>
    <row r="19" spans="1:15" ht="20.100000000000001" customHeight="1">
      <c r="A19" s="975"/>
      <c r="B19" s="87" t="s">
        <v>178</v>
      </c>
      <c r="C19" s="14"/>
      <c r="D19" s="17"/>
      <c r="E19" s="19"/>
      <c r="F19" s="19"/>
      <c r="G19" s="19"/>
      <c r="H19" s="14"/>
      <c r="I19" s="14"/>
      <c r="J19" s="14"/>
      <c r="K19" s="14"/>
      <c r="L19" s="18"/>
      <c r="M19" s="30"/>
      <c r="N19" s="106"/>
      <c r="O19" s="6"/>
    </row>
    <row r="20" spans="1:15" ht="20.100000000000001" customHeight="1">
      <c r="A20" s="975"/>
      <c r="B20" s="88" t="s">
        <v>181</v>
      </c>
      <c r="C20" s="14"/>
      <c r="D20" s="17"/>
      <c r="E20" s="19"/>
      <c r="F20" s="19"/>
      <c r="G20" s="19"/>
      <c r="H20" s="14"/>
      <c r="I20" s="14"/>
      <c r="J20" s="14"/>
      <c r="K20" s="14"/>
      <c r="L20" s="18"/>
      <c r="M20" s="30"/>
      <c r="N20" s="106"/>
      <c r="O20" s="6"/>
    </row>
    <row r="21" spans="1:15" ht="20.100000000000001" customHeight="1">
      <c r="A21" s="77"/>
      <c r="B21" s="89" t="s">
        <v>180</v>
      </c>
      <c r="C21" s="14"/>
      <c r="D21" s="17"/>
      <c r="E21" s="19"/>
      <c r="F21" s="19"/>
      <c r="G21" s="19"/>
      <c r="H21" s="14"/>
      <c r="I21" s="14"/>
      <c r="J21" s="14"/>
      <c r="K21" s="14"/>
      <c r="L21" s="18"/>
      <c r="M21" s="30"/>
      <c r="N21" s="106"/>
      <c r="O21" s="6"/>
    </row>
    <row r="22" spans="1:15" ht="27.75" customHeight="1">
      <c r="A22" s="77"/>
      <c r="B22" s="77"/>
      <c r="C22" s="14"/>
      <c r="D22" s="14"/>
      <c r="E22" s="17"/>
      <c r="F22" s="19"/>
      <c r="G22" s="19"/>
      <c r="H22" s="19"/>
      <c r="I22" s="19"/>
      <c r="J22" s="14"/>
      <c r="K22" s="14"/>
      <c r="L22" s="14"/>
      <c r="M22" s="18"/>
      <c r="N22" s="30"/>
      <c r="O22" s="106"/>
    </row>
  </sheetData>
  <mergeCells count="23">
    <mergeCell ref="L2:N5"/>
    <mergeCell ref="A7:A11"/>
    <mergeCell ref="A14:A16"/>
    <mergeCell ref="G2:K2"/>
    <mergeCell ref="G3:K3"/>
    <mergeCell ref="G4:K4"/>
    <mergeCell ref="G5:K5"/>
    <mergeCell ref="E6:G6"/>
    <mergeCell ref="N9:N11"/>
    <mergeCell ref="B7:B11"/>
    <mergeCell ref="B14:B16"/>
    <mergeCell ref="N7:N8"/>
    <mergeCell ref="N14:N16"/>
    <mergeCell ref="L13:N13"/>
    <mergeCell ref="E13:G13"/>
    <mergeCell ref="A4:A5"/>
    <mergeCell ref="A2:A3"/>
    <mergeCell ref="E2:F2"/>
    <mergeCell ref="E3:F3"/>
    <mergeCell ref="E4:F4"/>
    <mergeCell ref="E5:F5"/>
    <mergeCell ref="B2:D3"/>
    <mergeCell ref="B4:D5"/>
  </mergeCells>
  <phoneticPr fontId="14"/>
  <hyperlinks>
    <hyperlink ref="B20" r:id="rId1" location="28スリーブの加工判断.pdf" display="(資料)kzw-Thai加工等問い合わせ回答\20180214_~ - 28スリーブの加工判断.pdf"/>
    <hyperlink ref="B21" r:id="rId2"/>
    <hyperlink ref="M16" r:id="rId3"/>
    <hyperlink ref="A1:O1" location="TEMPLATE!A1" display="BOEING SLEEVE (AHJFAY SERIES)"/>
  </hyperlinks>
  <pageMargins left="0.70866141732283472" right="0.70866141732283472" top="0.74803149606299213" bottom="0.74803149606299213" header="0.31496062992125984" footer="0.31496062992125984"/>
  <pageSetup paperSize="9" scale="63" orientation="landscape" r:id="rId4"/>
  <legacyDrawing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Q47"/>
  <sheetViews>
    <sheetView showGridLines="0" view="pageBreakPreview" topLeftCell="A17" zoomScale="55" zoomScaleNormal="85" zoomScaleSheetLayoutView="55" workbookViewId="0">
      <selection activeCell="C18" sqref="C18:C30"/>
    </sheetView>
  </sheetViews>
  <sheetFormatPr defaultColWidth="9" defaultRowHeight="17.399999999999999"/>
  <cols>
    <col min="1" max="1" width="13.8984375" style="123" customWidth="1"/>
    <col min="2" max="2" width="18.09765625" style="123" bestFit="1" customWidth="1"/>
    <col min="3" max="3" width="24.69921875" style="123" bestFit="1" customWidth="1"/>
    <col min="4" max="4" width="5.59765625" style="123" customWidth="1"/>
    <col min="5" max="5" width="28" style="123" bestFit="1" customWidth="1"/>
    <col min="6" max="6" width="11.59765625" style="446" customWidth="1"/>
    <col min="7" max="7" width="11.59765625" style="123" customWidth="1"/>
    <col min="8" max="8" width="5.59765625" style="430" customWidth="1"/>
    <col min="9" max="10" width="5.59765625" style="431" customWidth="1"/>
    <col min="11" max="11" width="5.59765625" style="123" customWidth="1"/>
    <col min="12" max="12" width="5.59765625" style="432" customWidth="1"/>
    <col min="13" max="13" width="89.8984375" style="123" customWidth="1"/>
    <col min="14" max="14" width="12.8984375" style="123" customWidth="1"/>
    <col min="15" max="15" width="7.3984375" style="123" bestFit="1" customWidth="1"/>
    <col min="16" max="16" width="53.5" style="446" bestFit="1" customWidth="1"/>
    <col min="17" max="16384" width="9" style="123"/>
  </cols>
  <sheetData>
    <row r="1" spans="1:16">
      <c r="A1" s="835" t="s">
        <v>1061</v>
      </c>
      <c r="B1" s="835"/>
      <c r="C1" s="835"/>
      <c r="D1" s="835"/>
      <c r="E1" s="835"/>
      <c r="F1" s="835"/>
      <c r="G1" s="835"/>
      <c r="H1" s="835"/>
      <c r="I1" s="835"/>
      <c r="J1" s="835"/>
      <c r="K1" s="835"/>
      <c r="L1" s="835"/>
      <c r="M1" s="835"/>
      <c r="N1" s="835"/>
      <c r="O1" s="835"/>
      <c r="P1" s="100"/>
    </row>
    <row r="2" spans="1:16" ht="30" customHeight="1">
      <c r="A2" s="2282" t="s">
        <v>5</v>
      </c>
      <c r="B2" s="2144"/>
      <c r="C2" s="2144"/>
      <c r="D2" s="2144"/>
      <c r="E2" s="2144"/>
      <c r="F2" s="2006" t="s">
        <v>1391</v>
      </c>
      <c r="G2" s="2006"/>
      <c r="H2" s="2017"/>
      <c r="I2" s="2017"/>
      <c r="J2" s="2017"/>
      <c r="K2" s="2017"/>
      <c r="L2" s="2017"/>
      <c r="M2" s="1629" t="s">
        <v>1522</v>
      </c>
      <c r="N2" s="1669"/>
      <c r="O2" s="1520"/>
      <c r="P2" s="974"/>
    </row>
    <row r="3" spans="1:16" ht="30" customHeight="1">
      <c r="A3" s="2283"/>
      <c r="B3" s="2144"/>
      <c r="C3" s="2144"/>
      <c r="D3" s="2144"/>
      <c r="E3" s="2144"/>
      <c r="F3" s="2006" t="s">
        <v>1371</v>
      </c>
      <c r="G3" s="2006"/>
      <c r="H3" s="2017"/>
      <c r="I3" s="2017"/>
      <c r="J3" s="2017"/>
      <c r="K3" s="2017"/>
      <c r="L3" s="2017"/>
      <c r="M3" s="432"/>
      <c r="N3" s="432"/>
      <c r="O3" s="839"/>
      <c r="P3" s="974"/>
    </row>
    <row r="4" spans="1:16" ht="30" customHeight="1">
      <c r="A4" s="2282" t="s">
        <v>38</v>
      </c>
      <c r="B4" s="2144"/>
      <c r="C4" s="2144"/>
      <c r="D4" s="2144"/>
      <c r="E4" s="2144"/>
      <c r="F4" s="2007" t="s">
        <v>1392</v>
      </c>
      <c r="G4" s="2007"/>
      <c r="H4" s="2017"/>
      <c r="I4" s="2017"/>
      <c r="J4" s="2017"/>
      <c r="K4" s="2017"/>
      <c r="L4" s="2017"/>
      <c r="M4" s="432"/>
      <c r="N4" s="432"/>
      <c r="O4" s="839"/>
      <c r="P4" s="974"/>
    </row>
    <row r="5" spans="1:16" ht="30" customHeight="1">
      <c r="A5" s="2283"/>
      <c r="B5" s="2144"/>
      <c r="C5" s="2144"/>
      <c r="D5" s="2144"/>
      <c r="E5" s="2144"/>
      <c r="F5" s="2008" t="s">
        <v>1372</v>
      </c>
      <c r="G5" s="2008"/>
      <c r="H5" s="2017"/>
      <c r="I5" s="2017"/>
      <c r="J5" s="2017"/>
      <c r="K5" s="2017"/>
      <c r="L5" s="2017"/>
      <c r="M5" s="432"/>
      <c r="N5" s="432"/>
      <c r="O5" s="839"/>
      <c r="P5" s="974"/>
    </row>
    <row r="6" spans="1:16" s="254" customFormat="1" ht="60" customHeight="1">
      <c r="A6" s="1631" t="s">
        <v>1227</v>
      </c>
      <c r="B6" s="2284" t="s">
        <v>6</v>
      </c>
      <c r="C6" s="2285"/>
      <c r="D6" s="1632" t="s">
        <v>1407</v>
      </c>
      <c r="E6" s="1633" t="s">
        <v>64</v>
      </c>
      <c r="F6" s="2279" t="s">
        <v>1</v>
      </c>
      <c r="G6" s="2280"/>
      <c r="H6" s="2281"/>
      <c r="I6" s="1634" t="s">
        <v>66</v>
      </c>
      <c r="J6" s="1634" t="s">
        <v>1376</v>
      </c>
      <c r="K6" s="1635" t="s">
        <v>1377</v>
      </c>
      <c r="L6" s="1635" t="s">
        <v>1375</v>
      </c>
      <c r="M6" s="630" t="s">
        <v>1387</v>
      </c>
      <c r="N6" s="630" t="s">
        <v>1378</v>
      </c>
      <c r="O6" s="1322" t="s">
        <v>1379</v>
      </c>
    </row>
    <row r="7" spans="1:16" ht="23.4" customHeight="1">
      <c r="A7" s="2134">
        <v>1021</v>
      </c>
      <c r="B7" s="2154" t="s">
        <v>458</v>
      </c>
      <c r="C7" s="1542" t="s">
        <v>1430</v>
      </c>
      <c r="D7" s="1668"/>
      <c r="E7" s="1668"/>
      <c r="F7" s="2261"/>
      <c r="G7" s="2262"/>
      <c r="H7" s="2262"/>
      <c r="I7" s="1668"/>
      <c r="J7" s="1668"/>
      <c r="K7" s="1668"/>
      <c r="L7" s="1668"/>
      <c r="M7" s="1671" t="s">
        <v>1500</v>
      </c>
      <c r="N7" s="1670"/>
      <c r="O7" s="1507"/>
      <c r="P7" s="123"/>
    </row>
    <row r="8" spans="1:16" ht="23.4" customHeight="1">
      <c r="A8" s="2134"/>
      <c r="B8" s="2155"/>
      <c r="C8" s="2157" t="s">
        <v>33</v>
      </c>
      <c r="D8" s="1503"/>
      <c r="E8" s="1503" t="s">
        <v>34</v>
      </c>
      <c r="F8" s="1547" t="s">
        <v>25</v>
      </c>
      <c r="G8" s="1548"/>
      <c r="H8" s="1548"/>
      <c r="I8" s="264"/>
      <c r="J8" s="265"/>
      <c r="K8" s="265"/>
      <c r="L8" s="265"/>
      <c r="M8" s="2303" t="s">
        <v>1501</v>
      </c>
      <c r="N8" s="353"/>
      <c r="O8" s="298" t="str">
        <f t="shared" ref="O8:O10" si="0">HYPERLINK(VLOOKUP(F8,LINK,2,FALSE),VLOOKUP(F8,LINK,3,FALSE))</f>
        <v>EXCEL</v>
      </c>
      <c r="P8" s="2297" t="s">
        <v>1267</v>
      </c>
    </row>
    <row r="9" spans="1:16" ht="23.4" customHeight="1">
      <c r="A9" s="2134"/>
      <c r="B9" s="2155"/>
      <c r="C9" s="2158"/>
      <c r="D9" s="1505"/>
      <c r="E9" s="1505" t="s">
        <v>26</v>
      </c>
      <c r="F9" s="269" t="s">
        <v>27</v>
      </c>
      <c r="G9" s="317"/>
      <c r="H9" s="317"/>
      <c r="I9" s="270"/>
      <c r="J9" s="271"/>
      <c r="K9" s="271"/>
      <c r="L9" s="271"/>
      <c r="M9" s="2303"/>
      <c r="N9" s="359"/>
      <c r="O9" s="299" t="str">
        <f t="shared" si="0"/>
        <v>EXCEL</v>
      </c>
      <c r="P9" s="2298"/>
    </row>
    <row r="10" spans="1:16" ht="23.4" customHeight="1">
      <c r="A10" s="2134"/>
      <c r="B10" s="2156"/>
      <c r="C10" s="1506" t="s">
        <v>35</v>
      </c>
      <c r="D10" s="1506"/>
      <c r="E10" s="1506" t="s">
        <v>34</v>
      </c>
      <c r="F10" s="273" t="s">
        <v>36</v>
      </c>
      <c r="G10" s="318"/>
      <c r="H10" s="318"/>
      <c r="I10" s="274"/>
      <c r="J10" s="275"/>
      <c r="K10" s="275"/>
      <c r="L10" s="275"/>
      <c r="M10" s="2304"/>
      <c r="N10" s="1672"/>
      <c r="O10" s="1508" t="str">
        <f t="shared" si="0"/>
        <v>EXCEL</v>
      </c>
      <c r="P10" s="2298"/>
    </row>
    <row r="11" spans="1:16" ht="23.4" customHeight="1">
      <c r="A11" s="2134">
        <v>1041</v>
      </c>
      <c r="B11" s="2269" t="s">
        <v>544</v>
      </c>
      <c r="C11" s="2272" t="s">
        <v>1523</v>
      </c>
      <c r="D11" s="1511"/>
      <c r="E11" s="1513" t="s">
        <v>545</v>
      </c>
      <c r="F11" s="2305" t="s">
        <v>546</v>
      </c>
      <c r="G11" s="2306"/>
      <c r="H11" s="2307"/>
      <c r="I11" s="371"/>
      <c r="J11" s="371"/>
      <c r="K11" s="372"/>
      <c r="L11" s="372"/>
      <c r="M11" s="1679" t="s">
        <v>1503</v>
      </c>
      <c r="N11" s="2299" t="s">
        <v>1502</v>
      </c>
      <c r="O11" s="2149" t="str">
        <f>HYPERLINK(VLOOKUP(F11,LINK,2,FALSE),VLOOKUP(F11,LINK,3,FALSE))</f>
        <v>EXCEL</v>
      </c>
      <c r="P11" s="743" t="s">
        <v>1050</v>
      </c>
    </row>
    <row r="12" spans="1:16" ht="23.4" customHeight="1">
      <c r="A12" s="2134"/>
      <c r="B12" s="2270"/>
      <c r="C12" s="2273"/>
      <c r="D12" s="1512"/>
      <c r="E12" s="1519" t="s">
        <v>547</v>
      </c>
      <c r="F12" s="2308" t="s">
        <v>548</v>
      </c>
      <c r="G12" s="2309"/>
      <c r="H12" s="2310"/>
      <c r="I12" s="378"/>
      <c r="J12" s="378"/>
      <c r="K12" s="379"/>
      <c r="L12" s="379"/>
      <c r="M12" s="1680"/>
      <c r="N12" s="2300"/>
      <c r="O12" s="2302"/>
      <c r="P12" s="743" t="s">
        <v>1049</v>
      </c>
    </row>
    <row r="13" spans="1:16" ht="23.4" customHeight="1">
      <c r="A13" s="2134"/>
      <c r="B13" s="2270"/>
      <c r="C13" s="2273"/>
      <c r="D13" s="1512"/>
      <c r="E13" s="1519" t="s">
        <v>549</v>
      </c>
      <c r="F13" s="2308" t="s">
        <v>550</v>
      </c>
      <c r="G13" s="2309"/>
      <c r="H13" s="2310"/>
      <c r="I13" s="378"/>
      <c r="J13" s="378"/>
      <c r="K13" s="379"/>
      <c r="L13" s="379"/>
      <c r="M13" s="1680"/>
      <c r="N13" s="2300"/>
      <c r="O13" s="2302"/>
      <c r="P13" s="123"/>
    </row>
    <row r="14" spans="1:16" ht="23.4" customHeight="1">
      <c r="A14" s="2134"/>
      <c r="B14" s="2270"/>
      <c r="C14" s="2273"/>
      <c r="D14" s="1774"/>
      <c r="E14" s="1775" t="s">
        <v>551</v>
      </c>
      <c r="F14" s="2276" t="s">
        <v>552</v>
      </c>
      <c r="G14" s="2277"/>
      <c r="H14" s="2278"/>
      <c r="I14" s="1691"/>
      <c r="J14" s="1691"/>
      <c r="K14" s="1691"/>
      <c r="L14" s="1691"/>
      <c r="M14" s="1776" t="s">
        <v>1527</v>
      </c>
      <c r="N14" s="2300"/>
      <c r="O14" s="2302"/>
      <c r="P14" s="123"/>
    </row>
    <row r="15" spans="1:16" ht="23.4" customHeight="1">
      <c r="A15" s="2134"/>
      <c r="B15" s="2270"/>
      <c r="C15" s="2273"/>
      <c r="D15" s="1774"/>
      <c r="E15" s="1775" t="s">
        <v>553</v>
      </c>
      <c r="F15" s="2276" t="s">
        <v>29</v>
      </c>
      <c r="G15" s="2277"/>
      <c r="H15" s="2278"/>
      <c r="I15" s="1691"/>
      <c r="J15" s="1691"/>
      <c r="K15" s="1691"/>
      <c r="L15" s="1691"/>
      <c r="M15" s="1776"/>
      <c r="N15" s="2300"/>
      <c r="O15" s="2302"/>
      <c r="P15" s="123"/>
    </row>
    <row r="16" spans="1:16" ht="23.4" customHeight="1">
      <c r="A16" s="2134"/>
      <c r="B16" s="2270"/>
      <c r="C16" s="2273"/>
      <c r="D16" s="1774"/>
      <c r="E16" s="1775" t="s">
        <v>551</v>
      </c>
      <c r="F16" s="2276" t="s">
        <v>554</v>
      </c>
      <c r="G16" s="2277"/>
      <c r="H16" s="2278"/>
      <c r="I16" s="1691"/>
      <c r="J16" s="1691"/>
      <c r="K16" s="1691"/>
      <c r="L16" s="1691"/>
      <c r="M16" s="1776"/>
      <c r="N16" s="2300"/>
      <c r="O16" s="2302"/>
      <c r="P16" s="123"/>
    </row>
    <row r="17" spans="1:16" ht="23.4" customHeight="1">
      <c r="A17" s="2134"/>
      <c r="B17" s="2271"/>
      <c r="C17" s="2274"/>
      <c r="D17" s="1774"/>
      <c r="E17" s="1777" t="s">
        <v>553</v>
      </c>
      <c r="F17" s="2294" t="s">
        <v>555</v>
      </c>
      <c r="G17" s="2295"/>
      <c r="H17" s="2296"/>
      <c r="I17" s="1691"/>
      <c r="J17" s="1691"/>
      <c r="K17" s="1691"/>
      <c r="L17" s="1691"/>
      <c r="M17" s="1778"/>
      <c r="N17" s="2301"/>
      <c r="O17" s="2302"/>
      <c r="P17" s="123"/>
    </row>
    <row r="18" spans="1:16" ht="23.4" customHeight="1">
      <c r="A18" s="2134">
        <v>1061</v>
      </c>
      <c r="B18" s="2266" t="s">
        <v>556</v>
      </c>
      <c r="C18" s="2266" t="s">
        <v>1524</v>
      </c>
      <c r="D18" s="1509"/>
      <c r="E18" s="388" t="s">
        <v>558</v>
      </c>
      <c r="F18" s="368" t="s">
        <v>37</v>
      </c>
      <c r="G18" s="389"/>
      <c r="H18" s="390"/>
      <c r="I18" s="986"/>
      <c r="J18" s="1054"/>
      <c r="K18" s="391"/>
      <c r="L18" s="391"/>
      <c r="M18" s="187" t="s">
        <v>1510</v>
      </c>
      <c r="N18" s="2286" t="s">
        <v>1504</v>
      </c>
      <c r="O18" s="2018" t="str">
        <f>HYPERLINK(VLOOKUP(F18,LINK,2,FALSE),VLOOKUP(F18,LINK,3,FALSE))</f>
        <v>EXCEL</v>
      </c>
      <c r="P18" s="123"/>
    </row>
    <row r="19" spans="1:16" ht="23.4" customHeight="1">
      <c r="A19" s="2134"/>
      <c r="B19" s="2266"/>
      <c r="C19" s="2266"/>
      <c r="D19" s="1510"/>
      <c r="E19" s="704" t="s">
        <v>559</v>
      </c>
      <c r="F19" s="375" t="s">
        <v>560</v>
      </c>
      <c r="G19" s="376"/>
      <c r="H19" s="377"/>
      <c r="I19" s="378"/>
      <c r="J19" s="1055"/>
      <c r="K19" s="395"/>
      <c r="L19" s="395"/>
      <c r="M19" s="1673" t="s">
        <v>1506</v>
      </c>
      <c r="N19" s="2287"/>
      <c r="O19" s="2019"/>
      <c r="P19" s="123"/>
    </row>
    <row r="20" spans="1:16" ht="23.4" customHeight="1">
      <c r="A20" s="2134"/>
      <c r="B20" s="2266"/>
      <c r="C20" s="2266"/>
      <c r="D20" s="1697"/>
      <c r="E20" s="1687" t="s">
        <v>561</v>
      </c>
      <c r="F20" s="1688" t="s">
        <v>562</v>
      </c>
      <c r="G20" s="1689"/>
      <c r="H20" s="1690">
        <v>-99</v>
      </c>
      <c r="I20" s="1699"/>
      <c r="J20" s="1700"/>
      <c r="K20" s="1701"/>
      <c r="L20" s="1701"/>
      <c r="M20" s="1694" t="s">
        <v>1507</v>
      </c>
      <c r="N20" s="2287"/>
      <c r="O20" s="2019"/>
      <c r="P20" s="123"/>
    </row>
    <row r="21" spans="1:16" ht="23.4" customHeight="1">
      <c r="A21" s="2134"/>
      <c r="B21" s="2266"/>
      <c r="C21" s="2266"/>
      <c r="D21" s="1697"/>
      <c r="E21" s="1687" t="s">
        <v>563</v>
      </c>
      <c r="F21" s="1688" t="s">
        <v>564</v>
      </c>
      <c r="G21" s="1689"/>
      <c r="H21" s="1698" t="s">
        <v>565</v>
      </c>
      <c r="I21" s="1699"/>
      <c r="J21" s="1700"/>
      <c r="K21" s="1701"/>
      <c r="L21" s="1702"/>
      <c r="M21" s="1694"/>
      <c r="N21" s="2287"/>
      <c r="O21" s="2019"/>
      <c r="P21" s="123"/>
    </row>
    <row r="22" spans="1:16" ht="23.4" customHeight="1">
      <c r="A22" s="2134"/>
      <c r="B22" s="2266"/>
      <c r="C22" s="2266"/>
      <c r="D22" s="1697"/>
      <c r="E22" s="1687" t="s">
        <v>566</v>
      </c>
      <c r="F22" s="1688" t="s">
        <v>567</v>
      </c>
      <c r="G22" s="1689"/>
      <c r="H22" s="1695" t="s">
        <v>568</v>
      </c>
      <c r="I22" s="1699"/>
      <c r="J22" s="1700"/>
      <c r="K22" s="1701"/>
      <c r="L22" s="1702"/>
      <c r="M22" s="1694"/>
      <c r="N22" s="2287"/>
      <c r="O22" s="2019"/>
      <c r="P22" s="123"/>
    </row>
    <row r="23" spans="1:16" ht="23.4" customHeight="1">
      <c r="A23" s="2134"/>
      <c r="B23" s="2266"/>
      <c r="C23" s="2266"/>
      <c r="D23" s="1697"/>
      <c r="E23" s="1687" t="s">
        <v>569</v>
      </c>
      <c r="F23" s="1688" t="s">
        <v>567</v>
      </c>
      <c r="G23" s="1689"/>
      <c r="H23" s="1695" t="s">
        <v>568</v>
      </c>
      <c r="I23" s="1699"/>
      <c r="J23" s="1700"/>
      <c r="K23" s="1701"/>
      <c r="L23" s="1702"/>
      <c r="M23" s="1694"/>
      <c r="N23" s="2287"/>
      <c r="O23" s="2019"/>
      <c r="P23" s="123"/>
    </row>
    <row r="24" spans="1:16" ht="23.4" customHeight="1">
      <c r="A24" s="2134"/>
      <c r="B24" s="2266"/>
      <c r="C24" s="2266"/>
      <c r="D24" s="1510"/>
      <c r="E24" s="704" t="s">
        <v>570</v>
      </c>
      <c r="F24" s="375" t="s">
        <v>571</v>
      </c>
      <c r="G24" s="376"/>
      <c r="H24" s="377"/>
      <c r="I24" s="378"/>
      <c r="J24" s="1055"/>
      <c r="K24" s="395"/>
      <c r="L24" s="395"/>
      <c r="M24" s="1674" t="s">
        <v>1508</v>
      </c>
      <c r="N24" s="2287"/>
      <c r="O24" s="2019"/>
      <c r="P24" s="123"/>
    </row>
    <row r="25" spans="1:16" ht="23.4" customHeight="1">
      <c r="A25" s="2134"/>
      <c r="B25" s="2266"/>
      <c r="C25" s="2266"/>
      <c r="D25" s="1686"/>
      <c r="E25" s="1687" t="s">
        <v>572</v>
      </c>
      <c r="F25" s="1688" t="s">
        <v>573</v>
      </c>
      <c r="G25" s="1689"/>
      <c r="H25" s="1695"/>
      <c r="I25" s="1691"/>
      <c r="J25" s="1692"/>
      <c r="K25" s="1693"/>
      <c r="L25" s="1693"/>
      <c r="M25" s="1696" t="s">
        <v>1507</v>
      </c>
      <c r="N25" s="2287"/>
      <c r="O25" s="2019"/>
      <c r="P25" s="123"/>
    </row>
    <row r="26" spans="1:16" ht="23.4" customHeight="1">
      <c r="A26" s="2134"/>
      <c r="B26" s="2266"/>
      <c r="C26" s="2266"/>
      <c r="D26" s="1510"/>
      <c r="E26" s="704" t="s">
        <v>574</v>
      </c>
      <c r="F26" s="375" t="s">
        <v>575</v>
      </c>
      <c r="G26" s="376"/>
      <c r="H26" s="377"/>
      <c r="I26" s="378"/>
      <c r="J26" s="1055"/>
      <c r="K26" s="395"/>
      <c r="L26" s="395"/>
      <c r="M26" s="1674" t="s">
        <v>1508</v>
      </c>
      <c r="N26" s="2287"/>
      <c r="O26" s="2019"/>
      <c r="P26" s="123"/>
    </row>
    <row r="27" spans="1:16" ht="23.4" customHeight="1">
      <c r="A27" s="2134"/>
      <c r="B27" s="2266"/>
      <c r="C27" s="2266"/>
      <c r="D27" s="1510"/>
      <c r="E27" s="1519" t="s">
        <v>576</v>
      </c>
      <c r="F27" s="375" t="s">
        <v>577</v>
      </c>
      <c r="G27" s="376"/>
      <c r="H27" s="377"/>
      <c r="I27" s="378"/>
      <c r="J27" s="1055"/>
      <c r="K27" s="395"/>
      <c r="L27" s="395"/>
      <c r="M27" s="1674" t="s">
        <v>1509</v>
      </c>
      <c r="N27" s="2287"/>
      <c r="O27" s="2019"/>
      <c r="P27" s="123"/>
    </row>
    <row r="28" spans="1:16" ht="23.4" customHeight="1">
      <c r="A28" s="2134"/>
      <c r="B28" s="2266"/>
      <c r="C28" s="2266"/>
      <c r="D28" s="1510"/>
      <c r="E28" s="704" t="s">
        <v>578</v>
      </c>
      <c r="F28" s="375" t="s">
        <v>579</v>
      </c>
      <c r="G28" s="376"/>
      <c r="H28" s="377"/>
      <c r="I28" s="378"/>
      <c r="J28" s="1055"/>
      <c r="K28" s="395"/>
      <c r="L28" s="395"/>
      <c r="M28" s="1674" t="s">
        <v>1511</v>
      </c>
      <c r="N28" s="2287"/>
      <c r="O28" s="2019"/>
      <c r="P28" s="123"/>
    </row>
    <row r="29" spans="1:16" ht="23.4" customHeight="1">
      <c r="A29" s="2134"/>
      <c r="B29" s="2266"/>
      <c r="C29" s="2266"/>
      <c r="D29" s="1510"/>
      <c r="E29" s="704" t="s">
        <v>580</v>
      </c>
      <c r="F29" s="375" t="s">
        <v>581</v>
      </c>
      <c r="G29" s="376"/>
      <c r="H29" s="377"/>
      <c r="I29" s="378"/>
      <c r="J29" s="1055"/>
      <c r="K29" s="395"/>
      <c r="L29" s="395" t="s">
        <v>582</v>
      </c>
      <c r="M29" s="1674" t="s">
        <v>1512</v>
      </c>
      <c r="N29" s="2287"/>
      <c r="O29" s="2019"/>
      <c r="P29" s="123"/>
    </row>
    <row r="30" spans="1:16" ht="23.4" customHeight="1">
      <c r="A30" s="2134"/>
      <c r="B30" s="2266"/>
      <c r="C30" s="2266"/>
      <c r="D30" s="1510"/>
      <c r="E30" s="704" t="s">
        <v>583</v>
      </c>
      <c r="F30" s="375" t="s">
        <v>584</v>
      </c>
      <c r="G30" s="376"/>
      <c r="H30" s="377"/>
      <c r="I30" s="1214"/>
      <c r="J30" s="1215"/>
      <c r="K30" s="1216"/>
      <c r="L30" s="1216"/>
      <c r="M30" s="1675" t="s">
        <v>1513</v>
      </c>
      <c r="N30" s="2288"/>
      <c r="O30" s="2019"/>
      <c r="P30" s="123"/>
    </row>
    <row r="31" spans="1:16" ht="23.4" customHeight="1">
      <c r="A31" s="2134"/>
      <c r="B31" s="2266"/>
      <c r="C31" s="2267" t="s">
        <v>1525</v>
      </c>
      <c r="D31" s="188"/>
      <c r="E31" s="1513" t="s">
        <v>590</v>
      </c>
      <c r="F31" s="1522" t="s">
        <v>591</v>
      </c>
      <c r="G31" s="424"/>
      <c r="H31" s="370"/>
      <c r="I31" s="188"/>
      <c r="J31" s="188"/>
      <c r="K31" s="188"/>
      <c r="L31" s="188"/>
      <c r="M31" s="188"/>
      <c r="N31" s="2289" t="s">
        <v>1505</v>
      </c>
      <c r="O31" s="2018" t="str">
        <f>HYPERLINK(VLOOKUP(F31,LINK,2,FALSE),VLOOKUP(F31,LINK,3,FALSE))</f>
        <v>EXCEL</v>
      </c>
      <c r="P31" s="123"/>
    </row>
    <row r="32" spans="1:16" ht="23.4" customHeight="1">
      <c r="A32" s="2134"/>
      <c r="B32" s="2266"/>
      <c r="C32" s="2268"/>
      <c r="D32" s="1515"/>
      <c r="E32" s="1518" t="s">
        <v>592</v>
      </c>
      <c r="F32" s="425" t="s">
        <v>593</v>
      </c>
      <c r="G32" s="426"/>
      <c r="H32" s="384"/>
      <c r="I32" s="1515"/>
      <c r="J32" s="1515"/>
      <c r="K32" s="1515"/>
      <c r="L32" s="1515"/>
      <c r="M32" s="1515"/>
      <c r="N32" s="2290"/>
      <c r="O32" s="2293"/>
      <c r="P32" s="123"/>
    </row>
    <row r="33" spans="1:17" customFormat="1" ht="23.4" customHeight="1">
      <c r="A33" s="2134">
        <v>1241</v>
      </c>
      <c r="B33" s="2275" t="s">
        <v>1268</v>
      </c>
      <c r="C33" s="2144" t="s">
        <v>1307</v>
      </c>
      <c r="D33" s="140"/>
      <c r="E33" s="1513" t="s">
        <v>595</v>
      </c>
      <c r="F33" s="2263"/>
      <c r="G33" s="2264"/>
      <c r="H33" s="2265"/>
      <c r="I33" s="1156"/>
      <c r="J33" s="1156"/>
      <c r="K33" s="1156"/>
      <c r="L33" s="1156"/>
      <c r="M33" s="1289" t="s">
        <v>1514</v>
      </c>
      <c r="N33" s="1289"/>
      <c r="O33" s="2149" t="s">
        <v>1270</v>
      </c>
    </row>
    <row r="34" spans="1:17" customFormat="1" ht="23.4" customHeight="1">
      <c r="A34" s="2134"/>
      <c r="B34" s="2275"/>
      <c r="C34" s="2144"/>
      <c r="D34" s="140"/>
      <c r="E34" s="875" t="s">
        <v>600</v>
      </c>
      <c r="F34" s="1275" t="s">
        <v>601</v>
      </c>
      <c r="G34" s="182"/>
      <c r="H34" s="183"/>
      <c r="I34" s="140"/>
      <c r="J34" s="140"/>
      <c r="K34" s="140"/>
      <c r="L34" s="140"/>
      <c r="M34" s="1676" t="s">
        <v>1514</v>
      </c>
      <c r="N34" s="1676"/>
      <c r="O34" s="2149"/>
    </row>
    <row r="35" spans="1:17" customFormat="1" ht="23.4" customHeight="1">
      <c r="A35" s="2134"/>
      <c r="B35" s="2275"/>
      <c r="C35" s="2144"/>
      <c r="D35" s="140"/>
      <c r="E35" s="429" t="s">
        <v>596</v>
      </c>
      <c r="F35" s="1159" t="s">
        <v>1272</v>
      </c>
      <c r="G35" s="1276"/>
      <c r="H35" s="1277"/>
      <c r="I35" s="1160"/>
      <c r="J35" s="1160"/>
      <c r="K35" s="1160"/>
      <c r="L35" s="1160"/>
      <c r="M35" s="1160" t="s">
        <v>1515</v>
      </c>
      <c r="N35" s="1160"/>
      <c r="O35" s="2149"/>
      <c r="P35" s="2291"/>
      <c r="Q35" s="2291"/>
    </row>
    <row r="36" spans="1:17" customFormat="1" ht="23.4" customHeight="1">
      <c r="A36" s="2134"/>
      <c r="B36" s="2275"/>
      <c r="C36" s="2144"/>
      <c r="D36" s="1160"/>
      <c r="E36" s="1521" t="s">
        <v>30</v>
      </c>
      <c r="F36" s="1159" t="s">
        <v>597</v>
      </c>
      <c r="G36" s="1163"/>
      <c r="H36" s="1164"/>
      <c r="I36" s="1160"/>
      <c r="J36" s="1160"/>
      <c r="K36" s="1160"/>
      <c r="L36" s="1160"/>
      <c r="M36" s="1677" t="s">
        <v>1516</v>
      </c>
      <c r="N36" s="1677"/>
      <c r="O36" s="2149"/>
    </row>
    <row r="37" spans="1:17" customFormat="1" ht="23.4" customHeight="1">
      <c r="A37" s="2134"/>
      <c r="B37" s="2275"/>
      <c r="C37" s="2144"/>
      <c r="D37" s="1160"/>
      <c r="E37" s="1504" t="s">
        <v>1333</v>
      </c>
      <c r="F37" s="1275" t="s">
        <v>1334</v>
      </c>
      <c r="G37" s="182"/>
      <c r="H37" s="183"/>
      <c r="I37" s="140"/>
      <c r="J37" s="140"/>
      <c r="K37" s="140"/>
      <c r="L37" s="140"/>
      <c r="M37" s="1703" t="s">
        <v>1517</v>
      </c>
      <c r="N37" s="1718"/>
      <c r="O37" s="2149"/>
    </row>
    <row r="38" spans="1:17" customFormat="1" ht="23.4" customHeight="1">
      <c r="A38" s="2134"/>
      <c r="B38" s="2275"/>
      <c r="C38" s="2144"/>
      <c r="D38" s="1160"/>
      <c r="E38" s="1504" t="s">
        <v>1357</v>
      </c>
      <c r="F38" s="1275" t="s">
        <v>1358</v>
      </c>
      <c r="G38" s="182" t="s">
        <v>1359</v>
      </c>
      <c r="H38" s="183"/>
      <c r="I38" s="140"/>
      <c r="J38" s="140"/>
      <c r="K38" s="140"/>
      <c r="L38" s="140"/>
      <c r="M38" s="1703" t="s">
        <v>1526</v>
      </c>
      <c r="N38" s="1717"/>
      <c r="O38" s="2149"/>
    </row>
    <row r="39" spans="1:17" customFormat="1" ht="23.4" customHeight="1">
      <c r="A39" s="2134"/>
      <c r="B39" s="2275"/>
      <c r="C39" s="2144"/>
      <c r="D39" s="140"/>
      <c r="E39" s="1504" t="s">
        <v>608</v>
      </c>
      <c r="F39" s="1275" t="s">
        <v>1197</v>
      </c>
      <c r="G39" s="182"/>
      <c r="H39" s="183"/>
      <c r="I39" s="140"/>
      <c r="J39" s="140"/>
      <c r="K39" s="140"/>
      <c r="L39" s="140"/>
      <c r="M39" s="1678" t="s">
        <v>1518</v>
      </c>
      <c r="N39" s="1678"/>
      <c r="O39" s="2149"/>
    </row>
    <row r="40" spans="1:17" customFormat="1" ht="23.4" customHeight="1">
      <c r="A40" s="2134"/>
      <c r="B40" s="2275"/>
      <c r="C40" s="2144"/>
      <c r="D40" s="140"/>
      <c r="E40" s="1504" t="s">
        <v>1222</v>
      </c>
      <c r="F40" s="1275" t="s">
        <v>1221</v>
      </c>
      <c r="G40" s="182"/>
      <c r="H40" s="183"/>
      <c r="I40" s="140"/>
      <c r="J40" s="140"/>
      <c r="K40" s="140"/>
      <c r="L40" s="140"/>
      <c r="M40" s="1275" t="s">
        <v>1519</v>
      </c>
      <c r="N40" s="1275"/>
      <c r="O40" s="2149"/>
    </row>
    <row r="41" spans="1:17" customFormat="1" ht="23.4" customHeight="1">
      <c r="A41" s="2134"/>
      <c r="B41" s="2275"/>
      <c r="C41" s="2144"/>
      <c r="D41" s="140"/>
      <c r="E41" s="1504" t="s">
        <v>598</v>
      </c>
      <c r="F41" s="1275" t="s">
        <v>599</v>
      </c>
      <c r="G41" s="182"/>
      <c r="H41" s="183"/>
      <c r="I41" s="140"/>
      <c r="J41" s="140"/>
      <c r="K41" s="140"/>
      <c r="L41" s="140"/>
      <c r="M41" s="1676" t="s">
        <v>1520</v>
      </c>
      <c r="N41" s="1676"/>
      <c r="O41" s="2149"/>
    </row>
    <row r="42" spans="1:17" customFormat="1" ht="23.4" customHeight="1">
      <c r="A42" s="2134"/>
      <c r="B42" s="2275"/>
      <c r="C42" s="2144"/>
      <c r="D42" s="140"/>
      <c r="E42" s="1504" t="s">
        <v>609</v>
      </c>
      <c r="F42" s="1275" t="s">
        <v>610</v>
      </c>
      <c r="G42" s="182"/>
      <c r="H42" s="183"/>
      <c r="I42" s="140"/>
      <c r="J42" s="140"/>
      <c r="K42" s="140"/>
      <c r="L42" s="140"/>
      <c r="M42" s="2292" t="s">
        <v>1521</v>
      </c>
      <c r="N42" s="2292"/>
      <c r="O42" s="2149"/>
    </row>
    <row r="43" spans="1:17" ht="23.4" customHeight="1">
      <c r="A43" s="2134"/>
      <c r="B43" s="2275"/>
      <c r="C43" s="2144"/>
      <c r="D43" s="1515"/>
      <c r="E43" s="1505" t="s">
        <v>611</v>
      </c>
      <c r="F43" s="382" t="s">
        <v>612</v>
      </c>
      <c r="G43" s="383"/>
      <c r="H43" s="384"/>
      <c r="I43" s="1515"/>
      <c r="J43" s="1515"/>
      <c r="K43" s="1515"/>
      <c r="L43" s="1515"/>
      <c r="M43" s="2077"/>
      <c r="N43" s="2077"/>
      <c r="O43" s="2149"/>
      <c r="P43" s="123"/>
    </row>
    <row r="44" spans="1:17" ht="26.25" customHeight="1">
      <c r="A44" s="975"/>
      <c r="E44" s="446"/>
      <c r="F44" s="123"/>
      <c r="G44" s="430"/>
      <c r="H44" s="431"/>
      <c r="I44" s="123"/>
      <c r="J44" s="123"/>
      <c r="K44" s="432"/>
      <c r="L44" s="123"/>
      <c r="O44" s="446"/>
      <c r="P44" s="123"/>
    </row>
    <row r="45" spans="1:17" ht="26.25" customHeight="1">
      <c r="A45" s="975"/>
      <c r="E45" s="446"/>
      <c r="F45" s="123"/>
      <c r="G45" s="430"/>
      <c r="H45" s="431"/>
      <c r="I45" s="123"/>
      <c r="J45" s="123"/>
      <c r="K45" s="432"/>
      <c r="L45" s="123"/>
      <c r="O45" s="446"/>
      <c r="P45" s="123"/>
    </row>
    <row r="46" spans="1:17" ht="26.25" customHeight="1">
      <c r="A46" s="975"/>
      <c r="E46" s="446"/>
      <c r="F46" s="123"/>
      <c r="G46" s="430"/>
      <c r="H46" s="431"/>
      <c r="I46" s="123"/>
      <c r="J46" s="123"/>
      <c r="K46" s="432"/>
      <c r="L46" s="123"/>
      <c r="O46" s="446"/>
      <c r="P46" s="123"/>
    </row>
    <row r="47" spans="1:17" ht="26.25" customHeight="1">
      <c r="A47" s="77"/>
      <c r="E47" s="446"/>
      <c r="F47" s="123"/>
      <c r="G47" s="430"/>
      <c r="H47" s="431"/>
      <c r="I47" s="123"/>
      <c r="J47" s="123"/>
      <c r="K47" s="432"/>
      <c r="L47" s="123"/>
      <c r="O47" s="446"/>
      <c r="P47" s="123"/>
    </row>
  </sheetData>
  <mergeCells count="48">
    <mergeCell ref="F16:H16"/>
    <mergeCell ref="F17:H17"/>
    <mergeCell ref="P8:P10"/>
    <mergeCell ref="N11:N17"/>
    <mergeCell ref="O11:O17"/>
    <mergeCell ref="M8:M10"/>
    <mergeCell ref="F11:H11"/>
    <mergeCell ref="F12:H12"/>
    <mergeCell ref="F13:H13"/>
    <mergeCell ref="F14:H14"/>
    <mergeCell ref="N18:N30"/>
    <mergeCell ref="N31:N32"/>
    <mergeCell ref="P35:Q35"/>
    <mergeCell ref="N42:N43"/>
    <mergeCell ref="M42:M43"/>
    <mergeCell ref="O31:O32"/>
    <mergeCell ref="O33:O43"/>
    <mergeCell ref="O18:O30"/>
    <mergeCell ref="F6:H6"/>
    <mergeCell ref="A2:A3"/>
    <mergeCell ref="B2:E3"/>
    <mergeCell ref="F2:G2"/>
    <mergeCell ref="H2:L2"/>
    <mergeCell ref="F3:G3"/>
    <mergeCell ref="H3:L3"/>
    <mergeCell ref="A4:A5"/>
    <mergeCell ref="B4:E5"/>
    <mergeCell ref="F4:G4"/>
    <mergeCell ref="H4:L4"/>
    <mergeCell ref="F5:G5"/>
    <mergeCell ref="H5:L5"/>
    <mergeCell ref="B6:C6"/>
    <mergeCell ref="F7:H7"/>
    <mergeCell ref="F33:H33"/>
    <mergeCell ref="A7:A10"/>
    <mergeCell ref="A11:A17"/>
    <mergeCell ref="A18:A32"/>
    <mergeCell ref="A33:A43"/>
    <mergeCell ref="C8:C9"/>
    <mergeCell ref="C18:C30"/>
    <mergeCell ref="C31:C32"/>
    <mergeCell ref="B18:B32"/>
    <mergeCell ref="B7:B10"/>
    <mergeCell ref="B11:B17"/>
    <mergeCell ref="C11:C17"/>
    <mergeCell ref="B33:B43"/>
    <mergeCell ref="C33:C43"/>
    <mergeCell ref="F15:H15"/>
  </mergeCells>
  <phoneticPr fontId="14"/>
  <conditionalFormatting sqref="E31:H32 E34:H34 N40 E37:H43">
    <cfRule type="expression" priority="181" stopIfTrue="1">
      <formula>$K31="COMP"</formula>
    </cfRule>
    <cfRule type="expression" dxfId="506" priority="182" stopIfTrue="1">
      <formula>$K31=""</formula>
    </cfRule>
    <cfRule type="expression" priority="183" stopIfTrue="1">
      <formula>$K31="-"</formula>
    </cfRule>
    <cfRule type="expression" dxfId="505" priority="184" stopIfTrue="1">
      <formula>$K31=0</formula>
    </cfRule>
    <cfRule type="expression" dxfId="504" priority="185" stopIfTrue="1">
      <formula>$K31&lt;&gt;""</formula>
    </cfRule>
  </conditionalFormatting>
  <conditionalFormatting sqref="F35">
    <cfRule type="expression" priority="36" stopIfTrue="1">
      <formula>$K35="COMP"</formula>
    </cfRule>
    <cfRule type="expression" dxfId="503" priority="37" stopIfTrue="1">
      <formula>$K35=""</formula>
    </cfRule>
    <cfRule type="expression" priority="38" stopIfTrue="1">
      <formula>$K35="-"</formula>
    </cfRule>
    <cfRule type="expression" dxfId="502" priority="39" stopIfTrue="1">
      <formula>$K35=0</formula>
    </cfRule>
    <cfRule type="expression" dxfId="501" priority="40" stopIfTrue="1">
      <formula>$K35&lt;&gt;""</formula>
    </cfRule>
  </conditionalFormatting>
  <conditionalFormatting sqref="P35:Q35">
    <cfRule type="expression" priority="71" stopIfTrue="1">
      <formula>$L35="COMP"</formula>
    </cfRule>
    <cfRule type="expression" dxfId="500" priority="72" stopIfTrue="1">
      <formula>$L35=""</formula>
    </cfRule>
    <cfRule type="expression" priority="73" stopIfTrue="1">
      <formula>$L35="-"</formula>
    </cfRule>
    <cfRule type="expression" dxfId="499" priority="74" stopIfTrue="1">
      <formula>$L35=0</formula>
    </cfRule>
    <cfRule type="expression" dxfId="498" priority="75" stopIfTrue="1">
      <formula>$L35&lt;&gt;""</formula>
    </cfRule>
  </conditionalFormatting>
  <conditionalFormatting sqref="E35">
    <cfRule type="expression" priority="16" stopIfTrue="1">
      <formula>$K35="COMP"</formula>
    </cfRule>
    <cfRule type="expression" dxfId="497" priority="17" stopIfTrue="1">
      <formula>$K35=""</formula>
    </cfRule>
    <cfRule type="expression" priority="18" stopIfTrue="1">
      <formula>$K35="-"</formula>
    </cfRule>
    <cfRule type="expression" dxfId="496" priority="19" stopIfTrue="1">
      <formula>$K35=0</formula>
    </cfRule>
    <cfRule type="expression" dxfId="495" priority="20" stopIfTrue="1">
      <formula>$K35&lt;&gt;""</formula>
    </cfRule>
  </conditionalFormatting>
  <conditionalFormatting sqref="E33:F33">
    <cfRule type="expression" priority="26" stopIfTrue="1">
      <formula>$K33="COMP"</formula>
    </cfRule>
    <cfRule type="expression" dxfId="494" priority="27" stopIfTrue="1">
      <formula>$K33=""</formula>
    </cfRule>
    <cfRule type="expression" priority="28" stopIfTrue="1">
      <formula>$K33="-"</formula>
    </cfRule>
    <cfRule type="expression" dxfId="493" priority="29" stopIfTrue="1">
      <formula>$K33=0</formula>
    </cfRule>
    <cfRule type="expression" dxfId="492" priority="30" stopIfTrue="1">
      <formula>$K33&lt;&gt;""</formula>
    </cfRule>
  </conditionalFormatting>
  <conditionalFormatting sqref="E33:F33">
    <cfRule type="expression" priority="21" stopIfTrue="1">
      <formula>$K33="COMP"</formula>
    </cfRule>
    <cfRule type="expression" dxfId="491" priority="22" stopIfTrue="1">
      <formula>$K33=""</formula>
    </cfRule>
    <cfRule type="expression" priority="23" stopIfTrue="1">
      <formula>$K33="-"</formula>
    </cfRule>
    <cfRule type="expression" dxfId="490" priority="24" stopIfTrue="1">
      <formula>$K33=0</formula>
    </cfRule>
    <cfRule type="expression" dxfId="489" priority="25" stopIfTrue="1">
      <formula>$K33&lt;&gt;""</formula>
    </cfRule>
  </conditionalFormatting>
  <conditionalFormatting sqref="F35">
    <cfRule type="expression" priority="31" stopIfTrue="1">
      <formula>$K35="COMP"</formula>
    </cfRule>
    <cfRule type="expression" dxfId="488" priority="32" stopIfTrue="1">
      <formula>$K35=""</formula>
    </cfRule>
    <cfRule type="expression" priority="33" stopIfTrue="1">
      <formula>$K35="-"</formula>
    </cfRule>
    <cfRule type="expression" dxfId="487" priority="34" stopIfTrue="1">
      <formula>$K35=0</formula>
    </cfRule>
    <cfRule type="expression" dxfId="486" priority="35" stopIfTrue="1">
      <formula>$K35&lt;&gt;""</formula>
    </cfRule>
  </conditionalFormatting>
  <conditionalFormatting sqref="E35">
    <cfRule type="expression" priority="11" stopIfTrue="1">
      <formula>$K35="COMP"</formula>
    </cfRule>
    <cfRule type="expression" dxfId="485" priority="12" stopIfTrue="1">
      <formula>$K35=""</formula>
    </cfRule>
    <cfRule type="expression" priority="13" stopIfTrue="1">
      <formula>$K35="-"</formula>
    </cfRule>
    <cfRule type="expression" dxfId="484" priority="14" stopIfTrue="1">
      <formula>$K35=0</formula>
    </cfRule>
    <cfRule type="expression" dxfId="483" priority="15" stopIfTrue="1">
      <formula>$K35&lt;&gt;""</formula>
    </cfRule>
  </conditionalFormatting>
  <conditionalFormatting sqref="E36:H36">
    <cfRule type="expression" priority="66" stopIfTrue="1">
      <formula>$K36="COMP"</formula>
    </cfRule>
    <cfRule type="expression" dxfId="482" priority="67" stopIfTrue="1">
      <formula>$K36=""</formula>
    </cfRule>
    <cfRule type="expression" priority="68" stopIfTrue="1">
      <formula>$K36="-"</formula>
    </cfRule>
    <cfRule type="expression" dxfId="481" priority="69" stopIfTrue="1">
      <formula>$K36=0</formula>
    </cfRule>
    <cfRule type="expression" dxfId="480" priority="70" stopIfTrue="1">
      <formula>$K36&lt;&gt;""</formula>
    </cfRule>
  </conditionalFormatting>
  <conditionalFormatting sqref="E36:F36">
    <cfRule type="expression" priority="51" stopIfTrue="1">
      <formula>$K36="COMP"</formula>
    </cfRule>
    <cfRule type="expression" dxfId="479" priority="52" stopIfTrue="1">
      <formula>$K36=""</formula>
    </cfRule>
    <cfRule type="expression" priority="53" stopIfTrue="1">
      <formula>$K36="-"</formula>
    </cfRule>
    <cfRule type="expression" dxfId="478" priority="54" stopIfTrue="1">
      <formula>$K36=0</formula>
    </cfRule>
    <cfRule type="expression" dxfId="477" priority="55" stopIfTrue="1">
      <formula>$K36&lt;&gt;""</formula>
    </cfRule>
  </conditionalFormatting>
  <conditionalFormatting sqref="E40:H40">
    <cfRule type="expression" priority="46" stopIfTrue="1">
      <formula>#REF!="COMP"</formula>
    </cfRule>
    <cfRule type="expression" dxfId="476" priority="47" stopIfTrue="1">
      <formula>#REF!=""</formula>
    </cfRule>
    <cfRule type="expression" priority="48" stopIfTrue="1">
      <formula>#REF!="-"</formula>
    </cfRule>
    <cfRule type="expression" dxfId="475" priority="49" stopIfTrue="1">
      <formula>#REF!=0</formula>
    </cfRule>
    <cfRule type="expression" dxfId="474" priority="50" stopIfTrue="1">
      <formula>#REF!&lt;&gt;""</formula>
    </cfRule>
  </conditionalFormatting>
  <conditionalFormatting sqref="N40">
    <cfRule type="expression" priority="41" stopIfTrue="1">
      <formula>#REF!="COMP"</formula>
    </cfRule>
    <cfRule type="expression" dxfId="473" priority="42" stopIfTrue="1">
      <formula>#REF!=""</formula>
    </cfRule>
    <cfRule type="expression" priority="43" stopIfTrue="1">
      <formula>#REF!="-"</formula>
    </cfRule>
    <cfRule type="expression" dxfId="472" priority="44" stopIfTrue="1">
      <formula>#REF!=0</formula>
    </cfRule>
    <cfRule type="expression" dxfId="471" priority="45" stopIfTrue="1">
      <formula>#REF!&lt;&gt;""</formula>
    </cfRule>
  </conditionalFormatting>
  <conditionalFormatting sqref="E39:F39">
    <cfRule type="expression" priority="76" stopIfTrue="1">
      <formula>#REF!="COMP"</formula>
    </cfRule>
    <cfRule type="expression" dxfId="470" priority="77" stopIfTrue="1">
      <formula>#REF!=""</formula>
    </cfRule>
    <cfRule type="expression" priority="78" stopIfTrue="1">
      <formula>#REF!="-"</formula>
    </cfRule>
    <cfRule type="expression" dxfId="469" priority="79" stopIfTrue="1">
      <formula>#REF!=0</formula>
    </cfRule>
    <cfRule type="expression" dxfId="468" priority="80" stopIfTrue="1">
      <formula>#REF!&lt;&gt;""</formula>
    </cfRule>
  </conditionalFormatting>
  <conditionalFormatting sqref="E37:E38">
    <cfRule type="expression" priority="81" stopIfTrue="1">
      <formula>#REF!="COMP"</formula>
    </cfRule>
    <cfRule type="expression" dxfId="467" priority="82" stopIfTrue="1">
      <formula>#REF!=""</formula>
    </cfRule>
    <cfRule type="expression" priority="83" stopIfTrue="1">
      <formula>#REF!="-"</formula>
    </cfRule>
    <cfRule type="expression" dxfId="466" priority="84" stopIfTrue="1">
      <formula>#REF!=0</formula>
    </cfRule>
    <cfRule type="expression" dxfId="465" priority="85" stopIfTrue="1">
      <formula>#REF!&lt;&gt;""</formula>
    </cfRule>
  </conditionalFormatting>
  <conditionalFormatting sqref="G39:H39">
    <cfRule type="expression" priority="481" stopIfTrue="1">
      <formula>$K40="COMP"</formula>
    </cfRule>
    <cfRule type="expression" dxfId="464" priority="482" stopIfTrue="1">
      <formula>$K40=""</formula>
    </cfRule>
    <cfRule type="expression" priority="483" stopIfTrue="1">
      <formula>$K40="-"</formula>
    </cfRule>
    <cfRule type="expression" dxfId="463" priority="484" stopIfTrue="1">
      <formula>$K40=0</formula>
    </cfRule>
    <cfRule type="expression" dxfId="462" priority="485" stopIfTrue="1">
      <formula>$K40&lt;&gt;""</formula>
    </cfRule>
  </conditionalFormatting>
  <conditionalFormatting sqref="M40">
    <cfRule type="expression" priority="6" stopIfTrue="1">
      <formula>$K40="COMP"</formula>
    </cfRule>
    <cfRule type="expression" dxfId="461" priority="7" stopIfTrue="1">
      <formula>$K40=""</formula>
    </cfRule>
    <cfRule type="expression" priority="8" stopIfTrue="1">
      <formula>$K40="-"</formula>
    </cfRule>
    <cfRule type="expression" dxfId="460" priority="9" stopIfTrue="1">
      <formula>$K40=0</formula>
    </cfRule>
    <cfRule type="expression" dxfId="459" priority="10" stopIfTrue="1">
      <formula>$K40&lt;&gt;""</formula>
    </cfRule>
  </conditionalFormatting>
  <conditionalFormatting sqref="M40">
    <cfRule type="expression" priority="1" stopIfTrue="1">
      <formula>#REF!="COMP"</formula>
    </cfRule>
    <cfRule type="expression" dxfId="458" priority="2" stopIfTrue="1">
      <formula>#REF!=""</formula>
    </cfRule>
    <cfRule type="expression" priority="3" stopIfTrue="1">
      <formula>#REF!="-"</formula>
    </cfRule>
    <cfRule type="expression" dxfId="457" priority="4" stopIfTrue="1">
      <formula>#REF!=0</formula>
    </cfRule>
    <cfRule type="expression" dxfId="456" priority="5" stopIfTrue="1">
      <formula>#REF!&lt;&gt;""</formula>
    </cfRule>
  </conditionalFormatting>
  <hyperlinks>
    <hyperlink ref="O11:O17" r:id="rId1" display="E"/>
    <hyperlink ref="A1:P1" location="TEMPLATE!A1" display="標準ボール (ID＜15.875、OD＜32 W≦29)"/>
  </hyperlinks>
  <pageMargins left="0.70866141732283472" right="0.70866141732283472" top="0.74803149606299213" bottom="0.74803149606299213" header="0.31496062992125984" footer="0.31496062992125984"/>
  <pageSetup paperSize="9" scale="44"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00B0F0"/>
  </sheetPr>
  <dimension ref="A1:P35"/>
  <sheetViews>
    <sheetView showGridLines="0" view="pageBreakPreview" topLeftCell="A10" zoomScale="70" zoomScaleNormal="100" zoomScaleSheetLayoutView="70" workbookViewId="0">
      <selection activeCell="M18" sqref="M18"/>
    </sheetView>
  </sheetViews>
  <sheetFormatPr defaultRowHeight="13.8"/>
  <cols>
    <col min="1" max="1" width="11.8984375" bestFit="1" customWidth="1"/>
    <col min="2" max="2" width="16.09765625" bestFit="1" customWidth="1"/>
    <col min="3" max="3" width="26.3984375" bestFit="1" customWidth="1"/>
    <col min="4" max="4" width="5.59765625" customWidth="1"/>
    <col min="5" max="5" width="25.8984375" bestFit="1" customWidth="1"/>
    <col min="6" max="6" width="11.8984375" bestFit="1" customWidth="1"/>
    <col min="7" max="7" width="6.59765625" bestFit="1" customWidth="1"/>
    <col min="8" max="8" width="5.59765625" style="13" customWidth="1"/>
    <col min="9" max="11" width="5.59765625" customWidth="1"/>
    <col min="12" max="12" width="5.59765625" style="7" customWidth="1"/>
    <col min="13" max="13" width="75.3984375" bestFit="1" customWidth="1"/>
    <col min="14" max="14" width="11" bestFit="1" customWidth="1"/>
    <col min="15" max="15" width="7.3984375" bestFit="1" customWidth="1"/>
    <col min="16" max="16" width="67.69921875" style="91" bestFit="1" customWidth="1"/>
  </cols>
  <sheetData>
    <row r="1" spans="1:16" ht="13.5" customHeight="1">
      <c r="A1" s="835" t="s">
        <v>1062</v>
      </c>
      <c r="B1" s="835"/>
      <c r="C1" s="835"/>
      <c r="D1" s="835"/>
      <c r="E1" s="835"/>
      <c r="F1" s="835"/>
      <c r="G1" s="835"/>
      <c r="H1" s="835"/>
      <c r="I1" s="835"/>
      <c r="J1" s="835"/>
      <c r="K1" s="835"/>
      <c r="L1" s="835"/>
      <c r="M1" s="835"/>
      <c r="N1" s="835"/>
      <c r="O1" s="835"/>
      <c r="P1" s="100"/>
    </row>
    <row r="2" spans="1:16" ht="30" customHeight="1">
      <c r="A2" s="2314" t="s">
        <v>5</v>
      </c>
      <c r="B2" s="2144"/>
      <c r="C2" s="2144"/>
      <c r="D2" s="2144"/>
      <c r="E2" s="2144"/>
      <c r="F2" s="2006" t="s">
        <v>1391</v>
      </c>
      <c r="G2" s="2006"/>
      <c r="H2" s="2017"/>
      <c r="I2" s="2017"/>
      <c r="J2" s="2017"/>
      <c r="K2" s="2017"/>
      <c r="L2" s="2017"/>
      <c r="M2" s="1704" t="s">
        <v>1522</v>
      </c>
      <c r="N2" s="1669"/>
      <c r="O2" s="1520"/>
      <c r="P2" s="1001"/>
    </row>
    <row r="3" spans="1:16" ht="30" customHeight="1">
      <c r="A3" s="2315"/>
      <c r="B3" s="2144"/>
      <c r="C3" s="2144"/>
      <c r="D3" s="2144"/>
      <c r="E3" s="2144"/>
      <c r="F3" s="2006" t="s">
        <v>1371</v>
      </c>
      <c r="G3" s="2006"/>
      <c r="H3" s="2017"/>
      <c r="I3" s="2017"/>
      <c r="J3" s="2017"/>
      <c r="K3" s="2017"/>
      <c r="L3" s="2017"/>
      <c r="M3" s="432"/>
      <c r="N3" s="432"/>
      <c r="O3" s="839"/>
      <c r="P3" s="1001"/>
    </row>
    <row r="4" spans="1:16" ht="30" customHeight="1">
      <c r="A4" s="2314" t="s">
        <v>38</v>
      </c>
      <c r="B4" s="2144"/>
      <c r="C4" s="2144"/>
      <c r="D4" s="2144"/>
      <c r="E4" s="2144"/>
      <c r="F4" s="2007" t="s">
        <v>1392</v>
      </c>
      <c r="G4" s="2007"/>
      <c r="H4" s="2017"/>
      <c r="I4" s="2017"/>
      <c r="J4" s="2017"/>
      <c r="K4" s="2017"/>
      <c r="L4" s="2017"/>
      <c r="M4" s="432"/>
      <c r="N4" s="432"/>
      <c r="O4" s="839"/>
      <c r="P4" s="1001"/>
    </row>
    <row r="5" spans="1:16" ht="30" customHeight="1">
      <c r="A5" s="2315"/>
      <c r="B5" s="2144"/>
      <c r="C5" s="2144"/>
      <c r="D5" s="2144"/>
      <c r="E5" s="2144"/>
      <c r="F5" s="2008" t="s">
        <v>1372</v>
      </c>
      <c r="G5" s="2008"/>
      <c r="H5" s="2017"/>
      <c r="I5" s="2017"/>
      <c r="J5" s="2017"/>
      <c r="K5" s="2017"/>
      <c r="L5" s="2017"/>
      <c r="M5" s="432"/>
      <c r="N5" s="432"/>
      <c r="O5" s="839"/>
      <c r="P5" s="1001"/>
    </row>
    <row r="6" spans="1:16" s="6" customFormat="1" ht="60" customHeight="1">
      <c r="A6" s="1705" t="s">
        <v>1227</v>
      </c>
      <c r="B6" s="2316" t="s">
        <v>6</v>
      </c>
      <c r="C6" s="2317"/>
      <c r="D6" s="1706" t="s">
        <v>1407</v>
      </c>
      <c r="E6" s="1707" t="s">
        <v>64</v>
      </c>
      <c r="F6" s="2318" t="s">
        <v>1</v>
      </c>
      <c r="G6" s="2319"/>
      <c r="H6" s="2320"/>
      <c r="I6" s="1708" t="s">
        <v>66</v>
      </c>
      <c r="J6" s="1708" t="s">
        <v>1376</v>
      </c>
      <c r="K6" s="1709" t="s">
        <v>1377</v>
      </c>
      <c r="L6" s="1709" t="s">
        <v>1375</v>
      </c>
      <c r="M6" s="1710" t="s">
        <v>1387</v>
      </c>
      <c r="N6" s="1710" t="s">
        <v>1378</v>
      </c>
      <c r="O6" s="1322" t="s">
        <v>1379</v>
      </c>
    </row>
    <row r="7" spans="1:16" ht="20.100000000000001" customHeight="1">
      <c r="A7" s="2311">
        <v>1021</v>
      </c>
      <c r="B7" s="2154" t="s">
        <v>458</v>
      </c>
      <c r="C7" s="1542" t="s">
        <v>1430</v>
      </c>
      <c r="D7" s="1668"/>
      <c r="E7" s="1668"/>
      <c r="F7" s="2261"/>
      <c r="G7" s="2262"/>
      <c r="H7" s="2262"/>
      <c r="I7" s="1668"/>
      <c r="J7" s="1668"/>
      <c r="K7" s="1668"/>
      <c r="L7" s="1668"/>
      <c r="M7" s="1671" t="s">
        <v>1531</v>
      </c>
      <c r="N7" s="1670"/>
      <c r="O7" s="1507"/>
      <c r="P7"/>
    </row>
    <row r="8" spans="1:16" ht="20.100000000000001" customHeight="1">
      <c r="A8" s="2311"/>
      <c r="B8" s="2155"/>
      <c r="C8" s="2157" t="s">
        <v>33</v>
      </c>
      <c r="D8" s="1503"/>
      <c r="E8" s="1503" t="s">
        <v>34</v>
      </c>
      <c r="F8" s="1547" t="s">
        <v>25</v>
      </c>
      <c r="G8" s="1548"/>
      <c r="H8" s="1548"/>
      <c r="I8" s="264"/>
      <c r="J8" s="265"/>
      <c r="K8" s="265"/>
      <c r="L8" s="265"/>
      <c r="M8" s="2303"/>
      <c r="N8" s="353"/>
      <c r="O8" s="298" t="str">
        <f t="shared" ref="O8:O10" si="0">HYPERLINK(VLOOKUP(F8,LINK,2,FALSE),VLOOKUP(F8,LINK,3,FALSE))</f>
        <v>EXCEL</v>
      </c>
      <c r="P8"/>
    </row>
    <row r="9" spans="1:16" ht="20.100000000000001" customHeight="1">
      <c r="A9" s="2311"/>
      <c r="B9" s="2155"/>
      <c r="C9" s="2158"/>
      <c r="D9" s="1505"/>
      <c r="E9" s="1505" t="s">
        <v>26</v>
      </c>
      <c r="F9" s="269" t="s">
        <v>27</v>
      </c>
      <c r="G9" s="317"/>
      <c r="H9" s="317"/>
      <c r="I9" s="270"/>
      <c r="J9" s="271"/>
      <c r="K9" s="271"/>
      <c r="L9" s="271"/>
      <c r="M9" s="2303"/>
      <c r="N9" s="359"/>
      <c r="O9" s="299" t="str">
        <f t="shared" si="0"/>
        <v>EXCEL</v>
      </c>
      <c r="P9"/>
    </row>
    <row r="10" spans="1:16" ht="20.100000000000001" customHeight="1">
      <c r="A10" s="2311"/>
      <c r="B10" s="2156"/>
      <c r="C10" s="1506" t="s">
        <v>35</v>
      </c>
      <c r="D10" s="1506"/>
      <c r="E10" s="1506" t="s">
        <v>34</v>
      </c>
      <c r="F10" s="273" t="s">
        <v>36</v>
      </c>
      <c r="G10" s="318"/>
      <c r="H10" s="318"/>
      <c r="I10" s="274"/>
      <c r="J10" s="275"/>
      <c r="K10" s="275"/>
      <c r="L10" s="275"/>
      <c r="M10" s="2304"/>
      <c r="N10" s="1672"/>
      <c r="O10" s="1508" t="str">
        <f t="shared" si="0"/>
        <v>EXCEL</v>
      </c>
      <c r="P10"/>
    </row>
    <row r="11" spans="1:16" ht="20.100000000000001" customHeight="1">
      <c r="A11" s="2311">
        <v>1041</v>
      </c>
      <c r="B11" s="2269" t="s">
        <v>544</v>
      </c>
      <c r="C11" s="2272" t="s">
        <v>1523</v>
      </c>
      <c r="D11" s="1511"/>
      <c r="E11" s="1513" t="s">
        <v>545</v>
      </c>
      <c r="F11" s="2305" t="s">
        <v>546</v>
      </c>
      <c r="G11" s="2306"/>
      <c r="H11" s="2307"/>
      <c r="I11" s="1711"/>
      <c r="J11" s="1711"/>
      <c r="K11" s="277"/>
      <c r="L11" s="277"/>
      <c r="M11" s="1679" t="s">
        <v>1503</v>
      </c>
      <c r="N11" s="2324" t="s">
        <v>1502</v>
      </c>
      <c r="O11" s="2149" t="str">
        <f>HYPERLINK(VLOOKUP(F11,LINK,2,FALSE),VLOOKUP(F11,LINK,3,FALSE))</f>
        <v>EXCEL</v>
      </c>
      <c r="P11" s="743" t="s">
        <v>1050</v>
      </c>
    </row>
    <row r="12" spans="1:16" ht="20.100000000000001" customHeight="1">
      <c r="A12" s="2311"/>
      <c r="B12" s="2270"/>
      <c r="C12" s="2273"/>
      <c r="D12" s="1512"/>
      <c r="E12" s="1519" t="s">
        <v>547</v>
      </c>
      <c r="F12" s="2308" t="s">
        <v>548</v>
      </c>
      <c r="G12" s="2309"/>
      <c r="H12" s="2310"/>
      <c r="I12" s="1712"/>
      <c r="J12" s="1712"/>
      <c r="K12" s="1713"/>
      <c r="L12" s="1713"/>
      <c r="M12" s="1680"/>
      <c r="N12" s="2325"/>
      <c r="O12" s="2302"/>
      <c r="P12" s="743" t="s">
        <v>1049</v>
      </c>
    </row>
    <row r="13" spans="1:16" ht="20.100000000000001" customHeight="1">
      <c r="A13" s="2311"/>
      <c r="B13" s="2270"/>
      <c r="C13" s="2273"/>
      <c r="D13" s="1512"/>
      <c r="E13" s="1519" t="s">
        <v>549</v>
      </c>
      <c r="F13" s="2308" t="s">
        <v>550</v>
      </c>
      <c r="G13" s="2309"/>
      <c r="H13" s="2310"/>
      <c r="I13" s="1712"/>
      <c r="J13" s="1712"/>
      <c r="K13" s="1713"/>
      <c r="L13" s="1713"/>
      <c r="M13" s="1680"/>
      <c r="N13" s="2325"/>
      <c r="O13" s="2302"/>
      <c r="P13"/>
    </row>
    <row r="14" spans="1:16" ht="20.100000000000001" customHeight="1">
      <c r="A14" s="2311"/>
      <c r="B14" s="2270"/>
      <c r="C14" s="2273"/>
      <c r="D14" s="1774"/>
      <c r="E14" s="1775" t="s">
        <v>551</v>
      </c>
      <c r="F14" s="2276" t="s">
        <v>552</v>
      </c>
      <c r="G14" s="2277"/>
      <c r="H14" s="2278"/>
      <c r="I14" s="1779"/>
      <c r="J14" s="1779"/>
      <c r="K14" s="1779"/>
      <c r="L14" s="1779"/>
      <c r="M14" s="1776" t="s">
        <v>1527</v>
      </c>
      <c r="N14" s="2325"/>
      <c r="O14" s="2302"/>
      <c r="P14"/>
    </row>
    <row r="15" spans="1:16" ht="20.100000000000001" customHeight="1">
      <c r="A15" s="2311"/>
      <c r="B15" s="2270"/>
      <c r="C15" s="2273"/>
      <c r="D15" s="1774"/>
      <c r="E15" s="1775" t="s">
        <v>553</v>
      </c>
      <c r="F15" s="2276" t="s">
        <v>29</v>
      </c>
      <c r="G15" s="2277"/>
      <c r="H15" s="2278"/>
      <c r="I15" s="1779"/>
      <c r="J15" s="1779"/>
      <c r="K15" s="1779"/>
      <c r="L15" s="1779"/>
      <c r="M15" s="1776"/>
      <c r="N15" s="2325"/>
      <c r="O15" s="2302"/>
      <c r="P15"/>
    </row>
    <row r="16" spans="1:16" ht="20.100000000000001" customHeight="1">
      <c r="A16" s="2311"/>
      <c r="B16" s="2270"/>
      <c r="C16" s="2273"/>
      <c r="D16" s="1774"/>
      <c r="E16" s="1775" t="s">
        <v>551</v>
      </c>
      <c r="F16" s="2276" t="s">
        <v>554</v>
      </c>
      <c r="G16" s="2277"/>
      <c r="H16" s="2278"/>
      <c r="I16" s="1779"/>
      <c r="J16" s="1779"/>
      <c r="K16" s="1779"/>
      <c r="L16" s="1779"/>
      <c r="M16" s="1776"/>
      <c r="N16" s="2325"/>
      <c r="O16" s="2302"/>
      <c r="P16"/>
    </row>
    <row r="17" spans="1:16" ht="20.100000000000001" customHeight="1">
      <c r="A17" s="2311"/>
      <c r="B17" s="2271"/>
      <c r="C17" s="2274"/>
      <c r="D17" s="1774"/>
      <c r="E17" s="1777" t="s">
        <v>553</v>
      </c>
      <c r="F17" s="2294" t="s">
        <v>555</v>
      </c>
      <c r="G17" s="2295"/>
      <c r="H17" s="2296"/>
      <c r="I17" s="1779"/>
      <c r="J17" s="1779"/>
      <c r="K17" s="1779"/>
      <c r="L17" s="1779"/>
      <c r="M17" s="1778"/>
      <c r="N17" s="2326"/>
      <c r="O17" s="2302"/>
      <c r="P17"/>
    </row>
    <row r="18" spans="1:16" ht="20.100000000000001" customHeight="1">
      <c r="A18" s="2311">
        <v>1061</v>
      </c>
      <c r="B18" s="2116" t="s">
        <v>651</v>
      </c>
      <c r="C18" s="2267" t="s">
        <v>1525</v>
      </c>
      <c r="D18" s="188"/>
      <c r="E18" s="1513" t="s">
        <v>590</v>
      </c>
      <c r="F18" s="1522" t="s">
        <v>591</v>
      </c>
      <c r="G18" s="424"/>
      <c r="H18" s="370"/>
      <c r="I18" s="188"/>
      <c r="J18" s="188"/>
      <c r="K18" s="188"/>
      <c r="L18" s="188"/>
      <c r="M18" s="188"/>
      <c r="N18" s="2116" t="s">
        <v>1505</v>
      </c>
      <c r="O18" s="2018" t="str">
        <f>HYPERLINK(VLOOKUP(F18,LINK,2,FALSE),VLOOKUP(F18,LINK,3,FALSE))</f>
        <v>EXCEL</v>
      </c>
      <c r="P18"/>
    </row>
    <row r="19" spans="1:16" ht="20.100000000000001" customHeight="1">
      <c r="A19" s="2311"/>
      <c r="B19" s="2135"/>
      <c r="C19" s="2268"/>
      <c r="D19" s="1515"/>
      <c r="E19" s="1518" t="s">
        <v>592</v>
      </c>
      <c r="F19" s="425" t="s">
        <v>593</v>
      </c>
      <c r="G19" s="426"/>
      <c r="H19" s="384"/>
      <c r="I19" s="1515"/>
      <c r="J19" s="1515"/>
      <c r="K19" s="1515"/>
      <c r="L19" s="1515"/>
      <c r="M19" s="1515"/>
      <c r="N19" s="2117"/>
      <c r="O19" s="2293"/>
      <c r="P19" s="7"/>
    </row>
    <row r="20" spans="1:16" ht="20.100000000000001" customHeight="1">
      <c r="A20" s="2311"/>
      <c r="B20" s="2135"/>
      <c r="C20" s="2101" t="s">
        <v>1528</v>
      </c>
      <c r="D20" s="188"/>
      <c r="E20" s="303" t="s">
        <v>514</v>
      </c>
      <c r="F20" s="342" t="s">
        <v>515</v>
      </c>
      <c r="G20" s="343"/>
      <c r="H20" s="344"/>
      <c r="I20" s="188"/>
      <c r="J20" s="188"/>
      <c r="K20" s="188"/>
      <c r="L20" s="188"/>
      <c r="M20" s="188"/>
      <c r="N20" s="2334" t="s">
        <v>1529</v>
      </c>
      <c r="O20" s="2149" t="str">
        <f>HYPERLINK(VLOOKUP(F20,LINK,2,FALSE),VLOOKUP(F20,LINK,3,FALSE))</f>
        <v>EXCEL</v>
      </c>
      <c r="P20" s="2333" t="s">
        <v>1052</v>
      </c>
    </row>
    <row r="21" spans="1:16" ht="20.100000000000001" customHeight="1">
      <c r="A21" s="2311"/>
      <c r="B21" s="2135"/>
      <c r="C21" s="2312"/>
      <c r="D21" s="1514"/>
      <c r="E21" s="1516" t="s">
        <v>516</v>
      </c>
      <c r="F21" s="345" t="s">
        <v>517</v>
      </c>
      <c r="G21" s="346"/>
      <c r="H21" s="347"/>
      <c r="I21" s="1514"/>
      <c r="J21" s="1514"/>
      <c r="K21" s="1514"/>
      <c r="L21" s="1514"/>
      <c r="M21" s="1514"/>
      <c r="N21" s="2335"/>
      <c r="O21" s="2149"/>
      <c r="P21" s="2333"/>
    </row>
    <row r="22" spans="1:16" ht="20.100000000000001" customHeight="1">
      <c r="A22" s="2311"/>
      <c r="B22" s="2135"/>
      <c r="C22" s="2312"/>
      <c r="D22" s="1714"/>
      <c r="E22" s="1715" t="s">
        <v>518</v>
      </c>
      <c r="F22" s="2327" t="s">
        <v>519</v>
      </c>
      <c r="G22" s="2328"/>
      <c r="H22" s="2329"/>
      <c r="I22" s="1714"/>
      <c r="J22" s="1716"/>
      <c r="K22" s="1716"/>
      <c r="L22" s="1714"/>
      <c r="M22" s="2336" t="s">
        <v>1530</v>
      </c>
      <c r="N22" s="1680"/>
      <c r="O22" s="2149"/>
      <c r="P22" s="2333"/>
    </row>
    <row r="23" spans="1:16" ht="20.100000000000001" customHeight="1">
      <c r="A23" s="2311"/>
      <c r="B23" s="2135"/>
      <c r="C23" s="2312"/>
      <c r="D23" s="1714"/>
      <c r="E23" s="1715" t="s">
        <v>79</v>
      </c>
      <c r="F23" s="2330" t="s">
        <v>80</v>
      </c>
      <c r="G23" s="2331"/>
      <c r="H23" s="2332"/>
      <c r="I23" s="1714"/>
      <c r="J23" s="1716"/>
      <c r="K23" s="1716"/>
      <c r="L23" s="1714"/>
      <c r="M23" s="2336"/>
      <c r="N23" s="1680"/>
      <c r="O23" s="2149"/>
      <c r="P23" s="2333"/>
    </row>
    <row r="24" spans="1:16" ht="20.100000000000001" customHeight="1">
      <c r="A24" s="2311"/>
      <c r="B24" s="2117"/>
      <c r="C24" s="2313"/>
      <c r="D24" s="229"/>
      <c r="E24" s="1517" t="s">
        <v>735</v>
      </c>
      <c r="F24" s="348" t="s">
        <v>1174</v>
      </c>
      <c r="G24" s="451"/>
      <c r="H24" s="349"/>
      <c r="I24" s="229"/>
      <c r="J24" s="229"/>
      <c r="K24" s="229"/>
      <c r="L24" s="229"/>
      <c r="M24" s="2337"/>
      <c r="N24" s="1681"/>
      <c r="O24" s="2149"/>
      <c r="P24" s="2333"/>
    </row>
    <row r="25" spans="1:16" ht="24" customHeight="1">
      <c r="A25" s="2134">
        <v>1241</v>
      </c>
      <c r="B25" s="2275" t="s">
        <v>1268</v>
      </c>
      <c r="C25" s="2144" t="s">
        <v>1307</v>
      </c>
      <c r="D25" s="1719"/>
      <c r="E25" s="1720" t="s">
        <v>595</v>
      </c>
      <c r="F25" s="2321"/>
      <c r="G25" s="2322"/>
      <c r="H25" s="2323"/>
      <c r="I25" s="1721"/>
      <c r="J25" s="1721"/>
      <c r="K25" s="1721"/>
      <c r="L25" s="1721"/>
      <c r="M25" s="1289" t="s">
        <v>1514</v>
      </c>
      <c r="N25" s="1289"/>
      <c r="O25" s="2149" t="s">
        <v>197</v>
      </c>
      <c r="P25"/>
    </row>
    <row r="26" spans="1:16" ht="24" customHeight="1">
      <c r="A26" s="2134"/>
      <c r="B26" s="2275"/>
      <c r="C26" s="2144"/>
      <c r="D26" s="140"/>
      <c r="E26" s="875" t="s">
        <v>600</v>
      </c>
      <c r="F26" s="1275" t="s">
        <v>601</v>
      </c>
      <c r="G26" s="182"/>
      <c r="H26" s="183"/>
      <c r="I26" s="140"/>
      <c r="J26" s="140"/>
      <c r="K26" s="140"/>
      <c r="L26" s="140"/>
      <c r="M26" s="1676" t="s">
        <v>1514</v>
      </c>
      <c r="N26" s="1676"/>
      <c r="O26" s="2149"/>
      <c r="P26"/>
    </row>
    <row r="27" spans="1:16" ht="24" customHeight="1">
      <c r="A27" s="2134"/>
      <c r="B27" s="2275"/>
      <c r="C27" s="2144"/>
      <c r="D27" s="140"/>
      <c r="E27" s="429" t="s">
        <v>596</v>
      </c>
      <c r="F27" s="1159" t="s">
        <v>1272</v>
      </c>
      <c r="G27" s="1276"/>
      <c r="H27" s="1277"/>
      <c r="I27" s="1160"/>
      <c r="J27" s="1160"/>
      <c r="K27" s="1160"/>
      <c r="L27" s="1160"/>
      <c r="M27" s="1160" t="s">
        <v>1515</v>
      </c>
      <c r="N27" s="1160"/>
      <c r="O27" s="2149"/>
      <c r="P27"/>
    </row>
    <row r="28" spans="1:16" ht="24" customHeight="1">
      <c r="A28" s="2134"/>
      <c r="B28" s="2275"/>
      <c r="C28" s="2144"/>
      <c r="D28" s="1160"/>
      <c r="E28" s="1521" t="s">
        <v>30</v>
      </c>
      <c r="F28" s="1159" t="s">
        <v>597</v>
      </c>
      <c r="G28" s="1163"/>
      <c r="H28" s="1164"/>
      <c r="I28" s="1160"/>
      <c r="J28" s="1160"/>
      <c r="K28" s="1160"/>
      <c r="L28" s="1160"/>
      <c r="M28" s="1677" t="s">
        <v>1516</v>
      </c>
      <c r="N28" s="1677"/>
      <c r="O28" s="2149"/>
      <c r="P28"/>
    </row>
    <row r="29" spans="1:16" ht="24" customHeight="1">
      <c r="A29" s="2134"/>
      <c r="B29" s="2275"/>
      <c r="C29" s="2144"/>
      <c r="D29" s="1160"/>
      <c r="E29" s="1504" t="s">
        <v>1333</v>
      </c>
      <c r="F29" s="1275" t="s">
        <v>606</v>
      </c>
      <c r="G29" s="182"/>
      <c r="H29" s="183"/>
      <c r="I29" s="140"/>
      <c r="J29" s="140"/>
      <c r="K29" s="140"/>
      <c r="L29" s="140"/>
      <c r="M29" s="1703" t="s">
        <v>1517</v>
      </c>
      <c r="N29" s="1718"/>
      <c r="O29" s="2149"/>
      <c r="P29" s="113"/>
    </row>
    <row r="30" spans="1:16" ht="24" customHeight="1">
      <c r="A30" s="2134"/>
      <c r="B30" s="2275"/>
      <c r="C30" s="2144"/>
      <c r="D30" s="1160"/>
      <c r="E30" s="1504" t="s">
        <v>604</v>
      </c>
      <c r="F30" s="1275" t="s">
        <v>540</v>
      </c>
      <c r="G30" s="182" t="s">
        <v>809</v>
      </c>
      <c r="H30" s="183"/>
      <c r="I30" s="140"/>
      <c r="J30" s="140"/>
      <c r="K30" s="140"/>
      <c r="L30" s="140"/>
      <c r="M30" s="1703" t="s">
        <v>1526</v>
      </c>
      <c r="N30" s="1717"/>
      <c r="O30" s="2149"/>
    </row>
    <row r="31" spans="1:16" ht="24" customHeight="1">
      <c r="A31" s="2134"/>
      <c r="B31" s="2275"/>
      <c r="C31" s="2144"/>
      <c r="D31" s="140"/>
      <c r="E31" s="1504" t="s">
        <v>608</v>
      </c>
      <c r="F31" s="1275" t="s">
        <v>1197</v>
      </c>
      <c r="G31" s="182"/>
      <c r="H31" s="183"/>
      <c r="I31" s="140"/>
      <c r="J31" s="140"/>
      <c r="K31" s="140"/>
      <c r="L31" s="140"/>
      <c r="M31" s="1678" t="s">
        <v>1518</v>
      </c>
      <c r="N31" s="1678"/>
      <c r="O31" s="2149"/>
    </row>
    <row r="32" spans="1:16" ht="24" customHeight="1">
      <c r="A32" s="2134"/>
      <c r="B32" s="2275"/>
      <c r="C32" s="2144"/>
      <c r="D32" s="140"/>
      <c r="E32" s="1504" t="s">
        <v>1222</v>
      </c>
      <c r="F32" s="1275" t="s">
        <v>1221</v>
      </c>
      <c r="G32" s="182"/>
      <c r="H32" s="183"/>
      <c r="I32" s="140"/>
      <c r="J32" s="140"/>
      <c r="K32" s="140"/>
      <c r="L32" s="140"/>
      <c r="M32" s="1275" t="s">
        <v>1519</v>
      </c>
      <c r="N32" s="1275"/>
      <c r="O32" s="2149"/>
    </row>
    <row r="33" spans="1:15" ht="24" customHeight="1">
      <c r="A33" s="2134"/>
      <c r="B33" s="2275"/>
      <c r="C33" s="2144"/>
      <c r="D33" s="140"/>
      <c r="E33" s="1504" t="s">
        <v>598</v>
      </c>
      <c r="F33" s="1275" t="s">
        <v>599</v>
      </c>
      <c r="G33" s="182"/>
      <c r="H33" s="183"/>
      <c r="I33" s="140"/>
      <c r="J33" s="140"/>
      <c r="K33" s="140"/>
      <c r="L33" s="140"/>
      <c r="M33" s="1676" t="s">
        <v>1520</v>
      </c>
      <c r="N33" s="1676"/>
      <c r="O33" s="2149"/>
    </row>
    <row r="34" spans="1:15" ht="24" customHeight="1">
      <c r="A34" s="2134"/>
      <c r="B34" s="2275"/>
      <c r="C34" s="2144"/>
      <c r="D34" s="140"/>
      <c r="E34" s="1504" t="s">
        <v>609</v>
      </c>
      <c r="F34" s="1275" t="s">
        <v>610</v>
      </c>
      <c r="G34" s="182"/>
      <c r="H34" s="183"/>
      <c r="I34" s="140"/>
      <c r="J34" s="140"/>
      <c r="K34" s="140"/>
      <c r="L34" s="140"/>
      <c r="M34" s="2292" t="s">
        <v>1521</v>
      </c>
      <c r="N34" s="2292"/>
      <c r="O34" s="2149"/>
    </row>
    <row r="35" spans="1:15" ht="24" customHeight="1">
      <c r="A35" s="2134"/>
      <c r="B35" s="2275"/>
      <c r="C35" s="2144"/>
      <c r="D35" s="1515"/>
      <c r="E35" s="1505" t="s">
        <v>611</v>
      </c>
      <c r="F35" s="382" t="s">
        <v>612</v>
      </c>
      <c r="G35" s="383"/>
      <c r="H35" s="384"/>
      <c r="I35" s="1515"/>
      <c r="J35" s="1515"/>
      <c r="K35" s="1515"/>
      <c r="L35" s="1515"/>
      <c r="M35" s="2077"/>
      <c r="N35" s="2077"/>
      <c r="O35" s="2149"/>
    </row>
  </sheetData>
  <mergeCells count="50">
    <mergeCell ref="M8:M10"/>
    <mergeCell ref="M34:M35"/>
    <mergeCell ref="N18:N19"/>
    <mergeCell ref="P20:P24"/>
    <mergeCell ref="N20:N21"/>
    <mergeCell ref="M22:M24"/>
    <mergeCell ref="B6:C6"/>
    <mergeCell ref="F15:H15"/>
    <mergeCell ref="F16:H16"/>
    <mergeCell ref="N34:N35"/>
    <mergeCell ref="O25:O35"/>
    <mergeCell ref="F6:H6"/>
    <mergeCell ref="F25:H25"/>
    <mergeCell ref="O20:O24"/>
    <mergeCell ref="N11:N17"/>
    <mergeCell ref="F7:H7"/>
    <mergeCell ref="O18:O19"/>
    <mergeCell ref="O11:O17"/>
    <mergeCell ref="F22:H22"/>
    <mergeCell ref="F23:H23"/>
    <mergeCell ref="F11:H11"/>
    <mergeCell ref="F12:H12"/>
    <mergeCell ref="H2:L2"/>
    <mergeCell ref="F3:G3"/>
    <mergeCell ref="H3:L3"/>
    <mergeCell ref="A4:A5"/>
    <mergeCell ref="B4:E5"/>
    <mergeCell ref="F4:G4"/>
    <mergeCell ref="H4:L4"/>
    <mergeCell ref="F5:G5"/>
    <mergeCell ref="H5:L5"/>
    <mergeCell ref="F2:G2"/>
    <mergeCell ref="A2:A3"/>
    <mergeCell ref="B2:E3"/>
    <mergeCell ref="F17:H17"/>
    <mergeCell ref="A25:A35"/>
    <mergeCell ref="B25:B35"/>
    <mergeCell ref="C25:C35"/>
    <mergeCell ref="A7:A10"/>
    <mergeCell ref="B18:B24"/>
    <mergeCell ref="B11:B17"/>
    <mergeCell ref="A11:A17"/>
    <mergeCell ref="A18:A24"/>
    <mergeCell ref="B7:B10"/>
    <mergeCell ref="C20:C24"/>
    <mergeCell ref="C18:C19"/>
    <mergeCell ref="C8:C9"/>
    <mergeCell ref="C11:C17"/>
    <mergeCell ref="F13:H13"/>
    <mergeCell ref="F14:H14"/>
  </mergeCells>
  <phoneticPr fontId="2"/>
  <conditionalFormatting sqref="E25:F25">
    <cfRule type="expression" priority="21" stopIfTrue="1">
      <formula>$K25="COMP"</formula>
    </cfRule>
    <cfRule type="expression" dxfId="455" priority="22" stopIfTrue="1">
      <formula>$K25=""</formula>
    </cfRule>
    <cfRule type="expression" priority="23" stopIfTrue="1">
      <formula>$K25="-"</formula>
    </cfRule>
    <cfRule type="expression" dxfId="454" priority="24" stopIfTrue="1">
      <formula>$K25=0</formula>
    </cfRule>
    <cfRule type="expression" dxfId="453" priority="25" stopIfTrue="1">
      <formula>$K25&lt;&gt;""</formula>
    </cfRule>
  </conditionalFormatting>
  <conditionalFormatting sqref="E27">
    <cfRule type="expression" priority="16" stopIfTrue="1">
      <formula>$K27="COMP"</formula>
    </cfRule>
    <cfRule type="expression" dxfId="452" priority="17" stopIfTrue="1">
      <formula>$K27=""</formula>
    </cfRule>
    <cfRule type="expression" priority="18" stopIfTrue="1">
      <formula>$K27="-"</formula>
    </cfRule>
    <cfRule type="expression" dxfId="451" priority="19" stopIfTrue="1">
      <formula>$K27=0</formula>
    </cfRule>
    <cfRule type="expression" dxfId="450" priority="20" stopIfTrue="1">
      <formula>$K27&lt;&gt;""</formula>
    </cfRule>
  </conditionalFormatting>
  <conditionalFormatting sqref="E27">
    <cfRule type="expression" priority="11" stopIfTrue="1">
      <formula>$K27="COMP"</formula>
    </cfRule>
    <cfRule type="expression" dxfId="449" priority="12" stopIfTrue="1">
      <formula>$K27=""</formula>
    </cfRule>
    <cfRule type="expression" priority="13" stopIfTrue="1">
      <formula>$K27="-"</formula>
    </cfRule>
    <cfRule type="expression" dxfId="448" priority="14" stopIfTrue="1">
      <formula>$K27=0</formula>
    </cfRule>
    <cfRule type="expression" dxfId="447" priority="15" stopIfTrue="1">
      <formula>$K27&lt;&gt;""</formula>
    </cfRule>
  </conditionalFormatting>
  <conditionalFormatting sqref="M32">
    <cfRule type="expression" priority="6" stopIfTrue="1">
      <formula>$K32="COMP"</formula>
    </cfRule>
    <cfRule type="expression" dxfId="446" priority="7" stopIfTrue="1">
      <formula>$K32=""</formula>
    </cfRule>
    <cfRule type="expression" priority="8" stopIfTrue="1">
      <formula>$K32="-"</formula>
    </cfRule>
    <cfRule type="expression" dxfId="445" priority="9" stopIfTrue="1">
      <formula>$K32=0</formula>
    </cfRule>
    <cfRule type="expression" dxfId="444" priority="10" stopIfTrue="1">
      <formula>$K32&lt;&gt;""</formula>
    </cfRule>
  </conditionalFormatting>
  <conditionalFormatting sqref="F27">
    <cfRule type="expression" priority="31" stopIfTrue="1">
      <formula>$K27="COMP"</formula>
    </cfRule>
    <cfRule type="expression" dxfId="443" priority="32" stopIfTrue="1">
      <formula>$K27=""</formula>
    </cfRule>
    <cfRule type="expression" priority="33" stopIfTrue="1">
      <formula>$K27="-"</formula>
    </cfRule>
    <cfRule type="expression" dxfId="442" priority="34" stopIfTrue="1">
      <formula>$K27=0</formula>
    </cfRule>
    <cfRule type="expression" dxfId="441" priority="35" stopIfTrue="1">
      <formula>$K27&lt;&gt;""</formula>
    </cfRule>
  </conditionalFormatting>
  <conditionalFormatting sqref="E25:F25">
    <cfRule type="expression" priority="26" stopIfTrue="1">
      <formula>$K25="COMP"</formula>
    </cfRule>
    <cfRule type="expression" dxfId="440" priority="27" stopIfTrue="1">
      <formula>$K25=""</formula>
    </cfRule>
    <cfRule type="expression" priority="28" stopIfTrue="1">
      <formula>$K25="-"</formula>
    </cfRule>
    <cfRule type="expression" dxfId="439" priority="29" stopIfTrue="1">
      <formula>$K25=0</formula>
    </cfRule>
    <cfRule type="expression" dxfId="438" priority="30" stopIfTrue="1">
      <formula>$K25&lt;&gt;""</formula>
    </cfRule>
  </conditionalFormatting>
  <conditionalFormatting sqref="E28:F28">
    <cfRule type="expression" priority="51" stopIfTrue="1">
      <formula>$K28="COMP"</formula>
    </cfRule>
    <cfRule type="expression" dxfId="437" priority="52" stopIfTrue="1">
      <formula>$K28=""</formula>
    </cfRule>
    <cfRule type="expression" priority="53" stopIfTrue="1">
      <formula>$K28="-"</formula>
    </cfRule>
    <cfRule type="expression" dxfId="436" priority="54" stopIfTrue="1">
      <formula>$K28=0</formula>
    </cfRule>
    <cfRule type="expression" dxfId="435" priority="55" stopIfTrue="1">
      <formula>$K28&lt;&gt;""</formula>
    </cfRule>
  </conditionalFormatting>
  <conditionalFormatting sqref="E18:H19">
    <cfRule type="expression" priority="81" stopIfTrue="1">
      <formula>$K18="COMP"</formula>
    </cfRule>
    <cfRule type="expression" dxfId="434" priority="82" stopIfTrue="1">
      <formula>$K18=""</formula>
    </cfRule>
    <cfRule type="expression" priority="83" stopIfTrue="1">
      <formula>$K18="-"</formula>
    </cfRule>
    <cfRule type="expression" dxfId="433" priority="84" stopIfTrue="1">
      <formula>$K18=0</formula>
    </cfRule>
    <cfRule type="expression" dxfId="432" priority="85" stopIfTrue="1">
      <formula>$K18&lt;&gt;""</formula>
    </cfRule>
  </conditionalFormatting>
  <conditionalFormatting sqref="E26:H26 N32 E29:H35">
    <cfRule type="expression" priority="71" stopIfTrue="1">
      <formula>$K26="COMP"</formula>
    </cfRule>
    <cfRule type="expression" dxfId="431" priority="72" stopIfTrue="1">
      <formula>$K26=""</formula>
    </cfRule>
    <cfRule type="expression" priority="73" stopIfTrue="1">
      <formula>$K26="-"</formula>
    </cfRule>
    <cfRule type="expression" dxfId="430" priority="74" stopIfTrue="1">
      <formula>$K26=0</formula>
    </cfRule>
    <cfRule type="expression" dxfId="429" priority="75" stopIfTrue="1">
      <formula>$K26&lt;&gt;""</formula>
    </cfRule>
  </conditionalFormatting>
  <conditionalFormatting sqref="F27">
    <cfRule type="expression" priority="36" stopIfTrue="1">
      <formula>$K27="COMP"</formula>
    </cfRule>
    <cfRule type="expression" dxfId="428" priority="37" stopIfTrue="1">
      <formula>$K27=""</formula>
    </cfRule>
    <cfRule type="expression" priority="38" stopIfTrue="1">
      <formula>$K27="-"</formula>
    </cfRule>
    <cfRule type="expression" dxfId="427" priority="39" stopIfTrue="1">
      <formula>$K27=0</formula>
    </cfRule>
    <cfRule type="expression" dxfId="426" priority="40" stopIfTrue="1">
      <formula>$K27&lt;&gt;""</formula>
    </cfRule>
  </conditionalFormatting>
  <conditionalFormatting sqref="E28:H28">
    <cfRule type="expression" priority="56" stopIfTrue="1">
      <formula>$K28="COMP"</formula>
    </cfRule>
    <cfRule type="expression" dxfId="425" priority="57" stopIfTrue="1">
      <formula>$K28=""</formula>
    </cfRule>
    <cfRule type="expression" priority="58" stopIfTrue="1">
      <formula>$K28="-"</formula>
    </cfRule>
    <cfRule type="expression" dxfId="424" priority="59" stopIfTrue="1">
      <formula>$K28=0</formula>
    </cfRule>
    <cfRule type="expression" dxfId="423" priority="60" stopIfTrue="1">
      <formula>$K28&lt;&gt;""</formula>
    </cfRule>
  </conditionalFormatting>
  <conditionalFormatting sqref="E32:H32">
    <cfRule type="expression" priority="46" stopIfTrue="1">
      <formula>#REF!="COMP"</formula>
    </cfRule>
    <cfRule type="expression" dxfId="422" priority="47" stopIfTrue="1">
      <formula>#REF!=""</formula>
    </cfRule>
    <cfRule type="expression" priority="48" stopIfTrue="1">
      <formula>#REF!="-"</formula>
    </cfRule>
    <cfRule type="expression" dxfId="421" priority="49" stopIfTrue="1">
      <formula>#REF!=0</formula>
    </cfRule>
    <cfRule type="expression" dxfId="420" priority="50" stopIfTrue="1">
      <formula>#REF!&lt;&gt;""</formula>
    </cfRule>
  </conditionalFormatting>
  <conditionalFormatting sqref="N32">
    <cfRule type="expression" priority="41" stopIfTrue="1">
      <formula>#REF!="COMP"</formula>
    </cfRule>
    <cfRule type="expression" dxfId="419" priority="42" stopIfTrue="1">
      <formula>#REF!=""</formula>
    </cfRule>
    <cfRule type="expression" priority="43" stopIfTrue="1">
      <formula>#REF!="-"</formula>
    </cfRule>
    <cfRule type="expression" dxfId="418" priority="44" stopIfTrue="1">
      <formula>#REF!=0</formula>
    </cfRule>
    <cfRule type="expression" dxfId="417" priority="45" stopIfTrue="1">
      <formula>#REF!&lt;&gt;""</formula>
    </cfRule>
  </conditionalFormatting>
  <conditionalFormatting sqref="E31:F31">
    <cfRule type="expression" priority="61" stopIfTrue="1">
      <formula>#REF!="COMP"</formula>
    </cfRule>
    <cfRule type="expression" dxfId="416" priority="62" stopIfTrue="1">
      <formula>#REF!=""</formula>
    </cfRule>
    <cfRule type="expression" priority="63" stopIfTrue="1">
      <formula>#REF!="-"</formula>
    </cfRule>
    <cfRule type="expression" dxfId="415" priority="64" stopIfTrue="1">
      <formula>#REF!=0</formula>
    </cfRule>
    <cfRule type="expression" dxfId="414" priority="65" stopIfTrue="1">
      <formula>#REF!&lt;&gt;""</formula>
    </cfRule>
  </conditionalFormatting>
  <conditionalFormatting sqref="E29:E30">
    <cfRule type="expression" priority="66" stopIfTrue="1">
      <formula>#REF!="COMP"</formula>
    </cfRule>
    <cfRule type="expression" dxfId="413" priority="67" stopIfTrue="1">
      <formula>#REF!=""</formula>
    </cfRule>
    <cfRule type="expression" priority="68" stopIfTrue="1">
      <formula>#REF!="-"</formula>
    </cfRule>
    <cfRule type="expression" dxfId="412" priority="69" stopIfTrue="1">
      <formula>#REF!=0</formula>
    </cfRule>
    <cfRule type="expression" dxfId="411" priority="70" stopIfTrue="1">
      <formula>#REF!&lt;&gt;""</formula>
    </cfRule>
  </conditionalFormatting>
  <conditionalFormatting sqref="G31:H31">
    <cfRule type="expression" priority="76" stopIfTrue="1">
      <formula>$K32="COMP"</formula>
    </cfRule>
    <cfRule type="expression" dxfId="410" priority="77" stopIfTrue="1">
      <formula>$K32=""</formula>
    </cfRule>
    <cfRule type="expression" priority="78" stopIfTrue="1">
      <formula>$K32="-"</formula>
    </cfRule>
    <cfRule type="expression" dxfId="409" priority="79" stopIfTrue="1">
      <formula>$K32=0</formula>
    </cfRule>
    <cfRule type="expression" dxfId="408" priority="80" stopIfTrue="1">
      <formula>$K32&lt;&gt;""</formula>
    </cfRule>
  </conditionalFormatting>
  <conditionalFormatting sqref="M32">
    <cfRule type="expression" priority="1" stopIfTrue="1">
      <formula>#REF!="COMP"</formula>
    </cfRule>
    <cfRule type="expression" dxfId="407" priority="2" stopIfTrue="1">
      <formula>#REF!=""</formula>
    </cfRule>
    <cfRule type="expression" priority="3" stopIfTrue="1">
      <formula>#REF!="-"</formula>
    </cfRule>
    <cfRule type="expression" dxfId="406" priority="4" stopIfTrue="1">
      <formula>#REF!=0</formula>
    </cfRule>
    <cfRule type="expression" dxfId="405" priority="5" stopIfTrue="1">
      <formula>#REF!&lt;&gt;""</formula>
    </cfRule>
  </conditionalFormatting>
  <hyperlinks>
    <hyperlink ref="A1:P1" location="TEMPLATE!A1" display="標準ボール (15.875≦ID、OD≦32、W≦29)"/>
    <hyperlink ref="O11:O17" r:id="rId1" display="E"/>
    <hyperlink ref="P20:P24" r:id="rId2" display="(資料)kzw-Thai加工等問い合わせ回答\20181226_【内研加工限界】\内研加工限界.pdf"/>
  </hyperlinks>
  <pageMargins left="0.70866141732283472" right="0.70866141732283472" top="0.74803149606299213" bottom="0.74803149606299213" header="0.31496062992125984" footer="0.31496062992125984"/>
  <pageSetup paperSize="9" scale="53" orientation="landscape"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P65"/>
  <sheetViews>
    <sheetView showGridLines="0" view="pageBreakPreview" topLeftCell="A14" zoomScale="55" zoomScaleNormal="85" zoomScaleSheetLayoutView="55" workbookViewId="0">
      <selection activeCell="E40" sqref="E40"/>
    </sheetView>
  </sheetViews>
  <sheetFormatPr defaultRowHeight="13.8"/>
  <cols>
    <col min="1" max="1" width="9.5" style="1108" bestFit="1" customWidth="1"/>
    <col min="2" max="2" width="21.59765625" customWidth="1"/>
    <col min="3" max="3" width="26.3984375" bestFit="1" customWidth="1"/>
    <col min="4" max="4" width="5.59765625" customWidth="1"/>
    <col min="5" max="5" width="31.5" bestFit="1" customWidth="1"/>
    <col min="6" max="6" width="12.69921875" bestFit="1" customWidth="1"/>
    <col min="7" max="7" width="7.8984375" customWidth="1"/>
    <col min="8" max="8" width="7.8984375" style="13" customWidth="1"/>
    <col min="9" max="9" width="5.59765625" style="350" customWidth="1"/>
    <col min="10" max="11" width="5.59765625" customWidth="1"/>
    <col min="12" max="12" width="5.59765625" style="7" customWidth="1"/>
    <col min="13" max="13" width="97.19921875" bestFit="1" customWidth="1"/>
    <col min="14" max="14" width="12.09765625" bestFit="1" customWidth="1"/>
    <col min="15" max="15" width="7.3984375" bestFit="1" customWidth="1"/>
    <col min="16" max="16" width="7.09765625" bestFit="1" customWidth="1"/>
  </cols>
  <sheetData>
    <row r="1" spans="1:16">
      <c r="A1" s="835" t="s">
        <v>1066</v>
      </c>
      <c r="B1" s="835"/>
      <c r="C1" s="835"/>
      <c r="D1" s="835"/>
      <c r="E1" s="835"/>
      <c r="F1" s="835"/>
      <c r="G1" s="835"/>
      <c r="H1" s="835"/>
      <c r="I1" s="835"/>
      <c r="J1" s="835"/>
      <c r="K1" s="835"/>
      <c r="L1" s="835"/>
      <c r="M1" s="835"/>
      <c r="N1" s="835"/>
      <c r="O1" s="835"/>
      <c r="P1" s="100"/>
    </row>
    <row r="2" spans="1:16" ht="30" customHeight="1">
      <c r="A2" s="2314" t="s">
        <v>5</v>
      </c>
      <c r="B2" s="2144"/>
      <c r="C2" s="2144"/>
      <c r="D2" s="2144"/>
      <c r="E2" s="2144"/>
      <c r="F2" s="2093" t="s">
        <v>1391</v>
      </c>
      <c r="G2" s="2094"/>
      <c r="H2" s="2017"/>
      <c r="I2" s="2017"/>
      <c r="J2" s="2017"/>
      <c r="K2" s="2017"/>
      <c r="L2" s="2017"/>
      <c r="M2" s="1704" t="s">
        <v>1522</v>
      </c>
      <c r="N2" s="1669"/>
      <c r="O2" s="1663"/>
      <c r="P2" s="7"/>
    </row>
    <row r="3" spans="1:16" ht="30" customHeight="1">
      <c r="A3" s="2315"/>
      <c r="B3" s="2144"/>
      <c r="C3" s="2144"/>
      <c r="D3" s="2144"/>
      <c r="E3" s="2144"/>
      <c r="F3" s="2093" t="s">
        <v>1371</v>
      </c>
      <c r="G3" s="2094"/>
      <c r="H3" s="2017"/>
      <c r="I3" s="2017"/>
      <c r="J3" s="2017"/>
      <c r="K3" s="2017"/>
      <c r="L3" s="2017"/>
      <c r="M3" s="432"/>
      <c r="N3" s="432"/>
      <c r="O3" s="839"/>
    </row>
    <row r="4" spans="1:16" ht="30" customHeight="1">
      <c r="A4" s="2314" t="s">
        <v>38</v>
      </c>
      <c r="B4" s="2144"/>
      <c r="C4" s="2144"/>
      <c r="D4" s="2144"/>
      <c r="E4" s="2144"/>
      <c r="F4" s="2350" t="s">
        <v>1392</v>
      </c>
      <c r="G4" s="2351"/>
      <c r="H4" s="2017"/>
      <c r="I4" s="2017"/>
      <c r="J4" s="2017"/>
      <c r="K4" s="2017"/>
      <c r="L4" s="2017"/>
      <c r="M4" s="432"/>
      <c r="N4" s="432"/>
      <c r="O4" s="839"/>
    </row>
    <row r="5" spans="1:16" ht="30" customHeight="1">
      <c r="A5" s="2315"/>
      <c r="B5" s="2144"/>
      <c r="C5" s="2144"/>
      <c r="D5" s="2144"/>
      <c r="E5" s="2144"/>
      <c r="F5" s="2348" t="s">
        <v>1372</v>
      </c>
      <c r="G5" s="2349"/>
      <c r="H5" s="2017"/>
      <c r="I5" s="2017"/>
      <c r="J5" s="2017"/>
      <c r="K5" s="2017"/>
      <c r="L5" s="2017"/>
      <c r="M5" s="432"/>
      <c r="N5" s="432"/>
      <c r="O5" s="839"/>
    </row>
    <row r="6" spans="1:16" ht="60" customHeight="1">
      <c r="A6" s="1705" t="s">
        <v>1227</v>
      </c>
      <c r="B6" s="2316" t="s">
        <v>6</v>
      </c>
      <c r="C6" s="2317"/>
      <c r="D6" s="1706" t="s">
        <v>1407</v>
      </c>
      <c r="E6" s="1707" t="s">
        <v>64</v>
      </c>
      <c r="F6" s="2318" t="s">
        <v>1</v>
      </c>
      <c r="G6" s="2319"/>
      <c r="H6" s="2320"/>
      <c r="I6" s="1708" t="s">
        <v>66</v>
      </c>
      <c r="J6" s="1708" t="s">
        <v>1376</v>
      </c>
      <c r="K6" s="1709" t="s">
        <v>1377</v>
      </c>
      <c r="L6" s="1709" t="s">
        <v>1375</v>
      </c>
      <c r="M6" s="1710" t="s">
        <v>1387</v>
      </c>
      <c r="N6" s="1710" t="s">
        <v>1378</v>
      </c>
      <c r="O6" s="1322" t="s">
        <v>1379</v>
      </c>
    </row>
    <row r="7" spans="1:16" ht="20.399999999999999" customHeight="1">
      <c r="A7" s="2311">
        <v>1021</v>
      </c>
      <c r="B7" s="2154" t="s">
        <v>458</v>
      </c>
      <c r="C7" s="1542" t="s">
        <v>1430</v>
      </c>
      <c r="D7" s="1668"/>
      <c r="E7" s="1668"/>
      <c r="F7" s="2261"/>
      <c r="G7" s="2262"/>
      <c r="H7" s="2262"/>
      <c r="I7" s="1668"/>
      <c r="J7" s="1668"/>
      <c r="K7" s="1668"/>
      <c r="L7" s="1668"/>
      <c r="M7" s="1671" t="s">
        <v>1531</v>
      </c>
      <c r="N7" s="1670"/>
      <c r="O7" s="1646"/>
    </row>
    <row r="8" spans="1:16" ht="20.399999999999999" customHeight="1">
      <c r="A8" s="2311"/>
      <c r="B8" s="2155"/>
      <c r="C8" s="2157" t="s">
        <v>33</v>
      </c>
      <c r="D8" s="1648"/>
      <c r="E8" s="1648" t="s">
        <v>34</v>
      </c>
      <c r="F8" s="1666" t="s">
        <v>25</v>
      </c>
      <c r="G8" s="1651"/>
      <c r="H8" s="1651"/>
      <c r="I8" s="264"/>
      <c r="J8" s="265"/>
      <c r="K8" s="265"/>
      <c r="L8" s="265"/>
      <c r="M8" s="2303"/>
      <c r="N8" s="353"/>
      <c r="O8" s="298" t="str">
        <f t="shared" ref="O8:O10" si="0">HYPERLINK(VLOOKUP(F8,LINK,2,FALSE),VLOOKUP(F8,LINK,3,FALSE))</f>
        <v>EXCEL</v>
      </c>
    </row>
    <row r="9" spans="1:16" ht="20.399999999999999" customHeight="1">
      <c r="A9" s="2311"/>
      <c r="B9" s="2155"/>
      <c r="C9" s="2158"/>
      <c r="D9" s="1649"/>
      <c r="E9" s="1649" t="s">
        <v>26</v>
      </c>
      <c r="F9" s="269" t="s">
        <v>27</v>
      </c>
      <c r="G9" s="317"/>
      <c r="H9" s="317"/>
      <c r="I9" s="270"/>
      <c r="J9" s="271"/>
      <c r="K9" s="271"/>
      <c r="L9" s="271"/>
      <c r="M9" s="2303"/>
      <c r="N9" s="359"/>
      <c r="O9" s="299" t="str">
        <f t="shared" si="0"/>
        <v>EXCEL</v>
      </c>
    </row>
    <row r="10" spans="1:16" ht="20.399999999999999" customHeight="1">
      <c r="A10" s="2311"/>
      <c r="B10" s="2156"/>
      <c r="C10" s="1650" t="s">
        <v>35</v>
      </c>
      <c r="D10" s="1650"/>
      <c r="E10" s="1650" t="s">
        <v>34</v>
      </c>
      <c r="F10" s="273" t="s">
        <v>36</v>
      </c>
      <c r="G10" s="318"/>
      <c r="H10" s="318"/>
      <c r="I10" s="274"/>
      <c r="J10" s="275"/>
      <c r="K10" s="275"/>
      <c r="L10" s="275"/>
      <c r="M10" s="2304"/>
      <c r="N10" s="1672"/>
      <c r="O10" s="1647" t="str">
        <f t="shared" si="0"/>
        <v>EXCEL</v>
      </c>
    </row>
    <row r="11" spans="1:16" ht="20.399999999999999" customHeight="1">
      <c r="A11" s="2134">
        <v>1041</v>
      </c>
      <c r="B11" s="2358" t="s">
        <v>638</v>
      </c>
      <c r="C11" s="2272" t="s">
        <v>1532</v>
      </c>
      <c r="D11" s="1653"/>
      <c r="E11" s="1657" t="s">
        <v>545</v>
      </c>
      <c r="F11" s="2305" t="s">
        <v>546</v>
      </c>
      <c r="G11" s="2306"/>
      <c r="H11" s="2307"/>
      <c r="I11" s="371"/>
      <c r="J11" s="371"/>
      <c r="K11" s="372"/>
      <c r="L11" s="372"/>
      <c r="M11" s="1679" t="s">
        <v>1503</v>
      </c>
      <c r="N11" s="2299" t="s">
        <v>1502</v>
      </c>
      <c r="O11" s="2149" t="str">
        <f>HYPERLINK(VLOOKUP(F11,LINK,2,FALSE),VLOOKUP(F11,LINK,3,FALSE))</f>
        <v>EXCEL</v>
      </c>
      <c r="P11" s="743" t="s">
        <v>1050</v>
      </c>
    </row>
    <row r="12" spans="1:16" ht="20.399999999999999" customHeight="1">
      <c r="A12" s="2134"/>
      <c r="B12" s="2359"/>
      <c r="C12" s="2273"/>
      <c r="D12" s="1654"/>
      <c r="E12" s="1664" t="s">
        <v>547</v>
      </c>
      <c r="F12" s="2308" t="s">
        <v>548</v>
      </c>
      <c r="G12" s="2309"/>
      <c r="H12" s="2310"/>
      <c r="I12" s="378"/>
      <c r="J12" s="378"/>
      <c r="K12" s="379"/>
      <c r="L12" s="379"/>
      <c r="M12" s="1680"/>
      <c r="N12" s="2300"/>
      <c r="O12" s="2302"/>
      <c r="P12" s="743" t="s">
        <v>1049</v>
      </c>
    </row>
    <row r="13" spans="1:16" ht="20.399999999999999" customHeight="1">
      <c r="A13" s="2134"/>
      <c r="B13" s="2359"/>
      <c r="C13" s="2273"/>
      <c r="D13" s="1654"/>
      <c r="E13" s="1664" t="s">
        <v>549</v>
      </c>
      <c r="F13" s="2308" t="s">
        <v>550</v>
      </c>
      <c r="G13" s="2309"/>
      <c r="H13" s="2310"/>
      <c r="I13" s="378"/>
      <c r="J13" s="378"/>
      <c r="K13" s="379"/>
      <c r="L13" s="379"/>
      <c r="M13" s="1680"/>
      <c r="N13" s="2300"/>
      <c r="O13" s="2302"/>
    </row>
    <row r="14" spans="1:16" ht="20.399999999999999" customHeight="1">
      <c r="A14" s="2134"/>
      <c r="B14" s="2359"/>
      <c r="C14" s="2273"/>
      <c r="D14" s="1774"/>
      <c r="E14" s="1775" t="s">
        <v>551</v>
      </c>
      <c r="F14" s="2276" t="s">
        <v>552</v>
      </c>
      <c r="G14" s="2277"/>
      <c r="H14" s="2278"/>
      <c r="I14" s="1691"/>
      <c r="J14" s="1691"/>
      <c r="K14" s="1691"/>
      <c r="L14" s="1691"/>
      <c r="M14" s="1776" t="s">
        <v>1527</v>
      </c>
      <c r="N14" s="2300"/>
      <c r="O14" s="2302"/>
    </row>
    <row r="15" spans="1:16" ht="20.399999999999999" customHeight="1">
      <c r="A15" s="2134"/>
      <c r="B15" s="2359"/>
      <c r="C15" s="2273"/>
      <c r="D15" s="1774"/>
      <c r="E15" s="1775" t="s">
        <v>553</v>
      </c>
      <c r="F15" s="2276" t="s">
        <v>29</v>
      </c>
      <c r="G15" s="2277"/>
      <c r="H15" s="2278"/>
      <c r="I15" s="1691"/>
      <c r="J15" s="1691"/>
      <c r="K15" s="1691"/>
      <c r="L15" s="1691"/>
      <c r="M15" s="1776"/>
      <c r="N15" s="2300"/>
      <c r="O15" s="2302"/>
    </row>
    <row r="16" spans="1:16" ht="20.399999999999999" customHeight="1">
      <c r="A16" s="2134"/>
      <c r="B16" s="2359"/>
      <c r="C16" s="2273"/>
      <c r="D16" s="1774"/>
      <c r="E16" s="1775" t="s">
        <v>551</v>
      </c>
      <c r="F16" s="2276" t="s">
        <v>554</v>
      </c>
      <c r="G16" s="2277"/>
      <c r="H16" s="2278"/>
      <c r="I16" s="1691"/>
      <c r="J16" s="1691"/>
      <c r="K16" s="1691"/>
      <c r="L16" s="1691"/>
      <c r="M16" s="1776"/>
      <c r="N16" s="2300"/>
      <c r="O16" s="2302"/>
    </row>
    <row r="17" spans="1:15" ht="20.399999999999999" customHeight="1">
      <c r="A17" s="2134"/>
      <c r="B17" s="2359"/>
      <c r="C17" s="2274"/>
      <c r="D17" s="1774"/>
      <c r="E17" s="1777" t="s">
        <v>553</v>
      </c>
      <c r="F17" s="2294" t="s">
        <v>555</v>
      </c>
      <c r="G17" s="2295"/>
      <c r="H17" s="2296"/>
      <c r="I17" s="1691"/>
      <c r="J17" s="1691"/>
      <c r="K17" s="1691"/>
      <c r="L17" s="1691"/>
      <c r="M17" s="1778"/>
      <c r="N17" s="2301"/>
      <c r="O17" s="2302"/>
    </row>
    <row r="18" spans="1:15" ht="20.399999999999999" customHeight="1">
      <c r="A18" s="2134"/>
      <c r="B18" s="2359"/>
      <c r="C18" s="2352" t="s">
        <v>1533</v>
      </c>
      <c r="D18" s="188"/>
      <c r="E18" s="303" t="s">
        <v>711</v>
      </c>
      <c r="F18" s="342" t="s">
        <v>712</v>
      </c>
      <c r="G18" s="343"/>
      <c r="H18" s="501"/>
      <c r="I18" s="188"/>
      <c r="J18" s="188"/>
      <c r="K18" s="188"/>
      <c r="L18" s="188"/>
      <c r="M18" s="305"/>
      <c r="N18" s="2338"/>
      <c r="O18" s="2018" t="str">
        <f>HYPERLINK(VLOOKUP(F18,LINK,2,FALSE),VLOOKUP(F18,LINK,3,FALSE))</f>
        <v>EXCEL</v>
      </c>
    </row>
    <row r="19" spans="1:15" ht="20.399999999999999" customHeight="1">
      <c r="A19" s="2134"/>
      <c r="B19" s="2359"/>
      <c r="C19" s="2353"/>
      <c r="D19" s="191"/>
      <c r="E19" s="304" t="s">
        <v>713</v>
      </c>
      <c r="F19" s="345" t="s">
        <v>714</v>
      </c>
      <c r="G19" s="346"/>
      <c r="H19" s="502"/>
      <c r="I19" s="191"/>
      <c r="J19" s="1026"/>
      <c r="K19" s="191"/>
      <c r="L19" s="191"/>
      <c r="M19" s="306"/>
      <c r="N19" s="2339"/>
      <c r="O19" s="2019"/>
    </row>
    <row r="20" spans="1:15" ht="20.399999999999999" customHeight="1">
      <c r="A20" s="2134"/>
      <c r="B20" s="2359"/>
      <c r="C20" s="2353"/>
      <c r="D20" s="191"/>
      <c r="E20" s="304" t="s">
        <v>715</v>
      </c>
      <c r="F20" s="345" t="s">
        <v>716</v>
      </c>
      <c r="G20" s="346"/>
      <c r="H20" s="502"/>
      <c r="I20" s="191"/>
      <c r="J20" s="1026"/>
      <c r="K20" s="191"/>
      <c r="L20" s="191"/>
      <c r="M20" s="306"/>
      <c r="N20" s="2339"/>
      <c r="O20" s="2019"/>
    </row>
    <row r="21" spans="1:15" ht="20.399999999999999" customHeight="1">
      <c r="A21" s="2134"/>
      <c r="B21" s="2359"/>
      <c r="C21" s="2353"/>
      <c r="D21" s="191"/>
      <c r="E21" s="304" t="s">
        <v>717</v>
      </c>
      <c r="F21" s="345" t="s">
        <v>76</v>
      </c>
      <c r="G21" s="346"/>
      <c r="H21" s="502"/>
      <c r="I21" s="191"/>
      <c r="J21" s="1026"/>
      <c r="K21" s="191"/>
      <c r="L21" s="191"/>
      <c r="M21" s="306"/>
      <c r="N21" s="2339"/>
      <c r="O21" s="2019"/>
    </row>
    <row r="22" spans="1:15" ht="20.399999999999999" customHeight="1">
      <c r="A22" s="2134"/>
      <c r="B22" s="2359"/>
      <c r="C22" s="2353"/>
      <c r="D22" s="191"/>
      <c r="E22" s="304" t="s">
        <v>718</v>
      </c>
      <c r="F22" s="345" t="s">
        <v>719</v>
      </c>
      <c r="G22" s="346"/>
      <c r="H22" s="502"/>
      <c r="I22" s="191"/>
      <c r="J22" s="1026"/>
      <c r="K22" s="191"/>
      <c r="L22" s="191"/>
      <c r="M22" s="306"/>
      <c r="N22" s="2339"/>
      <c r="O22" s="2019"/>
    </row>
    <row r="23" spans="1:15" ht="20.399999999999999" customHeight="1">
      <c r="A23" s="2134"/>
      <c r="B23" s="2359"/>
      <c r="C23" s="2353"/>
      <c r="D23" s="191"/>
      <c r="E23" s="304" t="s">
        <v>720</v>
      </c>
      <c r="F23" s="345" t="s">
        <v>721</v>
      </c>
      <c r="G23" s="346"/>
      <c r="H23" s="502"/>
      <c r="I23" s="191"/>
      <c r="J23" s="1026"/>
      <c r="K23" s="191"/>
      <c r="L23" s="191"/>
      <c r="M23" s="306"/>
      <c r="N23" s="2339"/>
      <c r="O23" s="2019"/>
    </row>
    <row r="24" spans="1:15" ht="20.399999999999999" customHeight="1">
      <c r="A24" s="2134"/>
      <c r="B24" s="2359"/>
      <c r="C24" s="2353"/>
      <c r="D24" s="191"/>
      <c r="E24" s="304" t="s">
        <v>722</v>
      </c>
      <c r="F24" s="345" t="s">
        <v>723</v>
      </c>
      <c r="G24" s="346"/>
      <c r="H24" s="502"/>
      <c r="I24" s="191"/>
      <c r="J24" s="1026"/>
      <c r="K24" s="191"/>
      <c r="L24" s="191"/>
      <c r="M24" s="306"/>
      <c r="N24" s="2339"/>
      <c r="O24" s="2019"/>
    </row>
    <row r="25" spans="1:15" ht="40.5" customHeight="1">
      <c r="A25" s="2134"/>
      <c r="B25" s="2359"/>
      <c r="C25" s="2353"/>
      <c r="D25" s="1309"/>
      <c r="E25" s="1310" t="s">
        <v>1366</v>
      </c>
      <c r="F25" s="1313" t="s">
        <v>1367</v>
      </c>
      <c r="G25" s="346"/>
      <c r="H25" s="502"/>
      <c r="I25" s="1309"/>
      <c r="J25" s="1309"/>
      <c r="K25" s="1309"/>
      <c r="L25" s="1309"/>
      <c r="M25" s="306"/>
      <c r="N25" s="2339"/>
      <c r="O25" s="2019"/>
    </row>
    <row r="26" spans="1:15" ht="20.399999999999999" customHeight="1">
      <c r="A26" s="2134"/>
      <c r="B26" s="2359"/>
      <c r="C26" s="2353"/>
      <c r="D26" s="191"/>
      <c r="E26" s="374" t="s">
        <v>71</v>
      </c>
      <c r="F26" s="345" t="s">
        <v>724</v>
      </c>
      <c r="G26" s="346"/>
      <c r="H26" s="502"/>
      <c r="I26" s="191"/>
      <c r="J26" s="1026"/>
      <c r="K26" s="191"/>
      <c r="L26" s="191"/>
      <c r="M26" s="306"/>
      <c r="N26" s="2339"/>
      <c r="O26" s="2019"/>
    </row>
    <row r="27" spans="1:15" ht="20.399999999999999" customHeight="1">
      <c r="A27" s="2134"/>
      <c r="B27" s="2359"/>
      <c r="C27" s="2353"/>
      <c r="D27" s="191"/>
      <c r="E27" s="304" t="s">
        <v>1368</v>
      </c>
      <c r="F27" s="345" t="s">
        <v>725</v>
      </c>
      <c r="G27" s="346"/>
      <c r="H27" s="503"/>
      <c r="I27" s="191"/>
      <c r="J27" s="1026"/>
      <c r="K27" s="191"/>
      <c r="L27" s="191"/>
      <c r="M27" s="306"/>
      <c r="N27" s="2339"/>
      <c r="O27" s="2019"/>
    </row>
    <row r="28" spans="1:15" ht="20.399999999999999" customHeight="1">
      <c r="A28" s="2134"/>
      <c r="B28" s="2359"/>
      <c r="C28" s="2354"/>
      <c r="D28" s="193"/>
      <c r="E28" s="496" t="s">
        <v>709</v>
      </c>
      <c r="F28" s="497" t="s">
        <v>710</v>
      </c>
      <c r="G28" s="492"/>
      <c r="H28" s="504"/>
      <c r="I28" s="193"/>
      <c r="J28" s="1027"/>
      <c r="K28" s="193"/>
      <c r="L28" s="193"/>
      <c r="M28" s="440"/>
      <c r="N28" s="2340"/>
      <c r="O28" s="2020"/>
    </row>
    <row r="29" spans="1:15" ht="20.399999999999999" customHeight="1">
      <c r="A29" s="2134"/>
      <c r="B29" s="2359"/>
      <c r="C29" s="2355" t="s">
        <v>1534</v>
      </c>
      <c r="D29" s="188"/>
      <c r="E29" s="303" t="s">
        <v>1127</v>
      </c>
      <c r="F29" s="342" t="s">
        <v>1130</v>
      </c>
      <c r="G29" s="343"/>
      <c r="H29" s="344"/>
      <c r="I29" s="188"/>
      <c r="J29" s="188"/>
      <c r="K29" s="188"/>
      <c r="L29" s="188"/>
      <c r="M29" s="305"/>
      <c r="N29" s="760"/>
      <c r="O29" s="762"/>
    </row>
    <row r="30" spans="1:15" ht="20.399999999999999" customHeight="1">
      <c r="A30" s="2134"/>
      <c r="B30" s="2359"/>
      <c r="C30" s="2356"/>
      <c r="D30" s="765"/>
      <c r="E30" s="767" t="s">
        <v>1128</v>
      </c>
      <c r="F30" s="345" t="s">
        <v>1131</v>
      </c>
      <c r="G30" s="346"/>
      <c r="H30" s="347"/>
      <c r="I30" s="765"/>
      <c r="J30" s="1026"/>
      <c r="K30" s="765"/>
      <c r="L30" s="765"/>
      <c r="M30" s="306"/>
      <c r="N30" s="763"/>
      <c r="O30" s="762" t="s">
        <v>1278</v>
      </c>
    </row>
    <row r="31" spans="1:15" ht="20.399999999999999" customHeight="1">
      <c r="A31" s="2134"/>
      <c r="B31" s="2360"/>
      <c r="C31" s="2357"/>
      <c r="D31" s="766"/>
      <c r="E31" s="768" t="s">
        <v>1129</v>
      </c>
      <c r="F31" s="491" t="s">
        <v>1132</v>
      </c>
      <c r="G31" s="492"/>
      <c r="H31" s="493"/>
      <c r="I31" s="766"/>
      <c r="J31" s="1027"/>
      <c r="K31" s="766"/>
      <c r="L31" s="766"/>
      <c r="M31" s="440"/>
      <c r="N31" s="764"/>
      <c r="O31" s="762"/>
    </row>
    <row r="32" spans="1:15" ht="20.399999999999999" customHeight="1">
      <c r="A32" s="2134">
        <v>1061</v>
      </c>
      <c r="B32" s="2361" t="s">
        <v>661</v>
      </c>
      <c r="C32" s="2266" t="s">
        <v>1524</v>
      </c>
      <c r="D32" s="1655"/>
      <c r="E32" s="388" t="s">
        <v>558</v>
      </c>
      <c r="F32" s="368" t="s">
        <v>37</v>
      </c>
      <c r="G32" s="389"/>
      <c r="H32" s="390"/>
      <c r="I32" s="986"/>
      <c r="J32" s="1054"/>
      <c r="K32" s="391"/>
      <c r="L32" s="391"/>
      <c r="M32" s="187" t="s">
        <v>1510</v>
      </c>
      <c r="N32" s="2286" t="s">
        <v>1504</v>
      </c>
      <c r="O32" s="2018" t="str">
        <f>HYPERLINK(VLOOKUP(F32,LINK,2,FALSE),VLOOKUP(F32,LINK,3,FALSE))</f>
        <v>EXCEL</v>
      </c>
    </row>
    <row r="33" spans="1:15" ht="20.399999999999999" customHeight="1">
      <c r="A33" s="2134"/>
      <c r="B33" s="2362"/>
      <c r="C33" s="2266"/>
      <c r="D33" s="1656"/>
      <c r="E33" s="704" t="s">
        <v>559</v>
      </c>
      <c r="F33" s="375" t="s">
        <v>560</v>
      </c>
      <c r="G33" s="376"/>
      <c r="H33" s="377"/>
      <c r="I33" s="378"/>
      <c r="J33" s="1055"/>
      <c r="K33" s="395"/>
      <c r="L33" s="395"/>
      <c r="M33" s="1673" t="s">
        <v>1506</v>
      </c>
      <c r="N33" s="2287"/>
      <c r="O33" s="2019"/>
    </row>
    <row r="34" spans="1:15" ht="20.399999999999999" customHeight="1">
      <c r="A34" s="2134"/>
      <c r="B34" s="2362"/>
      <c r="C34" s="2266"/>
      <c r="D34" s="1697"/>
      <c r="E34" s="1687" t="s">
        <v>561</v>
      </c>
      <c r="F34" s="1688" t="s">
        <v>529</v>
      </c>
      <c r="G34" s="1689"/>
      <c r="H34" s="1690">
        <v>-99</v>
      </c>
      <c r="I34" s="1699"/>
      <c r="J34" s="1700"/>
      <c r="K34" s="1701"/>
      <c r="L34" s="1701"/>
      <c r="M34" s="1694" t="s">
        <v>1507</v>
      </c>
      <c r="N34" s="2287"/>
      <c r="O34" s="2019"/>
    </row>
    <row r="35" spans="1:15" ht="20.399999999999999" customHeight="1">
      <c r="A35" s="2134"/>
      <c r="B35" s="2362"/>
      <c r="C35" s="2266"/>
      <c r="D35" s="1697"/>
      <c r="E35" s="1687" t="s">
        <v>563</v>
      </c>
      <c r="F35" s="1688" t="s">
        <v>530</v>
      </c>
      <c r="G35" s="1689"/>
      <c r="H35" s="1698" t="s">
        <v>531</v>
      </c>
      <c r="I35" s="1699"/>
      <c r="J35" s="1700"/>
      <c r="K35" s="1701"/>
      <c r="L35" s="1702"/>
      <c r="M35" s="1694"/>
      <c r="N35" s="2287"/>
      <c r="O35" s="2019"/>
    </row>
    <row r="36" spans="1:15" ht="20.399999999999999" customHeight="1">
      <c r="A36" s="2134"/>
      <c r="B36" s="2362"/>
      <c r="C36" s="2266"/>
      <c r="D36" s="1697"/>
      <c r="E36" s="1687" t="s">
        <v>566</v>
      </c>
      <c r="F36" s="1688" t="s">
        <v>532</v>
      </c>
      <c r="G36" s="1689"/>
      <c r="H36" s="1695" t="s">
        <v>523</v>
      </c>
      <c r="I36" s="1699"/>
      <c r="J36" s="1700"/>
      <c r="K36" s="1701"/>
      <c r="L36" s="1702"/>
      <c r="M36" s="1694"/>
      <c r="N36" s="2287"/>
      <c r="O36" s="2019"/>
    </row>
    <row r="37" spans="1:15" ht="20.399999999999999" customHeight="1">
      <c r="A37" s="2134"/>
      <c r="B37" s="2362"/>
      <c r="C37" s="2266"/>
      <c r="D37" s="1697"/>
      <c r="E37" s="1687" t="s">
        <v>569</v>
      </c>
      <c r="F37" s="1688" t="s">
        <v>532</v>
      </c>
      <c r="G37" s="1689"/>
      <c r="H37" s="1695" t="s">
        <v>523</v>
      </c>
      <c r="I37" s="1699"/>
      <c r="J37" s="1700"/>
      <c r="K37" s="1701"/>
      <c r="L37" s="1702"/>
      <c r="M37" s="1694"/>
      <c r="N37" s="2287"/>
      <c r="O37" s="2019"/>
    </row>
    <row r="38" spans="1:15" ht="20.399999999999999" customHeight="1">
      <c r="A38" s="2134"/>
      <c r="B38" s="2362"/>
      <c r="C38" s="2266"/>
      <c r="D38" s="1656"/>
      <c r="E38" s="704" t="s">
        <v>570</v>
      </c>
      <c r="F38" s="375" t="s">
        <v>571</v>
      </c>
      <c r="G38" s="376"/>
      <c r="H38" s="377"/>
      <c r="I38" s="378"/>
      <c r="J38" s="1055"/>
      <c r="K38" s="395"/>
      <c r="L38" s="395"/>
      <c r="M38" s="1674" t="s">
        <v>1508</v>
      </c>
      <c r="N38" s="2287"/>
      <c r="O38" s="2019"/>
    </row>
    <row r="39" spans="1:15" ht="20.399999999999999" customHeight="1">
      <c r="A39" s="2134"/>
      <c r="B39" s="2362"/>
      <c r="C39" s="2266"/>
      <c r="D39" s="1686"/>
      <c r="E39" s="1687" t="s">
        <v>572</v>
      </c>
      <c r="F39" s="1688" t="s">
        <v>573</v>
      </c>
      <c r="G39" s="1689"/>
      <c r="H39" s="1695"/>
      <c r="I39" s="1691"/>
      <c r="J39" s="1692"/>
      <c r="K39" s="1693"/>
      <c r="L39" s="1693"/>
      <c r="M39" s="1696" t="s">
        <v>1507</v>
      </c>
      <c r="N39" s="2287"/>
      <c r="O39" s="2019"/>
    </row>
    <row r="40" spans="1:15" ht="20.399999999999999" customHeight="1">
      <c r="A40" s="2134"/>
      <c r="B40" s="2362"/>
      <c r="C40" s="2266"/>
      <c r="D40" s="1656"/>
      <c r="E40" s="704" t="s">
        <v>574</v>
      </c>
      <c r="F40" s="375" t="s">
        <v>575</v>
      </c>
      <c r="G40" s="376"/>
      <c r="H40" s="377"/>
      <c r="I40" s="378"/>
      <c r="J40" s="1055"/>
      <c r="K40" s="395"/>
      <c r="L40" s="395"/>
      <c r="M40" s="1674" t="s">
        <v>1508</v>
      </c>
      <c r="N40" s="2287"/>
      <c r="O40" s="2019"/>
    </row>
    <row r="41" spans="1:15" ht="20.399999999999999" customHeight="1">
      <c r="A41" s="2134"/>
      <c r="B41" s="2362"/>
      <c r="C41" s="2266"/>
      <c r="D41" s="1656"/>
      <c r="E41" s="1664" t="s">
        <v>576</v>
      </c>
      <c r="F41" s="375" t="s">
        <v>577</v>
      </c>
      <c r="G41" s="376"/>
      <c r="H41" s="377"/>
      <c r="I41" s="378"/>
      <c r="J41" s="1055"/>
      <c r="K41" s="395"/>
      <c r="L41" s="395"/>
      <c r="M41" s="1674" t="s">
        <v>1509</v>
      </c>
      <c r="N41" s="2287"/>
      <c r="O41" s="2019"/>
    </row>
    <row r="42" spans="1:15" ht="20.399999999999999" customHeight="1">
      <c r="A42" s="2134"/>
      <c r="B42" s="2362"/>
      <c r="C42" s="2266"/>
      <c r="D42" s="1656"/>
      <c r="E42" s="704" t="s">
        <v>578</v>
      </c>
      <c r="F42" s="375" t="s">
        <v>579</v>
      </c>
      <c r="G42" s="376"/>
      <c r="H42" s="377"/>
      <c r="I42" s="378"/>
      <c r="J42" s="1055"/>
      <c r="K42" s="395"/>
      <c r="L42" s="395"/>
      <c r="M42" s="1674" t="s">
        <v>1511</v>
      </c>
      <c r="N42" s="2287"/>
      <c r="O42" s="2019"/>
    </row>
    <row r="43" spans="1:15" ht="20.399999999999999" customHeight="1">
      <c r="A43" s="2134"/>
      <c r="B43" s="2362"/>
      <c r="C43" s="2266"/>
      <c r="D43" s="1656"/>
      <c r="E43" s="704" t="s">
        <v>580</v>
      </c>
      <c r="F43" s="375" t="s">
        <v>581</v>
      </c>
      <c r="G43" s="376"/>
      <c r="H43" s="377"/>
      <c r="I43" s="378"/>
      <c r="J43" s="1055"/>
      <c r="K43" s="395"/>
      <c r="L43" s="395" t="s">
        <v>582</v>
      </c>
      <c r="M43" s="1674" t="s">
        <v>1512</v>
      </c>
      <c r="N43" s="2287"/>
      <c r="O43" s="2019"/>
    </row>
    <row r="44" spans="1:15" ht="20.399999999999999" customHeight="1">
      <c r="A44" s="2134"/>
      <c r="B44" s="2362"/>
      <c r="C44" s="2267" t="s">
        <v>1525</v>
      </c>
      <c r="D44" s="188"/>
      <c r="E44" s="1657" t="s">
        <v>590</v>
      </c>
      <c r="F44" s="1667" t="s">
        <v>591</v>
      </c>
      <c r="G44" s="424"/>
      <c r="H44" s="370"/>
      <c r="I44" s="188"/>
      <c r="J44" s="188"/>
      <c r="K44" s="188"/>
      <c r="L44" s="188"/>
      <c r="M44" s="188"/>
      <c r="N44" s="2116" t="s">
        <v>1505</v>
      </c>
      <c r="O44" s="2018" t="str">
        <f>HYPERLINK(VLOOKUP(F44,LINK,2,FALSE),VLOOKUP(F44,LINK,3,FALSE))</f>
        <v>EXCEL</v>
      </c>
    </row>
    <row r="45" spans="1:15" ht="20.399999999999999" customHeight="1">
      <c r="A45" s="2134"/>
      <c r="B45" s="2362"/>
      <c r="C45" s="2268"/>
      <c r="D45" s="1660"/>
      <c r="E45" s="1658" t="s">
        <v>592</v>
      </c>
      <c r="F45" s="1685" t="s">
        <v>593</v>
      </c>
      <c r="G45" s="426"/>
      <c r="H45" s="384"/>
      <c r="I45" s="1660"/>
      <c r="J45" s="1660"/>
      <c r="K45" s="1660"/>
      <c r="L45" s="1660"/>
      <c r="M45" s="1660"/>
      <c r="N45" s="2117"/>
      <c r="O45" s="2293"/>
    </row>
    <row r="46" spans="1:15" ht="20.399999999999999" customHeight="1">
      <c r="A46" s="2134"/>
      <c r="B46" s="2362"/>
      <c r="C46" s="2101" t="s">
        <v>1528</v>
      </c>
      <c r="D46" s="188"/>
      <c r="E46" s="303" t="s">
        <v>72</v>
      </c>
      <c r="F46" s="342" t="s">
        <v>81</v>
      </c>
      <c r="G46" s="343"/>
      <c r="H46" s="344"/>
      <c r="I46" s="188"/>
      <c r="J46" s="188"/>
      <c r="K46" s="188"/>
      <c r="L46" s="188"/>
      <c r="M46" s="188"/>
      <c r="N46" s="2334" t="s">
        <v>1433</v>
      </c>
      <c r="O46" s="2149" t="str">
        <f>HYPERLINK(VLOOKUP(F46,LINK,2,FALSE),VLOOKUP(F46,LINK,3,FALSE))</f>
        <v>EXCEL</v>
      </c>
    </row>
    <row r="47" spans="1:15" ht="20.399999999999999" customHeight="1">
      <c r="A47" s="2134"/>
      <c r="B47" s="2362"/>
      <c r="C47" s="2312"/>
      <c r="D47" s="1659"/>
      <c r="E47" s="1661" t="s">
        <v>73</v>
      </c>
      <c r="F47" s="345" t="s">
        <v>83</v>
      </c>
      <c r="G47" s="346"/>
      <c r="H47" s="347"/>
      <c r="I47" s="1659"/>
      <c r="J47" s="1659"/>
      <c r="K47" s="1659"/>
      <c r="L47" s="1659"/>
      <c r="M47" s="1659"/>
      <c r="N47" s="2335"/>
      <c r="O47" s="2149"/>
    </row>
    <row r="48" spans="1:15" ht="20.399999999999999" customHeight="1">
      <c r="A48" s="2134"/>
      <c r="B48" s="2362"/>
      <c r="C48" s="2312"/>
      <c r="D48" s="1714"/>
      <c r="E48" s="1715" t="s">
        <v>74</v>
      </c>
      <c r="F48" s="2327" t="s">
        <v>82</v>
      </c>
      <c r="G48" s="2328"/>
      <c r="H48" s="2329"/>
      <c r="I48" s="1714"/>
      <c r="J48" s="1716"/>
      <c r="K48" s="1716"/>
      <c r="L48" s="1714"/>
      <c r="M48" s="2336" t="s">
        <v>1530</v>
      </c>
      <c r="N48" s="1680"/>
      <c r="O48" s="2149"/>
    </row>
    <row r="49" spans="1:15" ht="20.399999999999999" customHeight="1">
      <c r="A49" s="2134"/>
      <c r="B49" s="2362"/>
      <c r="C49" s="2312"/>
      <c r="D49" s="1714"/>
      <c r="E49" s="1715" t="s">
        <v>79</v>
      </c>
      <c r="F49" s="2330" t="s">
        <v>80</v>
      </c>
      <c r="G49" s="2331"/>
      <c r="H49" s="2332"/>
      <c r="I49" s="1714"/>
      <c r="J49" s="1716"/>
      <c r="K49" s="1716"/>
      <c r="L49" s="1714"/>
      <c r="M49" s="2336"/>
      <c r="N49" s="1680"/>
      <c r="O49" s="2149"/>
    </row>
    <row r="50" spans="1:15" ht="20.399999999999999" customHeight="1">
      <c r="A50" s="2134"/>
      <c r="B50" s="2363"/>
      <c r="C50" s="2313"/>
      <c r="D50" s="229"/>
      <c r="E50" s="1662" t="s">
        <v>735</v>
      </c>
      <c r="F50" s="348" t="s">
        <v>1174</v>
      </c>
      <c r="G50" s="451"/>
      <c r="H50" s="349"/>
      <c r="I50" s="229"/>
      <c r="J50" s="229"/>
      <c r="K50" s="229"/>
      <c r="L50" s="229"/>
      <c r="M50" s="2337"/>
      <c r="N50" s="1681"/>
      <c r="O50" s="2149"/>
    </row>
    <row r="51" spans="1:15" ht="20.100000000000001" customHeight="1">
      <c r="A51" s="2134">
        <v>1081</v>
      </c>
      <c r="B51" s="2341" t="s">
        <v>1268</v>
      </c>
      <c r="C51" s="2144" t="s">
        <v>1307</v>
      </c>
      <c r="D51" s="1719"/>
      <c r="E51" s="1720" t="s">
        <v>595</v>
      </c>
      <c r="F51" s="2321"/>
      <c r="G51" s="2322"/>
      <c r="H51" s="2323"/>
      <c r="I51" s="1721"/>
      <c r="J51" s="1721"/>
      <c r="K51" s="1721"/>
      <c r="L51" s="1721"/>
      <c r="M51" s="1289" t="s">
        <v>1514</v>
      </c>
      <c r="N51" s="1289"/>
      <c r="O51" s="2149" t="s">
        <v>197</v>
      </c>
    </row>
    <row r="52" spans="1:15" ht="20.100000000000001" customHeight="1">
      <c r="A52" s="2134"/>
      <c r="B52" s="2342"/>
      <c r="C52" s="2144"/>
      <c r="D52" s="140"/>
      <c r="E52" s="875" t="s">
        <v>600</v>
      </c>
      <c r="F52" s="1682" t="s">
        <v>601</v>
      </c>
      <c r="G52" s="182"/>
      <c r="H52" s="183"/>
      <c r="I52" s="140"/>
      <c r="J52" s="140"/>
      <c r="K52" s="140"/>
      <c r="L52" s="140"/>
      <c r="M52" s="1676" t="s">
        <v>1514</v>
      </c>
      <c r="N52" s="1676"/>
      <c r="O52" s="2149"/>
    </row>
    <row r="53" spans="1:15" ht="20.100000000000001" customHeight="1">
      <c r="A53" s="2134"/>
      <c r="B53" s="2342"/>
      <c r="C53" s="2144"/>
      <c r="D53" s="140"/>
      <c r="E53" s="429" t="s">
        <v>596</v>
      </c>
      <c r="F53" s="1159" t="s">
        <v>1272</v>
      </c>
      <c r="G53" s="1683"/>
      <c r="H53" s="1684"/>
      <c r="I53" s="1160"/>
      <c r="J53" s="1160"/>
      <c r="K53" s="1160"/>
      <c r="L53" s="1160"/>
      <c r="M53" s="1160" t="s">
        <v>1515</v>
      </c>
      <c r="N53" s="1160"/>
      <c r="O53" s="2149"/>
    </row>
    <row r="54" spans="1:15" ht="20.100000000000001" customHeight="1">
      <c r="A54" s="2134"/>
      <c r="B54" s="2342"/>
      <c r="C54" s="2144"/>
      <c r="D54" s="1160"/>
      <c r="E54" s="1665" t="s">
        <v>30</v>
      </c>
      <c r="F54" s="1159" t="s">
        <v>597</v>
      </c>
      <c r="G54" s="1163"/>
      <c r="H54" s="1164"/>
      <c r="I54" s="1160"/>
      <c r="J54" s="1160"/>
      <c r="K54" s="1160"/>
      <c r="L54" s="1160"/>
      <c r="M54" s="1677" t="s">
        <v>1516</v>
      </c>
      <c r="N54" s="1677"/>
      <c r="O54" s="2149"/>
    </row>
    <row r="55" spans="1:15" ht="20.100000000000001" customHeight="1">
      <c r="A55" s="2134"/>
      <c r="B55" s="2342"/>
      <c r="C55" s="2144"/>
      <c r="D55" s="1160"/>
      <c r="E55" s="1652" t="s">
        <v>1333</v>
      </c>
      <c r="F55" s="1682" t="s">
        <v>606</v>
      </c>
      <c r="G55" s="182"/>
      <c r="H55" s="183"/>
      <c r="I55" s="140"/>
      <c r="J55" s="140"/>
      <c r="K55" s="140"/>
      <c r="L55" s="140"/>
      <c r="M55" s="1703" t="s">
        <v>1517</v>
      </c>
      <c r="N55" s="1718"/>
      <c r="O55" s="2149"/>
    </row>
    <row r="56" spans="1:15" ht="20.100000000000001" customHeight="1">
      <c r="A56" s="2134"/>
      <c r="B56" s="2342"/>
      <c r="C56" s="2144"/>
      <c r="D56" s="1160"/>
      <c r="E56" s="1652" t="s">
        <v>604</v>
      </c>
      <c r="F56" s="1682" t="s">
        <v>540</v>
      </c>
      <c r="G56" s="182" t="s">
        <v>809</v>
      </c>
      <c r="H56" s="183"/>
      <c r="I56" s="140"/>
      <c r="J56" s="140"/>
      <c r="K56" s="140"/>
      <c r="L56" s="140"/>
      <c r="M56" s="1703" t="s">
        <v>1517</v>
      </c>
      <c r="N56" s="1717"/>
      <c r="O56" s="2149"/>
    </row>
    <row r="57" spans="1:15" ht="20.100000000000001" customHeight="1">
      <c r="A57" s="2134"/>
      <c r="B57" s="2342"/>
      <c r="C57" s="2144"/>
      <c r="D57" s="140"/>
      <c r="E57" s="1652" t="s">
        <v>608</v>
      </c>
      <c r="F57" s="1682" t="s">
        <v>1197</v>
      </c>
      <c r="G57" s="182"/>
      <c r="H57" s="183"/>
      <c r="I57" s="140"/>
      <c r="J57" s="140"/>
      <c r="K57" s="140"/>
      <c r="L57" s="140"/>
      <c r="M57" s="1678" t="s">
        <v>1518</v>
      </c>
      <c r="N57" s="1678"/>
      <c r="O57" s="2149"/>
    </row>
    <row r="58" spans="1:15" ht="20.100000000000001" customHeight="1">
      <c r="A58" s="2134"/>
      <c r="B58" s="2342"/>
      <c r="C58" s="2144"/>
      <c r="D58" s="140"/>
      <c r="E58" s="1652" t="s">
        <v>1222</v>
      </c>
      <c r="F58" s="1682" t="s">
        <v>1221</v>
      </c>
      <c r="G58" s="182"/>
      <c r="H58" s="183"/>
      <c r="I58" s="140"/>
      <c r="J58" s="140"/>
      <c r="K58" s="140"/>
      <c r="L58" s="140"/>
      <c r="M58" s="1682" t="s">
        <v>1519</v>
      </c>
      <c r="N58" s="1682"/>
      <c r="O58" s="2149"/>
    </row>
    <row r="59" spans="1:15" ht="20.100000000000001" customHeight="1">
      <c r="A59" s="2134"/>
      <c r="B59" s="2342"/>
      <c r="C59" s="2144"/>
      <c r="D59" s="140"/>
      <c r="E59" s="1652" t="s">
        <v>598</v>
      </c>
      <c r="F59" s="1682" t="s">
        <v>599</v>
      </c>
      <c r="G59" s="182"/>
      <c r="H59" s="183"/>
      <c r="I59" s="140"/>
      <c r="J59" s="140"/>
      <c r="K59" s="140"/>
      <c r="L59" s="140"/>
      <c r="M59" s="1676" t="s">
        <v>1520</v>
      </c>
      <c r="N59" s="1676"/>
      <c r="O59" s="2149"/>
    </row>
    <row r="60" spans="1:15" ht="20.100000000000001" customHeight="1">
      <c r="A60" s="2134"/>
      <c r="B60" s="2342"/>
      <c r="C60" s="2144"/>
      <c r="D60" s="140"/>
      <c r="E60" s="1652" t="s">
        <v>609</v>
      </c>
      <c r="F60" s="1682" t="s">
        <v>610</v>
      </c>
      <c r="G60" s="182"/>
      <c r="H60" s="183"/>
      <c r="I60" s="140"/>
      <c r="J60" s="140"/>
      <c r="K60" s="140"/>
      <c r="L60" s="140"/>
      <c r="M60" s="2292" t="s">
        <v>1521</v>
      </c>
      <c r="N60" s="2292"/>
      <c r="O60" s="2149"/>
    </row>
    <row r="61" spans="1:15" ht="20.100000000000001" customHeight="1">
      <c r="A61" s="2134"/>
      <c r="B61" s="2342"/>
      <c r="C61" s="2144"/>
      <c r="D61" s="1660"/>
      <c r="E61" s="1649" t="s">
        <v>611</v>
      </c>
      <c r="F61" s="382" t="s">
        <v>612</v>
      </c>
      <c r="G61" s="383"/>
      <c r="H61" s="384"/>
      <c r="I61" s="1660"/>
      <c r="J61" s="1660"/>
      <c r="K61" s="1660"/>
      <c r="L61" s="1660"/>
      <c r="M61" s="2077"/>
      <c r="N61" s="2077"/>
      <c r="O61" s="2149"/>
    </row>
    <row r="62" spans="1:15" ht="54.6" customHeight="1">
      <c r="A62" s="2134"/>
      <c r="B62" s="2342"/>
      <c r="C62" s="2116" t="s">
        <v>726</v>
      </c>
      <c r="D62" s="1271"/>
      <c r="E62" s="1279" t="s">
        <v>730</v>
      </c>
      <c r="F62" s="487" t="s">
        <v>731</v>
      </c>
      <c r="G62" s="494"/>
      <c r="H62" s="499" t="s">
        <v>250</v>
      </c>
      <c r="I62" s="1271"/>
      <c r="J62" s="1271"/>
      <c r="K62" s="1271"/>
      <c r="L62" s="1271"/>
      <c r="M62" s="1274"/>
      <c r="N62" s="1273"/>
      <c r="O62" s="1269"/>
    </row>
    <row r="63" spans="1:15" ht="20.100000000000001" customHeight="1">
      <c r="A63" s="2134"/>
      <c r="B63" s="2342"/>
      <c r="C63" s="2135"/>
      <c r="D63" s="452"/>
      <c r="E63" s="1280" t="s">
        <v>728</v>
      </c>
      <c r="F63" s="488" t="s">
        <v>731</v>
      </c>
      <c r="G63" s="495"/>
      <c r="H63" s="500" t="s">
        <v>231</v>
      </c>
      <c r="I63" s="452"/>
      <c r="J63" s="452"/>
      <c r="K63" s="452"/>
      <c r="L63" s="452"/>
      <c r="M63" s="2343" t="s">
        <v>1535</v>
      </c>
      <c r="N63" s="2345"/>
      <c r="O63" s="2149"/>
    </row>
    <row r="64" spans="1:15" ht="20.100000000000001" customHeight="1">
      <c r="A64" s="2134"/>
      <c r="B64" s="2342"/>
      <c r="C64" s="2117"/>
      <c r="D64" s="1278"/>
      <c r="E64" s="1272" t="s">
        <v>101</v>
      </c>
      <c r="F64" s="382" t="s">
        <v>732</v>
      </c>
      <c r="G64" s="383"/>
      <c r="H64" s="384" t="s">
        <v>232</v>
      </c>
      <c r="I64" s="1278"/>
      <c r="J64" s="1278"/>
      <c r="K64" s="1278"/>
      <c r="L64" s="1660"/>
      <c r="M64" s="2344"/>
      <c r="N64" s="2346"/>
      <c r="O64" s="2149"/>
    </row>
    <row r="65" spans="1:15" ht="29.25" customHeight="1">
      <c r="A65" s="975"/>
      <c r="B65" s="2347" t="s">
        <v>729</v>
      </c>
      <c r="C65" s="2347"/>
      <c r="D65" s="2347"/>
      <c r="E65" s="2347"/>
      <c r="F65" s="2347"/>
      <c r="G65" s="2347"/>
      <c r="H65" s="2347"/>
      <c r="I65" s="2347"/>
      <c r="J65" s="2347"/>
      <c r="K65" s="2347"/>
      <c r="L65" s="2347"/>
      <c r="M65" s="2347"/>
      <c r="N65" s="2347"/>
      <c r="O65" s="2347"/>
    </row>
  </sheetData>
  <mergeCells count="61">
    <mergeCell ref="A32:A50"/>
    <mergeCell ref="A51:A64"/>
    <mergeCell ref="F7:H7"/>
    <mergeCell ref="F51:H51"/>
    <mergeCell ref="B7:B10"/>
    <mergeCell ref="C18:C28"/>
    <mergeCell ref="C29:C31"/>
    <mergeCell ref="B11:B31"/>
    <mergeCell ref="B32:B50"/>
    <mergeCell ref="C51:C61"/>
    <mergeCell ref="C46:C50"/>
    <mergeCell ref="F14:H14"/>
    <mergeCell ref="F15:H15"/>
    <mergeCell ref="F16:H16"/>
    <mergeCell ref="F17:H17"/>
    <mergeCell ref="C32:C43"/>
    <mergeCell ref="B65:O65"/>
    <mergeCell ref="H4:L4"/>
    <mergeCell ref="F5:G5"/>
    <mergeCell ref="H5:L5"/>
    <mergeCell ref="A2:A3"/>
    <mergeCell ref="B2:E3"/>
    <mergeCell ref="F2:G2"/>
    <mergeCell ref="H2:L2"/>
    <mergeCell ref="F3:G3"/>
    <mergeCell ref="H3:L3"/>
    <mergeCell ref="A4:A5"/>
    <mergeCell ref="B4:E5"/>
    <mergeCell ref="F4:G4"/>
    <mergeCell ref="F6:H6"/>
    <mergeCell ref="A7:A10"/>
    <mergeCell ref="A11:A31"/>
    <mergeCell ref="O44:O45"/>
    <mergeCell ref="C44:C45"/>
    <mergeCell ref="B51:B64"/>
    <mergeCell ref="O63:O64"/>
    <mergeCell ref="M63:M64"/>
    <mergeCell ref="N63:N64"/>
    <mergeCell ref="N60:N61"/>
    <mergeCell ref="C62:C64"/>
    <mergeCell ref="M60:M61"/>
    <mergeCell ref="O46:O50"/>
    <mergeCell ref="O51:O61"/>
    <mergeCell ref="N44:N45"/>
    <mergeCell ref="N46:N47"/>
    <mergeCell ref="F48:H48"/>
    <mergeCell ref="M48:M50"/>
    <mergeCell ref="F49:H49"/>
    <mergeCell ref="O18:O28"/>
    <mergeCell ref="O32:O43"/>
    <mergeCell ref="N18:N28"/>
    <mergeCell ref="N11:N17"/>
    <mergeCell ref="O11:O17"/>
    <mergeCell ref="N32:N43"/>
    <mergeCell ref="B6:C6"/>
    <mergeCell ref="M8:M10"/>
    <mergeCell ref="F11:H11"/>
    <mergeCell ref="F12:H12"/>
    <mergeCell ref="F13:H13"/>
    <mergeCell ref="C8:C9"/>
    <mergeCell ref="C11:C17"/>
  </mergeCells>
  <phoneticPr fontId="14"/>
  <conditionalFormatting sqref="E62:H64">
    <cfRule type="expression" priority="246" stopIfTrue="1">
      <formula>$K62="COMP"</formula>
    </cfRule>
    <cfRule type="expression" dxfId="404" priority="247" stopIfTrue="1">
      <formula>$K62=""</formula>
    </cfRule>
    <cfRule type="expression" priority="248" stopIfTrue="1">
      <formula>$K62="-"</formula>
    </cfRule>
    <cfRule type="expression" dxfId="403" priority="249" stopIfTrue="1">
      <formula>$K62=0</formula>
    </cfRule>
    <cfRule type="expression" dxfId="402" priority="250" stopIfTrue="1">
      <formula>$K62&lt;&gt;""</formula>
    </cfRule>
  </conditionalFormatting>
  <conditionalFormatting sqref="E44:H45">
    <cfRule type="expression" priority="81" stopIfTrue="1">
      <formula>$K44="COMP"</formula>
    </cfRule>
    <cfRule type="expression" dxfId="401" priority="82" stopIfTrue="1">
      <formula>$K44=""</formula>
    </cfRule>
    <cfRule type="expression" priority="83" stopIfTrue="1">
      <formula>$K44="-"</formula>
    </cfRule>
    <cfRule type="expression" dxfId="400" priority="84" stopIfTrue="1">
      <formula>$K44=0</formula>
    </cfRule>
    <cfRule type="expression" dxfId="399" priority="85" stopIfTrue="1">
      <formula>$K44&lt;&gt;""</formula>
    </cfRule>
  </conditionalFormatting>
  <conditionalFormatting sqref="E51:F51">
    <cfRule type="expression" priority="21" stopIfTrue="1">
      <formula>$K51="COMP"</formula>
    </cfRule>
    <cfRule type="expression" dxfId="398" priority="22" stopIfTrue="1">
      <formula>$K51=""</formula>
    </cfRule>
    <cfRule type="expression" priority="23" stopIfTrue="1">
      <formula>$K51="-"</formula>
    </cfRule>
    <cfRule type="expression" dxfId="397" priority="24" stopIfTrue="1">
      <formula>$K51=0</formula>
    </cfRule>
    <cfRule type="expression" dxfId="396" priority="25" stopIfTrue="1">
      <formula>$K51&lt;&gt;""</formula>
    </cfRule>
  </conditionalFormatting>
  <conditionalFormatting sqref="E53">
    <cfRule type="expression" priority="16" stopIfTrue="1">
      <formula>$K53="COMP"</formula>
    </cfRule>
    <cfRule type="expression" dxfId="395" priority="17" stopIfTrue="1">
      <formula>$K53=""</formula>
    </cfRule>
    <cfRule type="expression" priority="18" stopIfTrue="1">
      <formula>$K53="-"</formula>
    </cfRule>
    <cfRule type="expression" dxfId="394" priority="19" stopIfTrue="1">
      <formula>$K53=0</formula>
    </cfRule>
    <cfRule type="expression" dxfId="393" priority="20" stopIfTrue="1">
      <formula>$K53&lt;&gt;""</formula>
    </cfRule>
  </conditionalFormatting>
  <conditionalFormatting sqref="E53">
    <cfRule type="expression" priority="11" stopIfTrue="1">
      <formula>$K53="COMP"</formula>
    </cfRule>
    <cfRule type="expression" dxfId="392" priority="12" stopIfTrue="1">
      <formula>$K53=""</formula>
    </cfRule>
    <cfRule type="expression" priority="13" stopIfTrue="1">
      <formula>$K53="-"</formula>
    </cfRule>
    <cfRule type="expression" dxfId="391" priority="14" stopIfTrue="1">
      <formula>$K53=0</formula>
    </cfRule>
    <cfRule type="expression" dxfId="390" priority="15" stopIfTrue="1">
      <formula>$K53&lt;&gt;""</formula>
    </cfRule>
  </conditionalFormatting>
  <conditionalFormatting sqref="M58">
    <cfRule type="expression" priority="6" stopIfTrue="1">
      <formula>$K58="COMP"</formula>
    </cfRule>
    <cfRule type="expression" dxfId="389" priority="7" stopIfTrue="1">
      <formula>$K58=""</formula>
    </cfRule>
    <cfRule type="expression" priority="8" stopIfTrue="1">
      <formula>$K58="-"</formula>
    </cfRule>
    <cfRule type="expression" dxfId="388" priority="9" stopIfTrue="1">
      <formula>$K58=0</formula>
    </cfRule>
    <cfRule type="expression" dxfId="387" priority="10" stopIfTrue="1">
      <formula>$K58&lt;&gt;""</formula>
    </cfRule>
  </conditionalFormatting>
  <conditionalFormatting sqref="F53">
    <cfRule type="expression" priority="31" stopIfTrue="1">
      <formula>$K53="COMP"</formula>
    </cfRule>
    <cfRule type="expression" dxfId="386" priority="32" stopIfTrue="1">
      <formula>$K53=""</formula>
    </cfRule>
    <cfRule type="expression" priority="33" stopIfTrue="1">
      <formula>$K53="-"</formula>
    </cfRule>
    <cfRule type="expression" dxfId="385" priority="34" stopIfTrue="1">
      <formula>$K53=0</formula>
    </cfRule>
    <cfRule type="expression" dxfId="384" priority="35" stopIfTrue="1">
      <formula>$K53&lt;&gt;""</formula>
    </cfRule>
  </conditionalFormatting>
  <conditionalFormatting sqref="E51:F51">
    <cfRule type="expression" priority="26" stopIfTrue="1">
      <formula>$K51="COMP"</formula>
    </cfRule>
    <cfRule type="expression" dxfId="383" priority="27" stopIfTrue="1">
      <formula>$K51=""</formula>
    </cfRule>
    <cfRule type="expression" priority="28" stopIfTrue="1">
      <formula>$K51="-"</formula>
    </cfRule>
    <cfRule type="expression" dxfId="382" priority="29" stopIfTrue="1">
      <formula>$K51=0</formula>
    </cfRule>
    <cfRule type="expression" dxfId="381" priority="30" stopIfTrue="1">
      <formula>$K51&lt;&gt;""</formula>
    </cfRule>
  </conditionalFormatting>
  <conditionalFormatting sqref="E54:F54">
    <cfRule type="expression" priority="51" stopIfTrue="1">
      <formula>$K54="COMP"</formula>
    </cfRule>
    <cfRule type="expression" dxfId="380" priority="52" stopIfTrue="1">
      <formula>$K54=""</formula>
    </cfRule>
    <cfRule type="expression" priority="53" stopIfTrue="1">
      <formula>$K54="-"</formula>
    </cfRule>
    <cfRule type="expression" dxfId="379" priority="54" stopIfTrue="1">
      <formula>$K54=0</formula>
    </cfRule>
    <cfRule type="expression" dxfId="378" priority="55" stopIfTrue="1">
      <formula>$K54&lt;&gt;""</formula>
    </cfRule>
  </conditionalFormatting>
  <conditionalFormatting sqref="E52:H52 N58 E55:H61">
    <cfRule type="expression" priority="71" stopIfTrue="1">
      <formula>$K52="COMP"</formula>
    </cfRule>
    <cfRule type="expression" dxfId="377" priority="72" stopIfTrue="1">
      <formula>$K52=""</formula>
    </cfRule>
    <cfRule type="expression" priority="73" stopIfTrue="1">
      <formula>$K52="-"</formula>
    </cfRule>
    <cfRule type="expression" dxfId="376" priority="74" stopIfTrue="1">
      <formula>$K52=0</formula>
    </cfRule>
    <cfRule type="expression" dxfId="375" priority="75" stopIfTrue="1">
      <formula>$K52&lt;&gt;""</formula>
    </cfRule>
  </conditionalFormatting>
  <conditionalFormatting sqref="F53">
    <cfRule type="expression" priority="36" stopIfTrue="1">
      <formula>$K53="COMP"</formula>
    </cfRule>
    <cfRule type="expression" dxfId="374" priority="37" stopIfTrue="1">
      <formula>$K53=""</formula>
    </cfRule>
    <cfRule type="expression" priority="38" stopIfTrue="1">
      <formula>$K53="-"</formula>
    </cfRule>
    <cfRule type="expression" dxfId="373" priority="39" stopIfTrue="1">
      <formula>$K53=0</formula>
    </cfRule>
    <cfRule type="expression" dxfId="372" priority="40" stopIfTrue="1">
      <formula>$K53&lt;&gt;""</formula>
    </cfRule>
  </conditionalFormatting>
  <conditionalFormatting sqref="E54:H54">
    <cfRule type="expression" priority="56" stopIfTrue="1">
      <formula>$K54="COMP"</formula>
    </cfRule>
    <cfRule type="expression" dxfId="371" priority="57" stopIfTrue="1">
      <formula>$K54=""</formula>
    </cfRule>
    <cfRule type="expression" priority="58" stopIfTrue="1">
      <formula>$K54="-"</formula>
    </cfRule>
    <cfRule type="expression" dxfId="370" priority="59" stopIfTrue="1">
      <formula>$K54=0</formula>
    </cfRule>
    <cfRule type="expression" dxfId="369" priority="60" stopIfTrue="1">
      <formula>$K54&lt;&gt;""</formula>
    </cfRule>
  </conditionalFormatting>
  <conditionalFormatting sqref="E58:H58">
    <cfRule type="expression" priority="46" stopIfTrue="1">
      <formula>#REF!="COMP"</formula>
    </cfRule>
    <cfRule type="expression" dxfId="368" priority="47" stopIfTrue="1">
      <formula>#REF!=""</formula>
    </cfRule>
    <cfRule type="expression" priority="48" stopIfTrue="1">
      <formula>#REF!="-"</formula>
    </cfRule>
    <cfRule type="expression" dxfId="367" priority="49" stopIfTrue="1">
      <formula>#REF!=0</formula>
    </cfRule>
    <cfRule type="expression" dxfId="366" priority="50" stopIfTrue="1">
      <formula>#REF!&lt;&gt;""</formula>
    </cfRule>
  </conditionalFormatting>
  <conditionalFormatting sqref="N58">
    <cfRule type="expression" priority="41" stopIfTrue="1">
      <formula>#REF!="COMP"</formula>
    </cfRule>
    <cfRule type="expression" dxfId="365" priority="42" stopIfTrue="1">
      <formula>#REF!=""</formula>
    </cfRule>
    <cfRule type="expression" priority="43" stopIfTrue="1">
      <formula>#REF!="-"</formula>
    </cfRule>
    <cfRule type="expression" dxfId="364" priority="44" stopIfTrue="1">
      <formula>#REF!=0</formula>
    </cfRule>
    <cfRule type="expression" dxfId="363" priority="45" stopIfTrue="1">
      <formula>#REF!&lt;&gt;""</formula>
    </cfRule>
  </conditionalFormatting>
  <conditionalFormatting sqref="E57:F57">
    <cfRule type="expression" priority="61" stopIfTrue="1">
      <formula>#REF!="COMP"</formula>
    </cfRule>
    <cfRule type="expression" dxfId="362" priority="62" stopIfTrue="1">
      <formula>#REF!=""</formula>
    </cfRule>
    <cfRule type="expression" priority="63" stopIfTrue="1">
      <formula>#REF!="-"</formula>
    </cfRule>
    <cfRule type="expression" dxfId="361" priority="64" stopIfTrue="1">
      <formula>#REF!=0</formula>
    </cfRule>
    <cfRule type="expression" dxfId="360" priority="65" stopIfTrue="1">
      <formula>#REF!&lt;&gt;""</formula>
    </cfRule>
  </conditionalFormatting>
  <conditionalFormatting sqref="E55:E56">
    <cfRule type="expression" priority="66" stopIfTrue="1">
      <formula>#REF!="COMP"</formula>
    </cfRule>
    <cfRule type="expression" dxfId="359" priority="67" stopIfTrue="1">
      <formula>#REF!=""</formula>
    </cfRule>
    <cfRule type="expression" priority="68" stopIfTrue="1">
      <formula>#REF!="-"</formula>
    </cfRule>
    <cfRule type="expression" dxfId="358" priority="69" stopIfTrue="1">
      <formula>#REF!=0</formula>
    </cfRule>
    <cfRule type="expression" dxfId="357" priority="70" stopIfTrue="1">
      <formula>#REF!&lt;&gt;""</formula>
    </cfRule>
  </conditionalFormatting>
  <conditionalFormatting sqref="G57:H57">
    <cfRule type="expression" priority="76" stopIfTrue="1">
      <formula>$K58="COMP"</formula>
    </cfRule>
    <cfRule type="expression" dxfId="356" priority="77" stopIfTrue="1">
      <formula>$K58=""</formula>
    </cfRule>
    <cfRule type="expression" priority="78" stopIfTrue="1">
      <formula>$K58="-"</formula>
    </cfRule>
    <cfRule type="expression" dxfId="355" priority="79" stopIfTrue="1">
      <formula>$K58=0</formula>
    </cfRule>
    <cfRule type="expression" dxfId="354" priority="80" stopIfTrue="1">
      <formula>$K58&lt;&gt;""</formula>
    </cfRule>
  </conditionalFormatting>
  <conditionalFormatting sqref="M58">
    <cfRule type="expression" priority="1" stopIfTrue="1">
      <formula>#REF!="COMP"</formula>
    </cfRule>
    <cfRule type="expression" dxfId="353" priority="2" stopIfTrue="1">
      <formula>#REF!=""</formula>
    </cfRule>
    <cfRule type="expression" priority="3" stopIfTrue="1">
      <formula>#REF!="-"</formula>
    </cfRule>
    <cfRule type="expression" dxfId="352" priority="4" stopIfTrue="1">
      <formula>#REF!=0</formula>
    </cfRule>
    <cfRule type="expression" dxfId="351" priority="5" stopIfTrue="1">
      <formula>#REF!&lt;&gt;""</formula>
    </cfRule>
  </conditionalFormatting>
  <hyperlinks>
    <hyperlink ref="A1:P1" location="TEMPLATE!A1" display="UK_BALL1   ID≦15.875、OD≦32 "/>
    <hyperlink ref="O11:O17" r:id="rId1" display="E"/>
  </hyperlinks>
  <pageMargins left="0.23622047244094491" right="0.23622047244094491" top="0" bottom="0" header="0.31496062992125984" footer="0.31496062992125984"/>
  <pageSetup paperSize="9" scale="37" orientation="landscape"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B0F0"/>
    <pageSetUpPr fitToPage="1"/>
  </sheetPr>
  <dimension ref="A1:P31"/>
  <sheetViews>
    <sheetView showGridLines="0" view="pageBreakPreview" topLeftCell="A16" zoomScale="85" zoomScaleNormal="85" zoomScaleSheetLayoutView="85" workbookViewId="0">
      <selection activeCell="E24" sqref="E24"/>
    </sheetView>
  </sheetViews>
  <sheetFormatPr defaultRowHeight="13.8"/>
  <cols>
    <col min="1" max="1" width="11.8984375" bestFit="1" customWidth="1"/>
    <col min="2" max="2" width="16.09765625" bestFit="1" customWidth="1"/>
    <col min="3" max="3" width="26.3984375" bestFit="1" customWidth="1"/>
    <col min="4" max="4" width="5.59765625" customWidth="1"/>
    <col min="5" max="5" width="25.8984375" bestFit="1" customWidth="1"/>
    <col min="6" max="6" width="11.8984375" bestFit="1" customWidth="1"/>
    <col min="7" max="7" width="6.59765625" bestFit="1" customWidth="1"/>
    <col min="8" max="9" width="5.59765625" style="13" customWidth="1"/>
    <col min="10" max="11" width="5.59765625" customWidth="1"/>
    <col min="12" max="12" width="5.59765625" style="7" customWidth="1"/>
    <col min="13" max="13" width="75.3984375" bestFit="1" customWidth="1"/>
    <col min="14" max="14" width="11" bestFit="1" customWidth="1"/>
    <col min="15" max="15" width="7.8984375" bestFit="1" customWidth="1"/>
    <col min="16" max="16" width="67.69921875" style="91" bestFit="1" customWidth="1"/>
  </cols>
  <sheetData>
    <row r="1" spans="1:16">
      <c r="A1" s="835" t="s">
        <v>1063</v>
      </c>
      <c r="B1" s="835"/>
      <c r="C1" s="835"/>
      <c r="D1" s="835"/>
      <c r="E1" s="835"/>
      <c r="F1" s="835"/>
      <c r="G1" s="835"/>
      <c r="H1" s="835"/>
      <c r="I1" s="835"/>
      <c r="J1" s="835"/>
      <c r="K1" s="835"/>
      <c r="L1" s="835"/>
      <c r="M1" s="835"/>
      <c r="N1" s="835"/>
      <c r="O1" s="835"/>
      <c r="P1" s="100"/>
    </row>
    <row r="2" spans="1:16" ht="30" customHeight="1">
      <c r="A2" s="2314" t="s">
        <v>5</v>
      </c>
      <c r="B2" s="2144"/>
      <c r="C2" s="2144"/>
      <c r="D2" s="2144"/>
      <c r="E2" s="2144"/>
      <c r="F2" s="2006" t="s">
        <v>1391</v>
      </c>
      <c r="G2" s="2006"/>
      <c r="H2" s="2017"/>
      <c r="I2" s="2017"/>
      <c r="J2" s="2017"/>
      <c r="K2" s="2017"/>
      <c r="L2" s="2017"/>
      <c r="M2" s="1704" t="s">
        <v>1522</v>
      </c>
      <c r="N2" s="1669"/>
      <c r="O2" s="1520"/>
      <c r="P2" s="1001"/>
    </row>
    <row r="3" spans="1:16" ht="30" customHeight="1">
      <c r="A3" s="2315"/>
      <c r="B3" s="2144"/>
      <c r="C3" s="2144"/>
      <c r="D3" s="2144"/>
      <c r="E3" s="2144"/>
      <c r="F3" s="2006" t="s">
        <v>1371</v>
      </c>
      <c r="G3" s="2006"/>
      <c r="H3" s="2017"/>
      <c r="I3" s="2017"/>
      <c r="J3" s="2017"/>
      <c r="K3" s="2017"/>
      <c r="L3" s="2017"/>
      <c r="M3" s="432"/>
      <c r="N3" s="432"/>
      <c r="O3" s="839"/>
      <c r="P3" s="1001"/>
    </row>
    <row r="4" spans="1:16" ht="30" customHeight="1">
      <c r="A4" s="2314" t="s">
        <v>38</v>
      </c>
      <c r="B4" s="2144"/>
      <c r="C4" s="2144"/>
      <c r="D4" s="2144"/>
      <c r="E4" s="2144"/>
      <c r="F4" s="2007" t="s">
        <v>1392</v>
      </c>
      <c r="G4" s="2007"/>
      <c r="H4" s="2017"/>
      <c r="I4" s="2017"/>
      <c r="J4" s="2017"/>
      <c r="K4" s="2017"/>
      <c r="L4" s="2017"/>
      <c r="M4" s="432"/>
      <c r="N4" s="432"/>
      <c r="O4" s="839"/>
      <c r="P4" s="1001"/>
    </row>
    <row r="5" spans="1:16" ht="30" customHeight="1">
      <c r="A5" s="2315"/>
      <c r="B5" s="2144"/>
      <c r="C5" s="2144"/>
      <c r="D5" s="2144"/>
      <c r="E5" s="2144"/>
      <c r="F5" s="2008" t="s">
        <v>1372</v>
      </c>
      <c r="G5" s="2008"/>
      <c r="H5" s="2017"/>
      <c r="I5" s="2017"/>
      <c r="J5" s="2017"/>
      <c r="K5" s="2017"/>
      <c r="L5" s="2017"/>
      <c r="M5" s="432"/>
      <c r="N5" s="432"/>
      <c r="O5" s="839"/>
      <c r="P5" s="1001"/>
    </row>
    <row r="6" spans="1:16" ht="60" customHeight="1">
      <c r="A6" s="1705" t="s">
        <v>1227</v>
      </c>
      <c r="B6" s="2316" t="s">
        <v>6</v>
      </c>
      <c r="C6" s="2317"/>
      <c r="D6" s="1706" t="s">
        <v>1407</v>
      </c>
      <c r="E6" s="1707" t="s">
        <v>64</v>
      </c>
      <c r="F6" s="2318" t="s">
        <v>1</v>
      </c>
      <c r="G6" s="2319"/>
      <c r="H6" s="2320"/>
      <c r="I6" s="1708" t="s">
        <v>66</v>
      </c>
      <c r="J6" s="1708" t="s">
        <v>1376</v>
      </c>
      <c r="K6" s="1709" t="s">
        <v>1377</v>
      </c>
      <c r="L6" s="1709" t="s">
        <v>1375</v>
      </c>
      <c r="M6" s="1710" t="s">
        <v>1387</v>
      </c>
      <c r="N6" s="1710" t="s">
        <v>1378</v>
      </c>
      <c r="O6" s="1322" t="s">
        <v>1379</v>
      </c>
      <c r="P6" s="1001"/>
    </row>
    <row r="7" spans="1:16" ht="23.4" customHeight="1">
      <c r="A7" s="2364">
        <v>1021</v>
      </c>
      <c r="B7" s="2154" t="s">
        <v>458</v>
      </c>
      <c r="C7" s="1811" t="s">
        <v>1612</v>
      </c>
      <c r="D7" s="1835"/>
      <c r="E7" s="1835"/>
      <c r="F7" s="1836"/>
      <c r="G7" s="1837"/>
      <c r="H7" s="1837"/>
      <c r="I7" s="1835"/>
      <c r="J7" s="1838"/>
      <c r="K7" s="1838"/>
      <c r="L7" s="1838"/>
      <c r="M7" s="1839" t="s">
        <v>1613</v>
      </c>
      <c r="N7" s="353"/>
      <c r="O7" s="298" t="e">
        <f t="shared" ref="O7:O10" si="0">HYPERLINK(VLOOKUP(F7,LINK,2,FALSE),VLOOKUP(F7,LINK,3,FALSE))</f>
        <v>#N/A</v>
      </c>
      <c r="P7"/>
    </row>
    <row r="8" spans="1:16" ht="23.4" customHeight="1">
      <c r="A8" s="2365"/>
      <c r="B8" s="2367"/>
      <c r="C8" s="2162" t="s">
        <v>1609</v>
      </c>
      <c r="D8" s="1810"/>
      <c r="E8" s="1810" t="s">
        <v>1610</v>
      </c>
      <c r="F8" s="1813" t="s">
        <v>1611</v>
      </c>
      <c r="G8" s="1812"/>
      <c r="H8" s="1812"/>
      <c r="I8" s="264"/>
      <c r="J8" s="265"/>
      <c r="K8" s="265"/>
      <c r="L8" s="265"/>
      <c r="M8" s="2372"/>
      <c r="N8" s="1833"/>
      <c r="O8" s="1834"/>
      <c r="P8"/>
    </row>
    <row r="9" spans="1:16" ht="23.4" customHeight="1">
      <c r="A9" s="2365"/>
      <c r="B9" s="2367"/>
      <c r="C9" s="2163"/>
      <c r="D9" s="1505"/>
      <c r="E9" s="1505" t="s">
        <v>26</v>
      </c>
      <c r="F9" s="269" t="s">
        <v>27</v>
      </c>
      <c r="G9" s="317"/>
      <c r="H9" s="317"/>
      <c r="I9" s="270"/>
      <c r="J9" s="271"/>
      <c r="K9" s="271"/>
      <c r="L9" s="271"/>
      <c r="M9" s="2373"/>
      <c r="N9" s="359"/>
      <c r="O9" s="299" t="str">
        <f t="shared" si="0"/>
        <v>EXCEL</v>
      </c>
      <c r="P9"/>
    </row>
    <row r="10" spans="1:16" ht="23.4" customHeight="1">
      <c r="A10" s="2366"/>
      <c r="B10" s="2368"/>
      <c r="C10" s="1506" t="s">
        <v>35</v>
      </c>
      <c r="D10" s="1506"/>
      <c r="E10" s="1506" t="s">
        <v>34</v>
      </c>
      <c r="F10" s="273" t="s">
        <v>36</v>
      </c>
      <c r="G10" s="318"/>
      <c r="H10" s="318"/>
      <c r="I10" s="274"/>
      <c r="J10" s="275"/>
      <c r="K10" s="275"/>
      <c r="L10" s="275"/>
      <c r="M10" s="2374"/>
      <c r="N10" s="1672"/>
      <c r="O10" s="1508" t="str">
        <f t="shared" si="0"/>
        <v>EXCEL</v>
      </c>
      <c r="P10"/>
    </row>
    <row r="11" spans="1:16" ht="23.4" customHeight="1">
      <c r="A11" s="2311">
        <v>1061</v>
      </c>
      <c r="B11" s="2116" t="s">
        <v>77</v>
      </c>
      <c r="C11" s="2267" t="s">
        <v>1525</v>
      </c>
      <c r="D11" s="188"/>
      <c r="E11" s="1513" t="s">
        <v>590</v>
      </c>
      <c r="F11" s="1522" t="s">
        <v>591</v>
      </c>
      <c r="G11" s="424"/>
      <c r="H11" s="370"/>
      <c r="I11" s="188"/>
      <c r="J11" s="188"/>
      <c r="K11" s="188"/>
      <c r="L11" s="188"/>
      <c r="M11" s="188"/>
      <c r="N11" s="2116" t="s">
        <v>1505</v>
      </c>
      <c r="O11" s="2018" t="str">
        <f>HYPERLINK(VLOOKUP(F11,LINK,2,FALSE),VLOOKUP(F11,LINK,3,FALSE))</f>
        <v>EXCEL</v>
      </c>
      <c r="P11"/>
    </row>
    <row r="12" spans="1:16" ht="23.4" customHeight="1">
      <c r="A12" s="2311"/>
      <c r="B12" s="2135"/>
      <c r="C12" s="2268"/>
      <c r="D12" s="1515"/>
      <c r="E12" s="1518" t="s">
        <v>592</v>
      </c>
      <c r="F12" s="425" t="s">
        <v>593</v>
      </c>
      <c r="G12" s="426"/>
      <c r="H12" s="384"/>
      <c r="I12" s="1515"/>
      <c r="J12" s="1515"/>
      <c r="K12" s="1515"/>
      <c r="L12" s="1515"/>
      <c r="M12" s="1515"/>
      <c r="N12" s="2117"/>
      <c r="O12" s="2293"/>
      <c r="P12" s="7"/>
    </row>
    <row r="13" spans="1:16" ht="23.4" customHeight="1">
      <c r="A13" s="2311"/>
      <c r="B13" s="2135"/>
      <c r="C13" s="2101" t="s">
        <v>1528</v>
      </c>
      <c r="D13" s="188"/>
      <c r="E13" s="303" t="s">
        <v>72</v>
      </c>
      <c r="F13" s="342" t="s">
        <v>81</v>
      </c>
      <c r="G13" s="343"/>
      <c r="H13" s="344"/>
      <c r="I13" s="188"/>
      <c r="J13" s="188"/>
      <c r="K13" s="188"/>
      <c r="L13" s="188"/>
      <c r="M13" s="188"/>
      <c r="N13" s="2334" t="s">
        <v>1529</v>
      </c>
      <c r="O13" s="2149" t="str">
        <f>HYPERLINK(VLOOKUP(F13,LINK,2,FALSE),VLOOKUP(F13,LINK,3,FALSE))</f>
        <v>EXCEL</v>
      </c>
      <c r="P13" s="2333" t="s">
        <v>1052</v>
      </c>
    </row>
    <row r="14" spans="1:16" ht="23.4" customHeight="1">
      <c r="A14" s="2311"/>
      <c r="B14" s="2135"/>
      <c r="C14" s="2312"/>
      <c r="D14" s="1514"/>
      <c r="E14" s="1516" t="s">
        <v>73</v>
      </c>
      <c r="F14" s="345" t="s">
        <v>83</v>
      </c>
      <c r="G14" s="346"/>
      <c r="H14" s="347"/>
      <c r="I14" s="1514"/>
      <c r="J14" s="1514"/>
      <c r="K14" s="1514"/>
      <c r="L14" s="1514"/>
      <c r="M14" s="1514"/>
      <c r="N14" s="2335"/>
      <c r="O14" s="2149"/>
      <c r="P14" s="2333"/>
    </row>
    <row r="15" spans="1:16" ht="23.4" customHeight="1">
      <c r="A15" s="2311"/>
      <c r="B15" s="2135"/>
      <c r="C15" s="2312"/>
      <c r="D15" s="1714"/>
      <c r="E15" s="1715" t="s">
        <v>74</v>
      </c>
      <c r="F15" s="2327" t="s">
        <v>82</v>
      </c>
      <c r="G15" s="2328"/>
      <c r="H15" s="2329"/>
      <c r="I15" s="1714"/>
      <c r="J15" s="1716"/>
      <c r="K15" s="1716"/>
      <c r="L15" s="1714"/>
      <c r="M15" s="2336" t="s">
        <v>1530</v>
      </c>
      <c r="N15" s="1680"/>
      <c r="O15" s="2149"/>
      <c r="P15" s="2333"/>
    </row>
    <row r="16" spans="1:16" ht="23.4" customHeight="1">
      <c r="A16" s="2311"/>
      <c r="B16" s="2135"/>
      <c r="C16" s="2312"/>
      <c r="D16" s="1714"/>
      <c r="E16" s="1715" t="s">
        <v>79</v>
      </c>
      <c r="F16" s="2330" t="s">
        <v>80</v>
      </c>
      <c r="G16" s="2331"/>
      <c r="H16" s="2332"/>
      <c r="I16" s="1714"/>
      <c r="J16" s="1716"/>
      <c r="K16" s="1716"/>
      <c r="L16" s="1714"/>
      <c r="M16" s="2336"/>
      <c r="N16" s="1680"/>
      <c r="O16" s="2149"/>
      <c r="P16" s="2333"/>
    </row>
    <row r="17" spans="1:16" ht="23.4" customHeight="1">
      <c r="A17" s="2311"/>
      <c r="B17" s="2117"/>
      <c r="C17" s="2313"/>
      <c r="D17" s="229"/>
      <c r="E17" s="1517" t="s">
        <v>735</v>
      </c>
      <c r="F17" s="348" t="s">
        <v>1174</v>
      </c>
      <c r="G17" s="451"/>
      <c r="H17" s="349"/>
      <c r="I17" s="229"/>
      <c r="J17" s="229"/>
      <c r="K17" s="229"/>
      <c r="L17" s="229"/>
      <c r="M17" s="2337"/>
      <c r="N17" s="1681"/>
      <c r="O17" s="2149"/>
      <c r="P17" s="2333"/>
    </row>
    <row r="18" spans="1:16" ht="23.4" customHeight="1">
      <c r="A18" s="2144">
        <v>1041</v>
      </c>
      <c r="B18" s="2371" t="s">
        <v>90</v>
      </c>
      <c r="C18" s="2369" t="s">
        <v>87</v>
      </c>
      <c r="D18" s="188"/>
      <c r="E18" s="367" t="s">
        <v>43</v>
      </c>
      <c r="F18" s="368" t="s">
        <v>89</v>
      </c>
      <c r="G18" s="369"/>
      <c r="H18" s="454"/>
      <c r="I18" s="188"/>
      <c r="J18" s="188"/>
      <c r="K18" s="188"/>
      <c r="L18" s="188"/>
      <c r="M18" s="188"/>
      <c r="N18" s="1998" t="s">
        <v>1556</v>
      </c>
      <c r="O18" s="2018" t="str">
        <f>HYPERLINK(VLOOKUP(F18,LINK,2,FALSE),VLOOKUP(F18,LINK,3,FALSE))</f>
        <v>ACCESS</v>
      </c>
      <c r="P18"/>
    </row>
    <row r="19" spans="1:16" ht="23.4" customHeight="1">
      <c r="A19" s="2144"/>
      <c r="B19" s="2107"/>
      <c r="C19" s="2370"/>
      <c r="D19" s="193"/>
      <c r="E19" s="381" t="s">
        <v>88</v>
      </c>
      <c r="F19" s="382" t="s">
        <v>653</v>
      </c>
      <c r="G19" s="383"/>
      <c r="H19" s="456"/>
      <c r="I19" s="193"/>
      <c r="J19" s="1027"/>
      <c r="K19" s="193"/>
      <c r="L19" s="193"/>
      <c r="M19" s="193"/>
      <c r="N19" s="2000"/>
      <c r="O19" s="2020"/>
      <c r="P19"/>
    </row>
    <row r="20" spans="1:16" ht="23.4" customHeight="1">
      <c r="A20" s="2134">
        <v>1241</v>
      </c>
      <c r="B20" s="2275" t="s">
        <v>1268</v>
      </c>
      <c r="C20" s="2144" t="s">
        <v>1307</v>
      </c>
      <c r="D20" s="1719"/>
      <c r="E20" s="1720" t="s">
        <v>595</v>
      </c>
      <c r="F20" s="2321"/>
      <c r="G20" s="2322"/>
      <c r="H20" s="2323"/>
      <c r="I20" s="1721"/>
      <c r="J20" s="1721"/>
      <c r="K20" s="1721"/>
      <c r="L20" s="1721"/>
      <c r="M20" s="1289" t="s">
        <v>1514</v>
      </c>
      <c r="N20" s="1289"/>
      <c r="O20" s="2149" t="s">
        <v>197</v>
      </c>
      <c r="P20"/>
    </row>
    <row r="21" spans="1:16" ht="23.4" customHeight="1">
      <c r="A21" s="2134"/>
      <c r="B21" s="2275"/>
      <c r="C21" s="2144"/>
      <c r="D21" s="140"/>
      <c r="E21" s="875" t="s">
        <v>600</v>
      </c>
      <c r="F21" s="1275" t="s">
        <v>601</v>
      </c>
      <c r="G21" s="182"/>
      <c r="H21" s="183"/>
      <c r="I21" s="140"/>
      <c r="J21" s="140"/>
      <c r="K21" s="140"/>
      <c r="L21" s="140"/>
      <c r="M21" s="1676" t="s">
        <v>1514</v>
      </c>
      <c r="N21" s="1676"/>
      <c r="O21" s="2149"/>
      <c r="P21"/>
    </row>
    <row r="22" spans="1:16" ht="23.4" customHeight="1">
      <c r="A22" s="2134"/>
      <c r="B22" s="2275"/>
      <c r="C22" s="2144"/>
      <c r="D22" s="140"/>
      <c r="E22" s="429" t="s">
        <v>596</v>
      </c>
      <c r="F22" s="1159" t="s">
        <v>1272</v>
      </c>
      <c r="G22" s="1276"/>
      <c r="H22" s="1277"/>
      <c r="I22" s="1160"/>
      <c r="J22" s="1160"/>
      <c r="K22" s="1160"/>
      <c r="L22" s="1160"/>
      <c r="M22" s="1160" t="s">
        <v>1515</v>
      </c>
      <c r="N22" s="1160"/>
      <c r="O22" s="2149"/>
      <c r="P22"/>
    </row>
    <row r="23" spans="1:16" ht="23.4" customHeight="1">
      <c r="A23" s="2134"/>
      <c r="B23" s="2275"/>
      <c r="C23" s="2144"/>
      <c r="D23" s="1160"/>
      <c r="E23" s="1521" t="s">
        <v>30</v>
      </c>
      <c r="F23" s="1159" t="s">
        <v>597</v>
      </c>
      <c r="G23" s="1163"/>
      <c r="H23" s="1164"/>
      <c r="I23" s="1160"/>
      <c r="J23" s="1160"/>
      <c r="K23" s="1160"/>
      <c r="L23" s="1160"/>
      <c r="M23" s="1677" t="s">
        <v>1516</v>
      </c>
      <c r="N23" s="1677"/>
      <c r="O23" s="2149"/>
      <c r="P23"/>
    </row>
    <row r="24" spans="1:16" ht="23.4" customHeight="1">
      <c r="A24" s="2134"/>
      <c r="B24" s="2275"/>
      <c r="C24" s="2144"/>
      <c r="D24" s="1160"/>
      <c r="E24" s="1504" t="s">
        <v>1333</v>
      </c>
      <c r="F24" s="1275" t="s">
        <v>606</v>
      </c>
      <c r="G24" s="182"/>
      <c r="H24" s="183"/>
      <c r="I24" s="140"/>
      <c r="J24" s="140"/>
      <c r="K24" s="140"/>
      <c r="L24" s="140"/>
      <c r="M24" s="1703" t="s">
        <v>1517</v>
      </c>
      <c r="N24" s="1718"/>
      <c r="O24" s="2149"/>
      <c r="P24" s="1270"/>
    </row>
    <row r="25" spans="1:16" ht="23.4" customHeight="1">
      <c r="A25" s="2134"/>
      <c r="B25" s="2275"/>
      <c r="C25" s="2144"/>
      <c r="D25" s="1160"/>
      <c r="E25" s="1504" t="s">
        <v>604</v>
      </c>
      <c r="F25" s="1275" t="s">
        <v>540</v>
      </c>
      <c r="G25" s="182" t="s">
        <v>809</v>
      </c>
      <c r="H25" s="183"/>
      <c r="I25" s="140"/>
      <c r="J25" s="140"/>
      <c r="K25" s="140"/>
      <c r="L25" s="140"/>
      <c r="M25" s="1703" t="s">
        <v>1526</v>
      </c>
      <c r="N25" s="1717"/>
      <c r="O25" s="2149"/>
      <c r="P25" s="1009"/>
    </row>
    <row r="26" spans="1:16" ht="23.4" customHeight="1">
      <c r="A26" s="2134"/>
      <c r="B26" s="2275"/>
      <c r="C26" s="2144"/>
      <c r="D26" s="140"/>
      <c r="E26" s="1504" t="s">
        <v>608</v>
      </c>
      <c r="F26" s="1275" t="s">
        <v>1197</v>
      </c>
      <c r="G26" s="182"/>
      <c r="H26" s="183"/>
      <c r="I26" s="140"/>
      <c r="J26" s="140"/>
      <c r="K26" s="140"/>
      <c r="L26" s="140"/>
      <c r="M26" s="1678" t="s">
        <v>1518</v>
      </c>
      <c r="N26" s="1678"/>
      <c r="O26" s="2149"/>
      <c r="P26" s="1009"/>
    </row>
    <row r="27" spans="1:16" ht="23.4" customHeight="1">
      <c r="A27" s="2134"/>
      <c r="B27" s="2275"/>
      <c r="C27" s="2144"/>
      <c r="D27" s="140"/>
      <c r="E27" s="1504" t="s">
        <v>1222</v>
      </c>
      <c r="F27" s="1275" t="s">
        <v>1221</v>
      </c>
      <c r="G27" s="182"/>
      <c r="H27" s="183"/>
      <c r="I27" s="140"/>
      <c r="J27" s="140"/>
      <c r="K27" s="140"/>
      <c r="L27" s="140"/>
      <c r="M27" s="1275" t="s">
        <v>1519</v>
      </c>
      <c r="N27" s="1275"/>
      <c r="O27" s="2149"/>
      <c r="P27" s="1009"/>
    </row>
    <row r="28" spans="1:16" ht="23.4" customHeight="1">
      <c r="A28" s="2134"/>
      <c r="B28" s="2275"/>
      <c r="C28" s="2144"/>
      <c r="D28" s="140"/>
      <c r="E28" s="1504" t="s">
        <v>598</v>
      </c>
      <c r="F28" s="1275" t="s">
        <v>599</v>
      </c>
      <c r="G28" s="182"/>
      <c r="H28" s="183"/>
      <c r="I28" s="140"/>
      <c r="J28" s="140"/>
      <c r="K28" s="140"/>
      <c r="L28" s="140"/>
      <c r="M28" s="1676" t="s">
        <v>1520</v>
      </c>
      <c r="N28" s="1676"/>
      <c r="O28" s="2149"/>
      <c r="P28" s="1009"/>
    </row>
    <row r="29" spans="1:16" ht="23.4" customHeight="1">
      <c r="A29" s="2134"/>
      <c r="B29" s="2275"/>
      <c r="C29" s="2144"/>
      <c r="D29" s="140"/>
      <c r="E29" s="1504" t="s">
        <v>609</v>
      </c>
      <c r="F29" s="1275" t="s">
        <v>610</v>
      </c>
      <c r="G29" s="182"/>
      <c r="H29" s="183"/>
      <c r="I29" s="140"/>
      <c r="J29" s="140"/>
      <c r="K29" s="140"/>
      <c r="L29" s="140"/>
      <c r="M29" s="2292" t="s">
        <v>1521</v>
      </c>
      <c r="N29" s="2292"/>
      <c r="O29" s="2149"/>
      <c r="P29" s="1009"/>
    </row>
    <row r="30" spans="1:16" ht="23.4" customHeight="1">
      <c r="A30" s="2134"/>
      <c r="B30" s="2275"/>
      <c r="C30" s="2144"/>
      <c r="D30" s="1515"/>
      <c r="E30" s="1505" t="s">
        <v>611</v>
      </c>
      <c r="F30" s="382" t="s">
        <v>612</v>
      </c>
      <c r="G30" s="383"/>
      <c r="H30" s="384"/>
      <c r="I30" s="1515"/>
      <c r="J30" s="1515"/>
      <c r="K30" s="1515"/>
      <c r="L30" s="1515"/>
      <c r="M30" s="2077"/>
      <c r="N30" s="2077"/>
      <c r="O30" s="2149"/>
    </row>
    <row r="31" spans="1:16">
      <c r="A31" s="1098"/>
    </row>
  </sheetData>
  <mergeCells count="42">
    <mergeCell ref="P13:P17"/>
    <mergeCell ref="F15:H15"/>
    <mergeCell ref="M15:M17"/>
    <mergeCell ref="F16:H16"/>
    <mergeCell ref="C11:C12"/>
    <mergeCell ref="C13:C17"/>
    <mergeCell ref="O13:O17"/>
    <mergeCell ref="O11:O12"/>
    <mergeCell ref="O20:O30"/>
    <mergeCell ref="M29:M30"/>
    <mergeCell ref="A20:A30"/>
    <mergeCell ref="B20:B30"/>
    <mergeCell ref="C20:C30"/>
    <mergeCell ref="N29:N30"/>
    <mergeCell ref="F20:H20"/>
    <mergeCell ref="A2:A3"/>
    <mergeCell ref="B2:E3"/>
    <mergeCell ref="F2:G2"/>
    <mergeCell ref="H2:L2"/>
    <mergeCell ref="F3:G3"/>
    <mergeCell ref="H3:L3"/>
    <mergeCell ref="B6:C6"/>
    <mergeCell ref="N11:N12"/>
    <mergeCell ref="N13:N14"/>
    <mergeCell ref="F6:H6"/>
    <mergeCell ref="A4:A5"/>
    <mergeCell ref="B4:E5"/>
    <mergeCell ref="F4:G4"/>
    <mergeCell ref="H4:L4"/>
    <mergeCell ref="F5:G5"/>
    <mergeCell ref="H5:L5"/>
    <mergeCell ref="O18:O19"/>
    <mergeCell ref="A7:A10"/>
    <mergeCell ref="B7:B10"/>
    <mergeCell ref="C18:C19"/>
    <mergeCell ref="B18:B19"/>
    <mergeCell ref="B11:B17"/>
    <mergeCell ref="N18:N19"/>
    <mergeCell ref="A11:A17"/>
    <mergeCell ref="A18:A19"/>
    <mergeCell ref="C8:C9"/>
    <mergeCell ref="M8:M10"/>
  </mergeCells>
  <phoneticPr fontId="14"/>
  <conditionalFormatting sqref="E11:H12">
    <cfRule type="expression" priority="81" stopIfTrue="1">
      <formula>$K11="COMP"</formula>
    </cfRule>
    <cfRule type="expression" dxfId="350" priority="82" stopIfTrue="1">
      <formula>$K11=""</formula>
    </cfRule>
    <cfRule type="expression" priority="83" stopIfTrue="1">
      <formula>$K11="-"</formula>
    </cfRule>
    <cfRule type="expression" dxfId="349" priority="84" stopIfTrue="1">
      <formula>$K11=0</formula>
    </cfRule>
    <cfRule type="expression" dxfId="348" priority="85" stopIfTrue="1">
      <formula>$K11&lt;&gt;""</formula>
    </cfRule>
  </conditionalFormatting>
  <conditionalFormatting sqref="E20:F20">
    <cfRule type="expression" priority="21" stopIfTrue="1">
      <formula>$K20="COMP"</formula>
    </cfRule>
    <cfRule type="expression" dxfId="347" priority="22" stopIfTrue="1">
      <formula>$K20=""</formula>
    </cfRule>
    <cfRule type="expression" priority="23" stopIfTrue="1">
      <formula>$K20="-"</formula>
    </cfRule>
    <cfRule type="expression" dxfId="346" priority="24" stopIfTrue="1">
      <formula>$K20=0</formula>
    </cfRule>
    <cfRule type="expression" dxfId="345" priority="25" stopIfTrue="1">
      <formula>$K20&lt;&gt;""</formula>
    </cfRule>
  </conditionalFormatting>
  <conditionalFormatting sqref="E22">
    <cfRule type="expression" priority="16" stopIfTrue="1">
      <formula>$K22="COMP"</formula>
    </cfRule>
    <cfRule type="expression" dxfId="344" priority="17" stopIfTrue="1">
      <formula>$K22=""</formula>
    </cfRule>
    <cfRule type="expression" priority="18" stopIfTrue="1">
      <formula>$K22="-"</formula>
    </cfRule>
    <cfRule type="expression" dxfId="343" priority="19" stopIfTrue="1">
      <formula>$K22=0</formula>
    </cfRule>
    <cfRule type="expression" dxfId="342" priority="20" stopIfTrue="1">
      <formula>$K22&lt;&gt;""</formula>
    </cfRule>
  </conditionalFormatting>
  <conditionalFormatting sqref="E22">
    <cfRule type="expression" priority="11" stopIfTrue="1">
      <formula>$K22="COMP"</formula>
    </cfRule>
    <cfRule type="expression" dxfId="341" priority="12" stopIfTrue="1">
      <formula>$K22=""</formula>
    </cfRule>
    <cfRule type="expression" priority="13" stopIfTrue="1">
      <formula>$K22="-"</formula>
    </cfRule>
    <cfRule type="expression" dxfId="340" priority="14" stopIfTrue="1">
      <formula>$K22=0</formula>
    </cfRule>
    <cfRule type="expression" dxfId="339" priority="15" stopIfTrue="1">
      <formula>$K22&lt;&gt;""</formula>
    </cfRule>
  </conditionalFormatting>
  <conditionalFormatting sqref="M27">
    <cfRule type="expression" priority="6" stopIfTrue="1">
      <formula>$K27="COMP"</formula>
    </cfRule>
    <cfRule type="expression" dxfId="338" priority="7" stopIfTrue="1">
      <formula>$K27=""</formula>
    </cfRule>
    <cfRule type="expression" priority="8" stopIfTrue="1">
      <formula>$K27="-"</formula>
    </cfRule>
    <cfRule type="expression" dxfId="337" priority="9" stopIfTrue="1">
      <formula>$K27=0</formula>
    </cfRule>
    <cfRule type="expression" dxfId="336" priority="10" stopIfTrue="1">
      <formula>$K27&lt;&gt;""</formula>
    </cfRule>
  </conditionalFormatting>
  <conditionalFormatting sqref="F22">
    <cfRule type="expression" priority="31" stopIfTrue="1">
      <formula>$K22="COMP"</formula>
    </cfRule>
    <cfRule type="expression" dxfId="335" priority="32" stopIfTrue="1">
      <formula>$K22=""</formula>
    </cfRule>
    <cfRule type="expression" priority="33" stopIfTrue="1">
      <formula>$K22="-"</formula>
    </cfRule>
    <cfRule type="expression" dxfId="334" priority="34" stopIfTrue="1">
      <formula>$K22=0</formula>
    </cfRule>
    <cfRule type="expression" dxfId="333" priority="35" stopIfTrue="1">
      <formula>$K22&lt;&gt;""</formula>
    </cfRule>
  </conditionalFormatting>
  <conditionalFormatting sqref="E20:F20">
    <cfRule type="expression" priority="26" stopIfTrue="1">
      <formula>$K20="COMP"</formula>
    </cfRule>
    <cfRule type="expression" dxfId="332" priority="27" stopIfTrue="1">
      <formula>$K20=""</formula>
    </cfRule>
    <cfRule type="expression" priority="28" stopIfTrue="1">
      <formula>$K20="-"</formula>
    </cfRule>
    <cfRule type="expression" dxfId="331" priority="29" stopIfTrue="1">
      <formula>$K20=0</formula>
    </cfRule>
    <cfRule type="expression" dxfId="330" priority="30" stopIfTrue="1">
      <formula>$K20&lt;&gt;""</formula>
    </cfRule>
  </conditionalFormatting>
  <conditionalFormatting sqref="E23:F23">
    <cfRule type="expression" priority="51" stopIfTrue="1">
      <formula>$K23="COMP"</formula>
    </cfRule>
    <cfRule type="expression" dxfId="329" priority="52" stopIfTrue="1">
      <formula>$K23=""</formula>
    </cfRule>
    <cfRule type="expression" priority="53" stopIfTrue="1">
      <formula>$K23="-"</formula>
    </cfRule>
    <cfRule type="expression" dxfId="328" priority="54" stopIfTrue="1">
      <formula>$K23=0</formula>
    </cfRule>
    <cfRule type="expression" dxfId="327" priority="55" stopIfTrue="1">
      <formula>$K23&lt;&gt;""</formula>
    </cfRule>
  </conditionalFormatting>
  <conditionalFormatting sqref="E21:H21 N27 E24:H30">
    <cfRule type="expression" priority="71" stopIfTrue="1">
      <formula>$K21="COMP"</formula>
    </cfRule>
    <cfRule type="expression" dxfId="326" priority="72" stopIfTrue="1">
      <formula>$K21=""</formula>
    </cfRule>
    <cfRule type="expression" priority="73" stopIfTrue="1">
      <formula>$K21="-"</formula>
    </cfRule>
    <cfRule type="expression" dxfId="325" priority="74" stopIfTrue="1">
      <formula>$K21=0</formula>
    </cfRule>
    <cfRule type="expression" dxfId="324" priority="75" stopIfTrue="1">
      <formula>$K21&lt;&gt;""</formula>
    </cfRule>
  </conditionalFormatting>
  <conditionalFormatting sqref="F22">
    <cfRule type="expression" priority="36" stopIfTrue="1">
      <formula>$K22="COMP"</formula>
    </cfRule>
    <cfRule type="expression" dxfId="323" priority="37" stopIfTrue="1">
      <formula>$K22=""</formula>
    </cfRule>
    <cfRule type="expression" priority="38" stopIfTrue="1">
      <formula>$K22="-"</formula>
    </cfRule>
    <cfRule type="expression" dxfId="322" priority="39" stopIfTrue="1">
      <formula>$K22=0</formula>
    </cfRule>
    <cfRule type="expression" dxfId="321" priority="40" stopIfTrue="1">
      <formula>$K22&lt;&gt;""</formula>
    </cfRule>
  </conditionalFormatting>
  <conditionalFormatting sqref="E23:H23">
    <cfRule type="expression" priority="56" stopIfTrue="1">
      <formula>$K23="COMP"</formula>
    </cfRule>
    <cfRule type="expression" dxfId="320" priority="57" stopIfTrue="1">
      <formula>$K23=""</formula>
    </cfRule>
    <cfRule type="expression" priority="58" stopIfTrue="1">
      <formula>$K23="-"</formula>
    </cfRule>
    <cfRule type="expression" dxfId="319" priority="59" stopIfTrue="1">
      <formula>$K23=0</formula>
    </cfRule>
    <cfRule type="expression" dxfId="318" priority="60" stopIfTrue="1">
      <formula>$K23&lt;&gt;""</formula>
    </cfRule>
  </conditionalFormatting>
  <conditionalFormatting sqref="E27:H27">
    <cfRule type="expression" priority="46" stopIfTrue="1">
      <formula>#REF!="COMP"</formula>
    </cfRule>
    <cfRule type="expression" dxfId="317" priority="47" stopIfTrue="1">
      <formula>#REF!=""</formula>
    </cfRule>
    <cfRule type="expression" priority="48" stopIfTrue="1">
      <formula>#REF!="-"</formula>
    </cfRule>
    <cfRule type="expression" dxfId="316" priority="49" stopIfTrue="1">
      <formula>#REF!=0</formula>
    </cfRule>
    <cfRule type="expression" dxfId="315" priority="50" stopIfTrue="1">
      <formula>#REF!&lt;&gt;""</formula>
    </cfRule>
  </conditionalFormatting>
  <conditionalFormatting sqref="N27">
    <cfRule type="expression" priority="41" stopIfTrue="1">
      <formula>#REF!="COMP"</formula>
    </cfRule>
    <cfRule type="expression" dxfId="314" priority="42" stopIfTrue="1">
      <formula>#REF!=""</formula>
    </cfRule>
    <cfRule type="expression" priority="43" stopIfTrue="1">
      <formula>#REF!="-"</formula>
    </cfRule>
    <cfRule type="expression" dxfId="313" priority="44" stopIfTrue="1">
      <formula>#REF!=0</formula>
    </cfRule>
    <cfRule type="expression" dxfId="312" priority="45" stopIfTrue="1">
      <formula>#REF!&lt;&gt;""</formula>
    </cfRule>
  </conditionalFormatting>
  <conditionalFormatting sqref="E26:F26">
    <cfRule type="expression" priority="61" stopIfTrue="1">
      <formula>#REF!="COMP"</formula>
    </cfRule>
    <cfRule type="expression" dxfId="311" priority="62" stopIfTrue="1">
      <formula>#REF!=""</formula>
    </cfRule>
    <cfRule type="expression" priority="63" stopIfTrue="1">
      <formula>#REF!="-"</formula>
    </cfRule>
    <cfRule type="expression" dxfId="310" priority="64" stopIfTrue="1">
      <formula>#REF!=0</formula>
    </cfRule>
    <cfRule type="expression" dxfId="309" priority="65" stopIfTrue="1">
      <formula>#REF!&lt;&gt;""</formula>
    </cfRule>
  </conditionalFormatting>
  <conditionalFormatting sqref="E24:E25">
    <cfRule type="expression" priority="66" stopIfTrue="1">
      <formula>#REF!="COMP"</formula>
    </cfRule>
    <cfRule type="expression" dxfId="308" priority="67" stopIfTrue="1">
      <formula>#REF!=""</formula>
    </cfRule>
    <cfRule type="expression" priority="68" stopIfTrue="1">
      <formula>#REF!="-"</formula>
    </cfRule>
    <cfRule type="expression" dxfId="307" priority="69" stopIfTrue="1">
      <formula>#REF!=0</formula>
    </cfRule>
    <cfRule type="expression" dxfId="306" priority="70" stopIfTrue="1">
      <formula>#REF!&lt;&gt;""</formula>
    </cfRule>
  </conditionalFormatting>
  <conditionalFormatting sqref="G26:H26">
    <cfRule type="expression" priority="76" stopIfTrue="1">
      <formula>$K27="COMP"</formula>
    </cfRule>
    <cfRule type="expression" dxfId="305" priority="77" stopIfTrue="1">
      <formula>$K27=""</formula>
    </cfRule>
    <cfRule type="expression" priority="78" stopIfTrue="1">
      <formula>$K27="-"</formula>
    </cfRule>
    <cfRule type="expression" dxfId="304" priority="79" stopIfTrue="1">
      <formula>$K27=0</formula>
    </cfRule>
    <cfRule type="expression" dxfId="303" priority="80" stopIfTrue="1">
      <formula>$K27&lt;&gt;""</formula>
    </cfRule>
  </conditionalFormatting>
  <conditionalFormatting sqref="M27">
    <cfRule type="expression" priority="1" stopIfTrue="1">
      <formula>#REF!="COMP"</formula>
    </cfRule>
    <cfRule type="expression" dxfId="302" priority="2" stopIfTrue="1">
      <formula>#REF!=""</formula>
    </cfRule>
    <cfRule type="expression" priority="3" stopIfTrue="1">
      <formula>#REF!="-"</formula>
    </cfRule>
    <cfRule type="expression" dxfId="301" priority="4" stopIfTrue="1">
      <formula>#REF!=0</formula>
    </cfRule>
    <cfRule type="expression" dxfId="300" priority="5" stopIfTrue="1">
      <formula>#REF!&lt;&gt;""</formula>
    </cfRule>
  </conditionalFormatting>
  <hyperlinks>
    <hyperlink ref="A1:P1" location="TEMPLATE!A1" display="TEMPLATE!A1"/>
    <hyperlink ref="P13:P17" r:id="rId1" display="(資料)kzw-Thai加工等問い合わせ回答\20181226_【内研加工限界】\内研加工限界.pdf"/>
  </hyperlinks>
  <pageMargins left="0.70866141732283472" right="0.70866141732283472" top="0.74803149606299213" bottom="0.74803149606299213" header="0.31496062992125984" footer="0.31496062992125984"/>
  <pageSetup paperSize="9" scale="54"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00B0F0"/>
    <pageSetUpPr fitToPage="1"/>
  </sheetPr>
  <dimension ref="A1:P120"/>
  <sheetViews>
    <sheetView showGridLines="0" view="pageBreakPreview" topLeftCell="A92" zoomScale="55" zoomScaleNormal="85" zoomScaleSheetLayoutView="55" workbookViewId="0">
      <selection activeCell="E17" sqref="E17"/>
    </sheetView>
  </sheetViews>
  <sheetFormatPr defaultRowHeight="13.8"/>
  <cols>
    <col min="1" max="1" width="10.5" style="1009" customWidth="1"/>
    <col min="2" max="2" width="19.3984375" bestFit="1" customWidth="1"/>
    <col min="3" max="3" width="11.69921875" bestFit="1" customWidth="1"/>
    <col min="4" max="4" width="5.59765625" customWidth="1"/>
    <col min="5" max="5" width="28" bestFit="1" customWidth="1"/>
    <col min="6" max="6" width="12.69921875" bestFit="1" customWidth="1"/>
    <col min="7" max="7" width="6.59765625" bestFit="1" customWidth="1"/>
    <col min="8" max="10" width="5.59765625" style="13" customWidth="1"/>
    <col min="11" max="11" width="5.59765625" customWidth="1"/>
    <col min="12" max="12" width="5.59765625" style="7" customWidth="1"/>
    <col min="13" max="13" width="48.8984375" bestFit="1" customWidth="1"/>
    <col min="14" max="14" width="34.59765625" bestFit="1" customWidth="1"/>
    <col min="15" max="15" width="6.3984375" style="91" bestFit="1" customWidth="1"/>
    <col min="16" max="16" width="6.8984375" style="91" bestFit="1" customWidth="1"/>
  </cols>
  <sheetData>
    <row r="1" spans="1:16">
      <c r="A1" s="2099" t="s">
        <v>1064</v>
      </c>
      <c r="B1" s="2099"/>
      <c r="C1" s="2099"/>
      <c r="D1" s="2099"/>
      <c r="E1" s="2099"/>
      <c r="F1" s="2099"/>
      <c r="G1" s="2099"/>
      <c r="H1" s="2099"/>
      <c r="I1" s="2099"/>
      <c r="J1" s="2099"/>
      <c r="K1" s="2099"/>
      <c r="L1" s="2099"/>
      <c r="M1" s="2099"/>
      <c r="N1" s="2099"/>
      <c r="O1" s="2099"/>
      <c r="P1" s="744"/>
    </row>
    <row r="2" spans="1:16" ht="30" customHeight="1">
      <c r="A2" s="2396" t="s">
        <v>5</v>
      </c>
      <c r="B2" s="1993"/>
      <c r="C2" s="1993"/>
      <c r="D2" s="1993"/>
      <c r="E2" s="1993"/>
      <c r="F2" s="2093" t="s">
        <v>268</v>
      </c>
      <c r="G2" s="2094"/>
      <c r="H2" s="2089"/>
      <c r="I2" s="2090"/>
      <c r="J2" s="2090"/>
      <c r="K2" s="2090"/>
      <c r="L2" s="2091"/>
      <c r="M2" s="837" t="s">
        <v>1187</v>
      </c>
      <c r="N2" s="904"/>
      <c r="O2" s="920"/>
      <c r="P2" s="1008"/>
    </row>
    <row r="3" spans="1:16" ht="30" customHeight="1">
      <c r="A3" s="2396"/>
      <c r="B3" s="1993"/>
      <c r="C3" s="1993"/>
      <c r="D3" s="1993"/>
      <c r="E3" s="1993"/>
      <c r="F3" s="2006" t="s">
        <v>1249</v>
      </c>
      <c r="G3" s="2006"/>
      <c r="H3" s="2089"/>
      <c r="I3" s="2090"/>
      <c r="J3" s="2090"/>
      <c r="K3" s="2090"/>
      <c r="L3" s="2091"/>
      <c r="M3" s="1099"/>
      <c r="N3" s="35"/>
      <c r="O3" s="921"/>
      <c r="P3" s="1008"/>
    </row>
    <row r="4" spans="1:16" ht="30" customHeight="1">
      <c r="A4" s="2396" t="s">
        <v>38</v>
      </c>
      <c r="B4" s="1993"/>
      <c r="C4" s="1993"/>
      <c r="D4" s="1993"/>
      <c r="E4" s="1993"/>
      <c r="F4" s="2007" t="s">
        <v>1250</v>
      </c>
      <c r="G4" s="2007"/>
      <c r="H4" s="2089"/>
      <c r="I4" s="2090"/>
      <c r="J4" s="2090"/>
      <c r="K4" s="2090"/>
      <c r="L4" s="2091"/>
      <c r="M4" s="1099"/>
      <c r="N4" s="35"/>
      <c r="O4" s="921"/>
      <c r="P4" s="1008"/>
    </row>
    <row r="5" spans="1:16" ht="30" customHeight="1">
      <c r="A5" s="2396"/>
      <c r="B5" s="1993"/>
      <c r="C5" s="1993"/>
      <c r="D5" s="1993"/>
      <c r="E5" s="1993"/>
      <c r="F5" s="2008" t="s">
        <v>269</v>
      </c>
      <c r="G5" s="2008"/>
      <c r="H5" s="2089"/>
      <c r="I5" s="2090"/>
      <c r="J5" s="2090"/>
      <c r="K5" s="2090"/>
      <c r="L5" s="2091"/>
      <c r="M5" s="1100"/>
      <c r="N5" s="905"/>
      <c r="O5" s="922"/>
      <c r="P5" s="1008"/>
    </row>
    <row r="6" spans="1:16" ht="60" customHeight="1">
      <c r="A6" s="1107" t="s">
        <v>1227</v>
      </c>
      <c r="B6" s="1000" t="s">
        <v>6</v>
      </c>
      <c r="C6" s="1000" t="s">
        <v>168</v>
      </c>
      <c r="D6" s="1037" t="s">
        <v>1251</v>
      </c>
      <c r="E6" s="82" t="s">
        <v>64</v>
      </c>
      <c r="F6" s="2001" t="s">
        <v>1</v>
      </c>
      <c r="G6" s="2002"/>
      <c r="H6" s="2003"/>
      <c r="I6" s="1038" t="s">
        <v>66</v>
      </c>
      <c r="J6" s="1038" t="s">
        <v>1247</v>
      </c>
      <c r="K6" s="1039" t="s">
        <v>1248</v>
      </c>
      <c r="L6" s="1040" t="s">
        <v>2</v>
      </c>
      <c r="M6" s="1000" t="s">
        <v>1256</v>
      </c>
      <c r="N6" s="1000" t="s">
        <v>1257</v>
      </c>
      <c r="O6" s="1101" t="s">
        <v>183</v>
      </c>
      <c r="P6" s="1008"/>
    </row>
    <row r="7" spans="1:16" ht="20.100000000000001" customHeight="1">
      <c r="A7" s="2379" t="s">
        <v>1274</v>
      </c>
      <c r="B7" s="2380" t="s">
        <v>659</v>
      </c>
      <c r="C7" s="1006" t="s">
        <v>459</v>
      </c>
      <c r="D7" s="1058"/>
      <c r="E7" s="1058"/>
      <c r="F7" s="2383"/>
      <c r="G7" s="2384"/>
      <c r="H7" s="2385"/>
      <c r="I7" s="1058"/>
      <c r="J7" s="1058"/>
      <c r="K7" s="1058"/>
      <c r="L7" s="1058"/>
      <c r="M7" s="1095" t="s">
        <v>1266</v>
      </c>
      <c r="N7" s="1102" t="s">
        <v>1277</v>
      </c>
      <c r="O7" s="1102"/>
      <c r="P7"/>
    </row>
    <row r="8" spans="1:16" ht="20.100000000000001" customHeight="1">
      <c r="A8" s="2134"/>
      <c r="B8" s="2381"/>
      <c r="C8" s="2157" t="s">
        <v>464</v>
      </c>
      <c r="D8" s="262"/>
      <c r="E8" s="262" t="s">
        <v>465</v>
      </c>
      <c r="F8" s="319" t="s">
        <v>466</v>
      </c>
      <c r="G8" s="351"/>
      <c r="H8" s="470"/>
      <c r="I8" s="264"/>
      <c r="J8" s="264"/>
      <c r="K8" s="265"/>
      <c r="L8" s="265"/>
      <c r="M8" s="460"/>
      <c r="N8" s="2387" t="s">
        <v>658</v>
      </c>
      <c r="O8" s="114" t="str">
        <f>HYPERLINK(VLOOKUP(F8,LINK,2,FALSE),VLOOKUP(F8,LINK,3,FALSE))</f>
        <v>EXCEL</v>
      </c>
      <c r="P8"/>
    </row>
    <row r="9" spans="1:16" ht="20.100000000000001" hidden="1" customHeight="1">
      <c r="A9" s="2134"/>
      <c r="B9" s="2381"/>
      <c r="C9" s="2386"/>
      <c r="D9" s="896"/>
      <c r="E9" s="896" t="s">
        <v>467</v>
      </c>
      <c r="F9" s="898" t="s">
        <v>541</v>
      </c>
      <c r="G9" s="899" t="s">
        <v>542</v>
      </c>
      <c r="H9" s="901"/>
      <c r="I9" s="896" t="s">
        <v>468</v>
      </c>
      <c r="J9" s="896"/>
      <c r="K9" s="900"/>
      <c r="L9" s="900"/>
      <c r="M9" s="902"/>
      <c r="N9" s="2388"/>
      <c r="O9" s="2390"/>
      <c r="P9"/>
    </row>
    <row r="10" spans="1:16" ht="20.100000000000001" hidden="1" customHeight="1">
      <c r="A10" s="2134"/>
      <c r="B10" s="2381"/>
      <c r="C10" s="2386"/>
      <c r="D10" s="896"/>
      <c r="E10" s="896" t="s">
        <v>469</v>
      </c>
      <c r="F10" s="898" t="s">
        <v>520</v>
      </c>
      <c r="G10" s="899" t="s">
        <v>655</v>
      </c>
      <c r="H10" s="901"/>
      <c r="I10" s="896" t="s">
        <v>468</v>
      </c>
      <c r="J10" s="896"/>
      <c r="K10" s="900"/>
      <c r="L10" s="900"/>
      <c r="M10" s="902"/>
      <c r="N10" s="2388"/>
      <c r="O10" s="2391"/>
      <c r="P10"/>
    </row>
    <row r="11" spans="1:16" ht="20.100000000000001" customHeight="1">
      <c r="A11" s="2134"/>
      <c r="B11" s="2381"/>
      <c r="C11" s="2158"/>
      <c r="D11" s="268"/>
      <c r="E11" s="268" t="s">
        <v>470</v>
      </c>
      <c r="F11" s="356" t="s">
        <v>471</v>
      </c>
      <c r="G11" s="357"/>
      <c r="H11" s="471"/>
      <c r="I11" s="270"/>
      <c r="J11" s="270"/>
      <c r="K11" s="271"/>
      <c r="L11" s="271"/>
      <c r="M11" s="461"/>
      <c r="N11" s="2388"/>
      <c r="O11" s="114" t="str">
        <f>HYPERLINK(VLOOKUP(F11,LINK,2,FALSE),VLOOKUP(F11,LINK,3,FALSE))</f>
        <v>EXCEL</v>
      </c>
      <c r="P11"/>
    </row>
    <row r="12" spans="1:16" ht="20.100000000000001" customHeight="1">
      <c r="A12" s="2134"/>
      <c r="B12" s="2382"/>
      <c r="C12" s="360" t="s">
        <v>472</v>
      </c>
      <c r="D12" s="360"/>
      <c r="E12" s="360" t="s">
        <v>465</v>
      </c>
      <c r="F12" s="338" t="s">
        <v>473</v>
      </c>
      <c r="G12" s="361"/>
      <c r="H12" s="472"/>
      <c r="I12" s="363"/>
      <c r="J12" s="363"/>
      <c r="K12" s="364"/>
      <c r="L12" s="364"/>
      <c r="M12" s="462"/>
      <c r="N12" s="2389"/>
      <c r="O12" s="115" t="str">
        <f>HYPERLINK(VLOOKUP(F12,LINK,2,FALSE),VLOOKUP(F12,LINK,3,FALSE))</f>
        <v>EXCEL</v>
      </c>
      <c r="P12"/>
    </row>
    <row r="13" spans="1:16" ht="20.100000000000001" customHeight="1">
      <c r="A13" s="2379" t="s">
        <v>1275</v>
      </c>
      <c r="B13" s="2416" t="s">
        <v>660</v>
      </c>
      <c r="C13" s="2272" t="s">
        <v>1018</v>
      </c>
      <c r="D13" s="366"/>
      <c r="E13" s="367" t="s">
        <v>639</v>
      </c>
      <c r="F13" s="368" t="s">
        <v>640</v>
      </c>
      <c r="G13" s="369"/>
      <c r="H13" s="454"/>
      <c r="I13" s="371"/>
      <c r="J13" s="371"/>
      <c r="K13" s="372"/>
      <c r="L13" s="372"/>
      <c r="M13" s="433" t="s">
        <v>28</v>
      </c>
      <c r="N13" s="2407" t="s">
        <v>641</v>
      </c>
      <c r="O13" s="2018" t="str">
        <f>HYPERLINK(VLOOKUP(F13,LINK,2,FALSE),VLOOKUP(F13,LINK,3,FALSE))</f>
        <v>EXCEL</v>
      </c>
      <c r="P13" s="743" t="s">
        <v>1050</v>
      </c>
    </row>
    <row r="14" spans="1:16" ht="20.100000000000001" customHeight="1">
      <c r="A14" s="2134"/>
      <c r="B14" s="2417"/>
      <c r="C14" s="2273"/>
      <c r="D14" s="373"/>
      <c r="E14" s="374" t="s">
        <v>642</v>
      </c>
      <c r="F14" s="375" t="s">
        <v>643</v>
      </c>
      <c r="G14" s="376"/>
      <c r="H14" s="455"/>
      <c r="I14" s="378"/>
      <c r="J14" s="378"/>
      <c r="K14" s="379"/>
      <c r="L14" s="379"/>
      <c r="M14" s="434"/>
      <c r="N14" s="2407"/>
      <c r="O14" s="2019"/>
      <c r="P14" s="743" t="s">
        <v>1049</v>
      </c>
    </row>
    <row r="15" spans="1:16" ht="20.100000000000001" customHeight="1">
      <c r="A15" s="2134"/>
      <c r="B15" s="2417"/>
      <c r="C15" s="2273"/>
      <c r="D15" s="373"/>
      <c r="E15" s="374" t="s">
        <v>644</v>
      </c>
      <c r="F15" s="375" t="s">
        <v>645</v>
      </c>
      <c r="G15" s="376"/>
      <c r="H15" s="455"/>
      <c r="I15" s="378"/>
      <c r="J15" s="378"/>
      <c r="K15" s="379"/>
      <c r="L15" s="379"/>
      <c r="M15" s="434"/>
      <c r="N15" s="2407"/>
      <c r="O15" s="2019"/>
      <c r="P15"/>
    </row>
    <row r="16" spans="1:16" ht="20.100000000000001" customHeight="1">
      <c r="A16" s="2134"/>
      <c r="B16" s="2417"/>
      <c r="C16" s="2273"/>
      <c r="D16" s="373"/>
      <c r="E16" s="374" t="s">
        <v>646</v>
      </c>
      <c r="F16" s="375" t="s">
        <v>647</v>
      </c>
      <c r="G16" s="376"/>
      <c r="H16" s="455"/>
      <c r="I16" s="378"/>
      <c r="J16" s="378"/>
      <c r="K16" s="379"/>
      <c r="L16" s="379"/>
      <c r="M16" s="2419" t="s">
        <v>69</v>
      </c>
      <c r="N16" s="2407"/>
      <c r="O16" s="2019"/>
      <c r="P16"/>
    </row>
    <row r="17" spans="1:16" ht="20.100000000000001" customHeight="1">
      <c r="A17" s="2134"/>
      <c r="B17" s="2417"/>
      <c r="C17" s="2273"/>
      <c r="D17" s="373"/>
      <c r="E17" s="374" t="s">
        <v>648</v>
      </c>
      <c r="F17" s="375" t="s">
        <v>29</v>
      </c>
      <c r="G17" s="376"/>
      <c r="H17" s="455"/>
      <c r="I17" s="378"/>
      <c r="J17" s="378"/>
      <c r="K17" s="379"/>
      <c r="L17" s="379"/>
      <c r="M17" s="2419"/>
      <c r="N17" s="2407"/>
      <c r="O17" s="2019"/>
      <c r="P17"/>
    </row>
    <row r="18" spans="1:16" ht="20.100000000000001" customHeight="1">
      <c r="A18" s="2134"/>
      <c r="B18" s="2417"/>
      <c r="C18" s="2273"/>
      <c r="D18" s="373"/>
      <c r="E18" s="374" t="s">
        <v>646</v>
      </c>
      <c r="F18" s="375" t="s">
        <v>649</v>
      </c>
      <c r="G18" s="376"/>
      <c r="H18" s="455"/>
      <c r="I18" s="378"/>
      <c r="J18" s="378"/>
      <c r="K18" s="379"/>
      <c r="L18" s="379"/>
      <c r="M18" s="2419"/>
      <c r="N18" s="2407"/>
      <c r="O18" s="2019"/>
      <c r="P18"/>
    </row>
    <row r="19" spans="1:16" ht="20.100000000000001" customHeight="1">
      <c r="A19" s="2134"/>
      <c r="B19" s="2418"/>
      <c r="C19" s="2274"/>
      <c r="D19" s="380"/>
      <c r="E19" s="381" t="s">
        <v>648</v>
      </c>
      <c r="F19" s="382" t="s">
        <v>650</v>
      </c>
      <c r="G19" s="383"/>
      <c r="H19" s="456"/>
      <c r="I19" s="385"/>
      <c r="J19" s="385"/>
      <c r="K19" s="386"/>
      <c r="L19" s="386"/>
      <c r="M19" s="2420"/>
      <c r="N19" s="2407"/>
      <c r="O19" s="2020"/>
      <c r="P19"/>
    </row>
    <row r="20" spans="1:16" ht="20.100000000000001" customHeight="1">
      <c r="A20" s="2134">
        <v>1061</v>
      </c>
      <c r="B20" s="2361" t="s">
        <v>661</v>
      </c>
      <c r="C20" s="2421" t="s">
        <v>662</v>
      </c>
      <c r="D20" s="387"/>
      <c r="E20" s="388" t="s">
        <v>663</v>
      </c>
      <c r="F20" s="368" t="s">
        <v>664</v>
      </c>
      <c r="G20" s="369"/>
      <c r="H20" s="454"/>
      <c r="I20" s="371"/>
      <c r="J20" s="1103"/>
      <c r="K20" s="463"/>
      <c r="L20" s="463"/>
      <c r="M20" s="3" t="s">
        <v>707</v>
      </c>
      <c r="N20" s="2407" t="s">
        <v>665</v>
      </c>
      <c r="O20" s="2018" t="str">
        <f>HYPERLINK(VLOOKUP(F20,LINK,2,FALSE),VLOOKUP(F20,LINK,3,FALSE))</f>
        <v>EXCEL</v>
      </c>
      <c r="P20"/>
    </row>
    <row r="21" spans="1:16" ht="20.100000000000001" customHeight="1">
      <c r="A21" s="2134"/>
      <c r="B21" s="2362"/>
      <c r="C21" s="2422"/>
      <c r="D21" s="393"/>
      <c r="E21" s="394" t="s">
        <v>666</v>
      </c>
      <c r="F21" s="375" t="s">
        <v>667</v>
      </c>
      <c r="G21" s="376"/>
      <c r="H21" s="455"/>
      <c r="I21" s="378"/>
      <c r="J21" s="1055"/>
      <c r="K21" s="395"/>
      <c r="L21" s="395"/>
      <c r="M21" s="436" t="s">
        <v>102</v>
      </c>
      <c r="N21" s="2407"/>
      <c r="O21" s="2019"/>
      <c r="P21"/>
    </row>
    <row r="22" spans="1:16" ht="20.100000000000001" customHeight="1">
      <c r="A22" s="2134"/>
      <c r="B22" s="2362"/>
      <c r="C22" s="2422"/>
      <c r="D22" s="396"/>
      <c r="E22" s="397" t="s">
        <v>668</v>
      </c>
      <c r="F22" s="398" t="s">
        <v>529</v>
      </c>
      <c r="G22" s="399"/>
      <c r="H22" s="400" t="s">
        <v>698</v>
      </c>
      <c r="I22" s="401"/>
      <c r="J22" s="1056"/>
      <c r="K22" s="402"/>
      <c r="L22" s="402"/>
      <c r="M22" s="437" t="s">
        <v>129</v>
      </c>
      <c r="N22" s="2407"/>
      <c r="O22" s="2019"/>
      <c r="P22"/>
    </row>
    <row r="23" spans="1:16" ht="20.100000000000001" hidden="1" customHeight="1">
      <c r="A23" s="2134"/>
      <c r="B23" s="2362"/>
      <c r="C23" s="2422"/>
      <c r="D23" s="403"/>
      <c r="E23" s="404" t="s">
        <v>669</v>
      </c>
      <c r="F23" s="405" t="s">
        <v>530</v>
      </c>
      <c r="G23" s="406"/>
      <c r="H23" s="411" t="s">
        <v>699</v>
      </c>
      <c r="I23" s="408"/>
      <c r="J23" s="1104"/>
      <c r="K23" s="409"/>
      <c r="L23" s="410"/>
      <c r="M23" s="438" t="s">
        <v>95</v>
      </c>
      <c r="N23" s="2407"/>
      <c r="O23" s="2019"/>
      <c r="P23"/>
    </row>
    <row r="24" spans="1:16" ht="20.100000000000001" hidden="1" customHeight="1">
      <c r="A24" s="2134"/>
      <c r="B24" s="2362"/>
      <c r="C24" s="2422"/>
      <c r="D24" s="403"/>
      <c r="E24" s="404" t="s">
        <v>670</v>
      </c>
      <c r="F24" s="405" t="s">
        <v>532</v>
      </c>
      <c r="G24" s="406"/>
      <c r="H24" s="473"/>
      <c r="I24" s="408"/>
      <c r="J24" s="1104"/>
      <c r="K24" s="409"/>
      <c r="L24" s="410"/>
      <c r="M24" s="438" t="s">
        <v>95</v>
      </c>
      <c r="N24" s="2407"/>
      <c r="O24" s="2019"/>
      <c r="P24"/>
    </row>
    <row r="25" spans="1:16" ht="20.100000000000001" hidden="1" customHeight="1">
      <c r="A25" s="2134"/>
      <c r="B25" s="2362"/>
      <c r="C25" s="2422"/>
      <c r="D25" s="403"/>
      <c r="E25" s="404" t="s">
        <v>671</v>
      </c>
      <c r="F25" s="405" t="s">
        <v>533</v>
      </c>
      <c r="G25" s="406"/>
      <c r="H25" s="473"/>
      <c r="I25" s="408"/>
      <c r="J25" s="1104"/>
      <c r="K25" s="409"/>
      <c r="L25" s="410"/>
      <c r="M25" s="438" t="s">
        <v>95</v>
      </c>
      <c r="N25" s="2407"/>
      <c r="O25" s="2019"/>
      <c r="P25"/>
    </row>
    <row r="26" spans="1:16" ht="20.100000000000001" customHeight="1">
      <c r="A26" s="2134"/>
      <c r="B26" s="2362"/>
      <c r="C26" s="2422"/>
      <c r="D26" s="393"/>
      <c r="E26" s="394" t="s">
        <v>672</v>
      </c>
      <c r="F26" s="375" t="s">
        <v>673</v>
      </c>
      <c r="G26" s="376"/>
      <c r="H26" s="455"/>
      <c r="I26" s="378"/>
      <c r="J26" s="1055"/>
      <c r="K26" s="395"/>
      <c r="L26" s="395"/>
      <c r="M26" s="436" t="s">
        <v>615</v>
      </c>
      <c r="N26" s="2407"/>
      <c r="O26" s="2019"/>
      <c r="P26"/>
    </row>
    <row r="27" spans="1:16" ht="20.100000000000001" customHeight="1">
      <c r="A27" s="2134"/>
      <c r="B27" s="2362"/>
      <c r="C27" s="2422"/>
      <c r="D27" s="876"/>
      <c r="E27" s="404" t="s">
        <v>674</v>
      </c>
      <c r="F27" s="405" t="s">
        <v>675</v>
      </c>
      <c r="G27" s="406"/>
      <c r="H27" s="473"/>
      <c r="I27" s="880"/>
      <c r="J27" s="1057"/>
      <c r="K27" s="894"/>
      <c r="L27" s="894"/>
      <c r="M27" s="438" t="s">
        <v>129</v>
      </c>
      <c r="N27" s="2407"/>
      <c r="O27" s="2019"/>
      <c r="P27"/>
    </row>
    <row r="28" spans="1:16" ht="20.100000000000001" customHeight="1">
      <c r="A28" s="2134"/>
      <c r="B28" s="2362"/>
      <c r="C28" s="2422"/>
      <c r="D28" s="393"/>
      <c r="E28" s="394" t="s">
        <v>676</v>
      </c>
      <c r="F28" s="375" t="s">
        <v>677</v>
      </c>
      <c r="G28" s="376"/>
      <c r="H28" s="455"/>
      <c r="I28" s="378"/>
      <c r="J28" s="1055"/>
      <c r="K28" s="395"/>
      <c r="L28" s="395"/>
      <c r="M28" s="436"/>
      <c r="N28" s="2407"/>
      <c r="O28" s="2019"/>
      <c r="P28"/>
    </row>
    <row r="29" spans="1:16" ht="20.100000000000001" customHeight="1">
      <c r="A29" s="2134"/>
      <c r="B29" s="2362"/>
      <c r="C29" s="2422"/>
      <c r="D29" s="393"/>
      <c r="E29" s="374" t="s">
        <v>678</v>
      </c>
      <c r="F29" s="375" t="s">
        <v>679</v>
      </c>
      <c r="G29" s="376"/>
      <c r="H29" s="455"/>
      <c r="I29" s="378"/>
      <c r="J29" s="1055"/>
      <c r="K29" s="395"/>
      <c r="L29" s="395"/>
      <c r="M29" s="2" t="s">
        <v>706</v>
      </c>
      <c r="N29" s="2407"/>
      <c r="O29" s="2019"/>
      <c r="P29"/>
    </row>
    <row r="30" spans="1:16" ht="20.100000000000001" customHeight="1">
      <c r="A30" s="2134"/>
      <c r="B30" s="2362"/>
      <c r="C30" s="2422"/>
      <c r="D30" s="393"/>
      <c r="E30" s="394" t="s">
        <v>680</v>
      </c>
      <c r="F30" s="375" t="s">
        <v>681</v>
      </c>
      <c r="G30" s="376"/>
      <c r="H30" s="455"/>
      <c r="I30" s="378"/>
      <c r="J30" s="1055"/>
      <c r="K30" s="395"/>
      <c r="L30" s="395"/>
      <c r="M30" s="1061" t="s">
        <v>616</v>
      </c>
      <c r="N30" s="2407"/>
      <c r="O30" s="2019"/>
      <c r="P30"/>
    </row>
    <row r="31" spans="1:16" ht="20.100000000000001" customHeight="1">
      <c r="A31" s="2134"/>
      <c r="B31" s="2362"/>
      <c r="C31" s="2422"/>
      <c r="D31" s="393"/>
      <c r="E31" s="394" t="s">
        <v>682</v>
      </c>
      <c r="F31" s="375" t="s">
        <v>683</v>
      </c>
      <c r="G31" s="376"/>
      <c r="H31" s="455"/>
      <c r="I31" s="378"/>
      <c r="J31" s="1055"/>
      <c r="K31" s="395"/>
      <c r="L31" s="395"/>
      <c r="M31" s="1061" t="s">
        <v>617</v>
      </c>
      <c r="N31" s="2407"/>
      <c r="O31" s="2019"/>
      <c r="P31"/>
    </row>
    <row r="32" spans="1:16" ht="39.9" customHeight="1">
      <c r="A32" s="2134"/>
      <c r="B32" s="2362"/>
      <c r="C32" s="2422"/>
      <c r="D32" s="393"/>
      <c r="E32" s="394" t="s">
        <v>583</v>
      </c>
      <c r="F32" s="375" t="s">
        <v>684</v>
      </c>
      <c r="G32" s="376"/>
      <c r="H32" s="455"/>
      <c r="I32" s="378"/>
      <c r="J32" s="1055"/>
      <c r="K32" s="395"/>
      <c r="L32" s="395"/>
      <c r="M32" s="1063" t="s">
        <v>143</v>
      </c>
      <c r="N32" s="2407"/>
      <c r="O32" s="2019"/>
      <c r="P32"/>
    </row>
    <row r="33" spans="1:16" ht="20.100000000000001" hidden="1" customHeight="1">
      <c r="A33" s="2134"/>
      <c r="B33" s="2362"/>
      <c r="C33" s="2422"/>
      <c r="D33" s="876"/>
      <c r="E33" s="877" t="s">
        <v>685</v>
      </c>
      <c r="F33" s="878" t="s">
        <v>700</v>
      </c>
      <c r="G33" s="879"/>
      <c r="H33" s="897" t="s">
        <v>701</v>
      </c>
      <c r="I33" s="880"/>
      <c r="J33" s="880"/>
      <c r="K33" s="410"/>
      <c r="L33" s="410"/>
      <c r="M33" s="903" t="s">
        <v>94</v>
      </c>
      <c r="N33" s="2407"/>
      <c r="O33" s="2019"/>
      <c r="P33"/>
    </row>
    <row r="34" spans="1:16" ht="20.100000000000001" hidden="1" customHeight="1">
      <c r="A34" s="2134"/>
      <c r="B34" s="2362"/>
      <c r="C34" s="2422"/>
      <c r="D34" s="2408"/>
      <c r="E34" s="2411" t="s">
        <v>686</v>
      </c>
      <c r="F34" s="890"/>
      <c r="G34" s="882" t="s">
        <v>702</v>
      </c>
      <c r="H34" s="883"/>
      <c r="I34" s="2412"/>
      <c r="J34" s="1018"/>
      <c r="K34" s="2412"/>
      <c r="L34" s="2412"/>
      <c r="M34" s="2425" t="s">
        <v>623</v>
      </c>
      <c r="N34" s="2407"/>
      <c r="O34" s="2019"/>
      <c r="P34"/>
    </row>
    <row r="35" spans="1:16" ht="20.100000000000001" hidden="1" customHeight="1">
      <c r="A35" s="2134"/>
      <c r="B35" s="2362"/>
      <c r="C35" s="2422"/>
      <c r="D35" s="2409"/>
      <c r="E35" s="2411"/>
      <c r="F35" s="884" t="s">
        <v>536</v>
      </c>
      <c r="G35" s="885" t="s">
        <v>534</v>
      </c>
      <c r="H35" s="886"/>
      <c r="I35" s="2413"/>
      <c r="J35" s="1019"/>
      <c r="K35" s="2413"/>
      <c r="L35" s="2413"/>
      <c r="M35" s="2426"/>
      <c r="N35" s="2407"/>
      <c r="O35" s="2019"/>
      <c r="P35"/>
    </row>
    <row r="36" spans="1:16" ht="20.100000000000001" hidden="1" customHeight="1">
      <c r="A36" s="2134"/>
      <c r="B36" s="2362"/>
      <c r="C36" s="2422"/>
      <c r="D36" s="2410"/>
      <c r="E36" s="2411"/>
      <c r="F36" s="887"/>
      <c r="G36" s="888" t="s">
        <v>703</v>
      </c>
      <c r="H36" s="889"/>
      <c r="I36" s="2414"/>
      <c r="J36" s="1020"/>
      <c r="K36" s="2414"/>
      <c r="L36" s="2414"/>
      <c r="M36" s="2428"/>
      <c r="N36" s="2407"/>
      <c r="O36" s="2019"/>
      <c r="P36"/>
    </row>
    <row r="37" spans="1:16" ht="20.100000000000001" hidden="1" customHeight="1">
      <c r="A37" s="2134"/>
      <c r="B37" s="2362"/>
      <c r="C37" s="2422"/>
      <c r="D37" s="2408"/>
      <c r="E37" s="2411" t="s">
        <v>687</v>
      </c>
      <c r="F37" s="890"/>
      <c r="G37" s="882" t="s">
        <v>704</v>
      </c>
      <c r="H37" s="883"/>
      <c r="I37" s="2404"/>
      <c r="J37" s="1010"/>
      <c r="K37" s="2404"/>
      <c r="L37" s="2404"/>
      <c r="M37" s="2425" t="s">
        <v>624</v>
      </c>
      <c r="N37" s="2407"/>
      <c r="O37" s="2019"/>
      <c r="P37"/>
    </row>
    <row r="38" spans="1:16" ht="20.100000000000001" hidden="1" customHeight="1">
      <c r="A38" s="2134"/>
      <c r="B38" s="2362"/>
      <c r="C38" s="2422"/>
      <c r="D38" s="2409"/>
      <c r="E38" s="2411"/>
      <c r="F38" s="884" t="s">
        <v>536</v>
      </c>
      <c r="G38" s="885" t="s">
        <v>535</v>
      </c>
      <c r="H38" s="886"/>
      <c r="I38" s="2405"/>
      <c r="J38" s="1011"/>
      <c r="K38" s="2405"/>
      <c r="L38" s="2405"/>
      <c r="M38" s="2426"/>
      <c r="N38" s="2407"/>
      <c r="O38" s="2019"/>
      <c r="P38"/>
    </row>
    <row r="39" spans="1:16" ht="20.100000000000001" hidden="1" customHeight="1">
      <c r="A39" s="2134"/>
      <c r="B39" s="2363"/>
      <c r="C39" s="2423"/>
      <c r="D39" s="2415"/>
      <c r="E39" s="2424"/>
      <c r="F39" s="891"/>
      <c r="G39" s="892" t="s">
        <v>705</v>
      </c>
      <c r="H39" s="893"/>
      <c r="I39" s="2406"/>
      <c r="J39" s="1021"/>
      <c r="K39" s="2406"/>
      <c r="L39" s="2406"/>
      <c r="M39" s="2427"/>
      <c r="N39" s="2407"/>
      <c r="O39" s="2019"/>
      <c r="P39"/>
    </row>
    <row r="40" spans="1:16" ht="20.100000000000001" customHeight="1">
      <c r="A40" s="1048">
        <v>2501</v>
      </c>
      <c r="B40" s="2402" t="s">
        <v>688</v>
      </c>
      <c r="C40" s="2403"/>
      <c r="D40" s="414"/>
      <c r="E40" s="464" t="s">
        <v>689</v>
      </c>
      <c r="F40" s="474" t="s">
        <v>690</v>
      </c>
      <c r="G40" s="475"/>
      <c r="H40" s="465"/>
      <c r="I40" s="180"/>
      <c r="J40" s="1007"/>
      <c r="K40" s="1007"/>
      <c r="L40" s="466"/>
      <c r="M40" s="479" t="s">
        <v>121</v>
      </c>
      <c r="N40" s="480" t="s">
        <v>122</v>
      </c>
      <c r="O40" s="2020"/>
      <c r="P40"/>
    </row>
    <row r="41" spans="1:16" s="7" customFormat="1" ht="20.100000000000001" customHeight="1">
      <c r="A41" s="2134">
        <v>2511</v>
      </c>
      <c r="B41" s="2375" t="s">
        <v>691</v>
      </c>
      <c r="C41" s="2376"/>
      <c r="D41" s="188"/>
      <c r="E41" s="367" t="s">
        <v>692</v>
      </c>
      <c r="F41" s="423" t="s">
        <v>693</v>
      </c>
      <c r="G41" s="424"/>
      <c r="H41" s="427"/>
      <c r="I41" s="188"/>
      <c r="J41" s="188"/>
      <c r="K41" s="188"/>
      <c r="L41" s="467"/>
      <c r="M41" s="305"/>
      <c r="N41" s="482" t="s">
        <v>1276</v>
      </c>
      <c r="O41" s="2018"/>
    </row>
    <row r="42" spans="1:16" s="7" customFormat="1" ht="20.100000000000001" customHeight="1">
      <c r="A42" s="2134"/>
      <c r="B42" s="2377"/>
      <c r="C42" s="2378"/>
      <c r="D42" s="193"/>
      <c r="E42" s="381" t="s">
        <v>692</v>
      </c>
      <c r="F42" s="425" t="s">
        <v>694</v>
      </c>
      <c r="G42" s="426"/>
      <c r="H42" s="457"/>
      <c r="I42" s="193"/>
      <c r="J42" s="1027"/>
      <c r="K42" s="1027"/>
      <c r="L42" s="229"/>
      <c r="M42" s="440"/>
      <c r="N42" s="483" t="s">
        <v>1276</v>
      </c>
      <c r="O42" s="2293"/>
    </row>
    <row r="43" spans="1:16" ht="20.100000000000001" customHeight="1">
      <c r="A43" s="1048">
        <v>2561</v>
      </c>
      <c r="B43" s="2402" t="s">
        <v>695</v>
      </c>
      <c r="C43" s="2403"/>
      <c r="D43" s="468"/>
      <c r="E43" s="469" t="s">
        <v>495</v>
      </c>
      <c r="F43" s="476" t="s">
        <v>696</v>
      </c>
      <c r="G43" s="477"/>
      <c r="H43" s="478"/>
      <c r="I43" s="468"/>
      <c r="J43" s="1002"/>
      <c r="K43" s="1002"/>
      <c r="L43" s="468"/>
      <c r="M43" s="481" t="s">
        <v>119</v>
      </c>
      <c r="N43" s="484" t="s">
        <v>697</v>
      </c>
      <c r="O43" s="92" t="str">
        <f>HYPERLINK(VLOOKUP(F43,LINK,2,FALSE),VLOOKUP(F43,LINK,3,FALSE))</f>
        <v>EXCEL</v>
      </c>
      <c r="P43"/>
    </row>
    <row r="46" spans="1:16">
      <c r="A46" s="2099" t="s">
        <v>1064</v>
      </c>
      <c r="B46" s="2099"/>
      <c r="C46" s="2099"/>
      <c r="D46" s="2099"/>
      <c r="E46" s="2099"/>
      <c r="F46" s="2099"/>
      <c r="G46" s="2099"/>
      <c r="H46" s="2099"/>
      <c r="I46" s="2099"/>
      <c r="J46" s="2099"/>
      <c r="K46" s="2099"/>
      <c r="L46" s="2099"/>
      <c r="M46" s="2099"/>
      <c r="N46" s="2099"/>
      <c r="O46" s="2099"/>
    </row>
    <row r="47" spans="1:16" ht="23.4" customHeight="1">
      <c r="A47" s="2396" t="s">
        <v>5</v>
      </c>
      <c r="B47" s="1993"/>
      <c r="C47" s="1993"/>
      <c r="D47" s="1993"/>
      <c r="E47" s="1993"/>
      <c r="F47" s="2093" t="s">
        <v>268</v>
      </c>
      <c r="G47" s="2094"/>
      <c r="H47" s="2089"/>
      <c r="I47" s="2090"/>
      <c r="J47" s="2090"/>
      <c r="K47" s="2090"/>
      <c r="L47" s="2091"/>
      <c r="M47" s="837" t="s">
        <v>1187</v>
      </c>
      <c r="N47" s="904"/>
      <c r="O47" s="920"/>
    </row>
    <row r="48" spans="1:16" ht="23.4" customHeight="1">
      <c r="A48" s="2396"/>
      <c r="B48" s="1993"/>
      <c r="C48" s="1993"/>
      <c r="D48" s="1993"/>
      <c r="E48" s="1993"/>
      <c r="F48" s="2006" t="s">
        <v>1249</v>
      </c>
      <c r="G48" s="2006"/>
      <c r="H48" s="2089"/>
      <c r="I48" s="2090"/>
      <c r="J48" s="2090"/>
      <c r="K48" s="2090"/>
      <c r="L48" s="2091"/>
      <c r="M48" s="1099"/>
      <c r="N48" s="35"/>
      <c r="O48" s="921"/>
    </row>
    <row r="49" spans="1:16" ht="23.4" customHeight="1">
      <c r="A49" s="2396" t="s">
        <v>38</v>
      </c>
      <c r="B49" s="1993"/>
      <c r="C49" s="1993"/>
      <c r="D49" s="1993"/>
      <c r="E49" s="1993"/>
      <c r="F49" s="2007" t="s">
        <v>1250</v>
      </c>
      <c r="G49" s="2007"/>
      <c r="H49" s="2089"/>
      <c r="I49" s="2090"/>
      <c r="J49" s="2090"/>
      <c r="K49" s="2090"/>
      <c r="L49" s="2091"/>
      <c r="M49" s="1099"/>
      <c r="N49" s="35"/>
      <c r="O49" s="921"/>
    </row>
    <row r="50" spans="1:16" ht="23.4" customHeight="1">
      <c r="A50" s="2396"/>
      <c r="B50" s="1993"/>
      <c r="C50" s="1993"/>
      <c r="D50" s="1993"/>
      <c r="E50" s="1993"/>
      <c r="F50" s="2008" t="s">
        <v>269</v>
      </c>
      <c r="G50" s="2008"/>
      <c r="H50" s="2089"/>
      <c r="I50" s="2090"/>
      <c r="J50" s="2090"/>
      <c r="K50" s="2090"/>
      <c r="L50" s="2091"/>
      <c r="M50" s="1100"/>
      <c r="N50" s="905"/>
      <c r="O50" s="922"/>
    </row>
    <row r="51" spans="1:16" ht="56.4">
      <c r="A51" s="1107" t="s">
        <v>1227</v>
      </c>
      <c r="B51" s="1069" t="s">
        <v>6</v>
      </c>
      <c r="C51" s="1069" t="s">
        <v>168</v>
      </c>
      <c r="D51" s="1037" t="s">
        <v>1251</v>
      </c>
      <c r="E51" s="82" t="s">
        <v>64</v>
      </c>
      <c r="F51" s="2001" t="s">
        <v>1</v>
      </c>
      <c r="G51" s="2002"/>
      <c r="H51" s="2003"/>
      <c r="I51" s="1038" t="s">
        <v>66</v>
      </c>
      <c r="J51" s="1038" t="s">
        <v>1247</v>
      </c>
      <c r="K51" s="1039" t="s">
        <v>1248</v>
      </c>
      <c r="L51" s="1040" t="s">
        <v>2</v>
      </c>
      <c r="M51" s="1069" t="s">
        <v>1256</v>
      </c>
      <c r="N51" s="1069" t="s">
        <v>1257</v>
      </c>
      <c r="O51" s="90" t="s">
        <v>183</v>
      </c>
    </row>
    <row r="52" spans="1:16" ht="20.100000000000001" customHeight="1">
      <c r="A52" s="2379" t="s">
        <v>1274</v>
      </c>
      <c r="B52" s="2380" t="s">
        <v>659</v>
      </c>
      <c r="C52" s="1244" t="s">
        <v>459</v>
      </c>
      <c r="D52" s="1058"/>
      <c r="E52" s="1058"/>
      <c r="F52" s="2383"/>
      <c r="G52" s="2384"/>
      <c r="H52" s="2385"/>
      <c r="I52" s="1058"/>
      <c r="J52" s="1058"/>
      <c r="K52" s="1058"/>
      <c r="L52" s="1058"/>
      <c r="M52" s="1095" t="s">
        <v>1266</v>
      </c>
      <c r="N52" s="1102" t="s">
        <v>1277</v>
      </c>
      <c r="O52" s="1102"/>
    </row>
    <row r="53" spans="1:16" ht="20.100000000000001" customHeight="1">
      <c r="A53" s="2134"/>
      <c r="B53" s="2381"/>
      <c r="C53" s="2157" t="s">
        <v>33</v>
      </c>
      <c r="D53" s="1242"/>
      <c r="E53" s="1242" t="s">
        <v>34</v>
      </c>
      <c r="F53" s="319" t="s">
        <v>25</v>
      </c>
      <c r="G53" s="351"/>
      <c r="H53" s="470"/>
      <c r="I53" s="264"/>
      <c r="J53" s="264"/>
      <c r="K53" s="265"/>
      <c r="L53" s="265"/>
      <c r="M53" s="460"/>
      <c r="N53" s="2387" t="s">
        <v>658</v>
      </c>
      <c r="O53" s="1241" t="str">
        <f>HYPERLINK(VLOOKUP(F53,LINK,2,FALSE),VLOOKUP(F53,LINK,3,FALSE))</f>
        <v>EXCEL</v>
      </c>
    </row>
    <row r="54" spans="1:16" ht="20.100000000000001" hidden="1" customHeight="1">
      <c r="A54" s="2134"/>
      <c r="B54" s="2381"/>
      <c r="C54" s="2386"/>
      <c r="D54" s="896"/>
      <c r="E54" s="896" t="s">
        <v>15</v>
      </c>
      <c r="F54" s="898" t="s">
        <v>520</v>
      </c>
      <c r="G54" s="899" t="s">
        <v>542</v>
      </c>
      <c r="H54" s="901"/>
      <c r="I54" s="896" t="s">
        <v>96</v>
      </c>
      <c r="J54" s="896"/>
      <c r="K54" s="900"/>
      <c r="L54" s="900"/>
      <c r="M54" s="902"/>
      <c r="N54" s="2388"/>
      <c r="O54" s="2390"/>
    </row>
    <row r="55" spans="1:16" ht="20.100000000000001" hidden="1" customHeight="1">
      <c r="A55" s="2134"/>
      <c r="B55" s="2381"/>
      <c r="C55" s="2386"/>
      <c r="D55" s="896"/>
      <c r="E55" s="896" t="s">
        <v>16</v>
      </c>
      <c r="F55" s="898" t="s">
        <v>520</v>
      </c>
      <c r="G55" s="899" t="s">
        <v>543</v>
      </c>
      <c r="H55" s="901"/>
      <c r="I55" s="896" t="s">
        <v>96</v>
      </c>
      <c r="J55" s="896"/>
      <c r="K55" s="900"/>
      <c r="L55" s="900"/>
      <c r="M55" s="902"/>
      <c r="N55" s="2388"/>
      <c r="O55" s="2391"/>
    </row>
    <row r="56" spans="1:16" ht="20.100000000000001" customHeight="1">
      <c r="A56" s="2134"/>
      <c r="B56" s="2381"/>
      <c r="C56" s="2158"/>
      <c r="D56" s="1243"/>
      <c r="E56" s="1243" t="s">
        <v>26</v>
      </c>
      <c r="F56" s="356" t="s">
        <v>27</v>
      </c>
      <c r="G56" s="357"/>
      <c r="H56" s="471"/>
      <c r="I56" s="270"/>
      <c r="J56" s="270"/>
      <c r="K56" s="271"/>
      <c r="L56" s="271"/>
      <c r="M56" s="461"/>
      <c r="N56" s="2388"/>
      <c r="O56" s="1241" t="str">
        <f>HYPERLINK(VLOOKUP(F56,LINK,2,FALSE),VLOOKUP(F56,LINK,3,FALSE))</f>
        <v>EXCEL</v>
      </c>
    </row>
    <row r="57" spans="1:16" ht="20.100000000000001" customHeight="1">
      <c r="A57" s="2134"/>
      <c r="B57" s="2382"/>
      <c r="C57" s="1245" t="s">
        <v>35</v>
      </c>
      <c r="D57" s="1245"/>
      <c r="E57" s="1245" t="s">
        <v>34</v>
      </c>
      <c r="F57" s="338" t="s">
        <v>36</v>
      </c>
      <c r="G57" s="361"/>
      <c r="H57" s="472"/>
      <c r="I57" s="363"/>
      <c r="J57" s="363"/>
      <c r="K57" s="364"/>
      <c r="L57" s="364"/>
      <c r="M57" s="462"/>
      <c r="N57" s="2389"/>
      <c r="O57" s="258" t="str">
        <f>HYPERLINK(VLOOKUP(F57,LINK,2,FALSE),VLOOKUP(F57,LINK,3,FALSE))</f>
        <v>EXCEL</v>
      </c>
    </row>
    <row r="58" spans="1:16" ht="20.100000000000001" customHeight="1">
      <c r="A58" s="2392">
        <v>1061</v>
      </c>
      <c r="B58" s="2116" t="s">
        <v>77</v>
      </c>
      <c r="C58" s="2150" t="s">
        <v>589</v>
      </c>
      <c r="D58" s="188"/>
      <c r="E58" s="1246" t="s">
        <v>590</v>
      </c>
      <c r="F58" s="423" t="s">
        <v>591</v>
      </c>
      <c r="G58" s="424"/>
      <c r="H58" s="427"/>
      <c r="I58" s="188"/>
      <c r="J58" s="188"/>
      <c r="K58" s="188"/>
      <c r="L58" s="188"/>
      <c r="M58" s="188"/>
      <c r="N58" s="305" t="s">
        <v>620</v>
      </c>
      <c r="O58" s="2018" t="str">
        <f>HYPERLINK(VLOOKUP(F58,LINK,2,FALSE),VLOOKUP(F58,LINK,3,FALSE))</f>
        <v>EXCEL</v>
      </c>
      <c r="P58" s="1009"/>
    </row>
    <row r="59" spans="1:16" ht="20.100000000000001" customHeight="1">
      <c r="A59" s="2392"/>
      <c r="B59" s="2135"/>
      <c r="C59" s="2151"/>
      <c r="D59" s="1248"/>
      <c r="E59" s="1250" t="s">
        <v>592</v>
      </c>
      <c r="F59" s="425" t="s">
        <v>593</v>
      </c>
      <c r="G59" s="426"/>
      <c r="H59" s="457"/>
      <c r="I59" s="1248"/>
      <c r="J59" s="1248"/>
      <c r="K59" s="1248"/>
      <c r="L59" s="1248"/>
      <c r="M59" s="1248"/>
      <c r="N59" s="1248"/>
      <c r="O59" s="2020"/>
      <c r="P59" s="1009"/>
    </row>
    <row r="60" spans="1:16" ht="20.100000000000001" customHeight="1">
      <c r="A60" s="2392"/>
      <c r="B60" s="2135"/>
      <c r="C60" s="2055" t="s">
        <v>78</v>
      </c>
      <c r="D60" s="188"/>
      <c r="E60" s="303" t="s">
        <v>72</v>
      </c>
      <c r="F60" s="342" t="s">
        <v>81</v>
      </c>
      <c r="G60" s="343"/>
      <c r="H60" s="344"/>
      <c r="I60" s="188"/>
      <c r="J60" s="188"/>
      <c r="K60" s="188"/>
      <c r="L60" s="188"/>
      <c r="M60" s="305"/>
      <c r="N60" s="2393" t="s">
        <v>1052</v>
      </c>
      <c r="O60" s="2149" t="s">
        <v>1239</v>
      </c>
      <c r="P60" s="1009"/>
    </row>
    <row r="61" spans="1:16" ht="20.100000000000001" customHeight="1">
      <c r="A61" s="2392"/>
      <c r="B61" s="2135"/>
      <c r="C61" s="2055"/>
      <c r="D61" s="1247"/>
      <c r="E61" s="1251" t="s">
        <v>73</v>
      </c>
      <c r="F61" s="345" t="s">
        <v>83</v>
      </c>
      <c r="G61" s="346"/>
      <c r="H61" s="347"/>
      <c r="I61" s="1247"/>
      <c r="J61" s="1247"/>
      <c r="K61" s="1247"/>
      <c r="L61" s="1247"/>
      <c r="M61" s="306"/>
      <c r="N61" s="2394"/>
      <c r="O61" s="2149"/>
      <c r="P61" s="1009"/>
    </row>
    <row r="62" spans="1:16" ht="20.100000000000001" hidden="1" customHeight="1">
      <c r="A62" s="2392"/>
      <c r="B62" s="2135"/>
      <c r="C62" s="2055"/>
      <c r="D62" s="1110"/>
      <c r="E62" s="1111" t="s">
        <v>74</v>
      </c>
      <c r="F62" s="1112" t="s">
        <v>82</v>
      </c>
      <c r="G62" s="1113"/>
      <c r="H62" s="1114"/>
      <c r="I62" s="895"/>
      <c r="J62" s="895"/>
      <c r="K62" s="895"/>
      <c r="L62" s="895"/>
      <c r="M62" s="1097" t="s">
        <v>1271</v>
      </c>
      <c r="N62" s="2394"/>
      <c r="O62" s="2149"/>
      <c r="P62" s="1009"/>
    </row>
    <row r="63" spans="1:16" ht="20.100000000000001" hidden="1" customHeight="1">
      <c r="A63" s="2392"/>
      <c r="B63" s="2135"/>
      <c r="C63" s="2055"/>
      <c r="D63" s="1110"/>
      <c r="E63" s="1111" t="s">
        <v>79</v>
      </c>
      <c r="F63" s="1115" t="s">
        <v>80</v>
      </c>
      <c r="G63" s="1113"/>
      <c r="H63" s="1114"/>
      <c r="I63" s="895"/>
      <c r="J63" s="895"/>
      <c r="K63" s="895"/>
      <c r="L63" s="895"/>
      <c r="M63" s="1097" t="s">
        <v>1271</v>
      </c>
      <c r="N63" s="2394"/>
      <c r="O63" s="2149"/>
      <c r="P63" s="1009"/>
    </row>
    <row r="64" spans="1:16" ht="20.100000000000001" customHeight="1">
      <c r="A64" s="2392"/>
      <c r="B64" s="2117"/>
      <c r="C64" s="2055"/>
      <c r="D64" s="229"/>
      <c r="E64" s="1249" t="s">
        <v>735</v>
      </c>
      <c r="F64" s="348" t="s">
        <v>1174</v>
      </c>
      <c r="G64" s="451"/>
      <c r="H64" s="349"/>
      <c r="I64" s="229"/>
      <c r="J64" s="229"/>
      <c r="K64" s="229"/>
      <c r="L64" s="229"/>
      <c r="M64" s="1109" t="s">
        <v>1224</v>
      </c>
      <c r="N64" s="2395"/>
      <c r="O64" s="2149"/>
      <c r="P64" s="1009"/>
    </row>
    <row r="65" spans="1:16" ht="20.100000000000001" customHeight="1">
      <c r="A65" s="2134">
        <v>2511</v>
      </c>
      <c r="B65" s="2375" t="s">
        <v>691</v>
      </c>
      <c r="C65" s="2376"/>
      <c r="D65" s="188"/>
      <c r="E65" s="1246" t="s">
        <v>98</v>
      </c>
      <c r="F65" s="423" t="s">
        <v>92</v>
      </c>
      <c r="G65" s="424"/>
      <c r="H65" s="427"/>
      <c r="I65" s="188"/>
      <c r="J65" s="188"/>
      <c r="K65" s="188"/>
      <c r="L65" s="467"/>
      <c r="M65" s="305"/>
      <c r="N65" s="482" t="s">
        <v>1276</v>
      </c>
      <c r="O65" s="2018"/>
      <c r="P65" s="1009"/>
    </row>
    <row r="66" spans="1:16" ht="20.100000000000001" customHeight="1">
      <c r="A66" s="2134"/>
      <c r="B66" s="2377"/>
      <c r="C66" s="2378"/>
      <c r="D66" s="1248"/>
      <c r="E66" s="1250" t="s">
        <v>98</v>
      </c>
      <c r="F66" s="425" t="s">
        <v>694</v>
      </c>
      <c r="G66" s="426"/>
      <c r="H66" s="457"/>
      <c r="I66" s="1248"/>
      <c r="J66" s="1248"/>
      <c r="K66" s="1248"/>
      <c r="L66" s="229"/>
      <c r="M66" s="440"/>
      <c r="N66" s="483" t="s">
        <v>1276</v>
      </c>
      <c r="O66" s="2293"/>
      <c r="P66" s="1009"/>
    </row>
    <row r="67" spans="1:16" ht="20.100000000000001" customHeight="1">
      <c r="A67" s="2379">
        <v>1022</v>
      </c>
      <c r="B67" s="2380" t="s">
        <v>1326</v>
      </c>
      <c r="C67" s="1244" t="s">
        <v>459</v>
      </c>
      <c r="D67" s="1058"/>
      <c r="E67" s="1058"/>
      <c r="F67" s="2383"/>
      <c r="G67" s="2384"/>
      <c r="H67" s="2385"/>
      <c r="I67" s="1058"/>
      <c r="J67" s="1058"/>
      <c r="K67" s="1058"/>
      <c r="L67" s="1058"/>
      <c r="M67" s="1095" t="s">
        <v>1266</v>
      </c>
      <c r="N67" s="1102" t="s">
        <v>1277</v>
      </c>
      <c r="O67" s="1102"/>
      <c r="P67" s="1009"/>
    </row>
    <row r="68" spans="1:16" ht="20.100000000000001" customHeight="1">
      <c r="A68" s="2134"/>
      <c r="B68" s="2381"/>
      <c r="C68" s="2157" t="s">
        <v>33</v>
      </c>
      <c r="D68" s="1242"/>
      <c r="E68" s="1242" t="s">
        <v>34</v>
      </c>
      <c r="F68" s="319" t="s">
        <v>25</v>
      </c>
      <c r="G68" s="351"/>
      <c r="H68" s="470"/>
      <c r="I68" s="264"/>
      <c r="J68" s="264"/>
      <c r="K68" s="265"/>
      <c r="L68" s="265"/>
      <c r="M68" s="460"/>
      <c r="N68" s="2387" t="s">
        <v>658</v>
      </c>
      <c r="O68" s="1241" t="str">
        <f>HYPERLINK(VLOOKUP(F68,LINK,2,FALSE),VLOOKUP(F68,LINK,3,FALSE))</f>
        <v>EXCEL</v>
      </c>
      <c r="P68" s="1009"/>
    </row>
    <row r="69" spans="1:16" ht="20.100000000000001" hidden="1" customHeight="1">
      <c r="A69" s="2134"/>
      <c r="B69" s="2381"/>
      <c r="C69" s="2386"/>
      <c r="D69" s="896"/>
      <c r="E69" s="896" t="s">
        <v>15</v>
      </c>
      <c r="F69" s="898" t="s">
        <v>520</v>
      </c>
      <c r="G69" s="899" t="s">
        <v>542</v>
      </c>
      <c r="H69" s="901"/>
      <c r="I69" s="896" t="s">
        <v>96</v>
      </c>
      <c r="J69" s="896"/>
      <c r="K69" s="900"/>
      <c r="L69" s="900"/>
      <c r="M69" s="902"/>
      <c r="N69" s="2388"/>
      <c r="O69" s="2390"/>
      <c r="P69" s="1009"/>
    </row>
    <row r="70" spans="1:16" ht="20.100000000000001" hidden="1" customHeight="1">
      <c r="A70" s="2134"/>
      <c r="B70" s="2381"/>
      <c r="C70" s="2386"/>
      <c r="D70" s="896"/>
      <c r="E70" s="896" t="s">
        <v>16</v>
      </c>
      <c r="F70" s="898" t="s">
        <v>520</v>
      </c>
      <c r="G70" s="899" t="s">
        <v>543</v>
      </c>
      <c r="H70" s="901"/>
      <c r="I70" s="896" t="s">
        <v>96</v>
      </c>
      <c r="J70" s="896"/>
      <c r="K70" s="900"/>
      <c r="L70" s="900"/>
      <c r="M70" s="902"/>
      <c r="N70" s="2388"/>
      <c r="O70" s="2391"/>
      <c r="P70" s="1009"/>
    </row>
    <row r="71" spans="1:16" ht="20.100000000000001" customHeight="1">
      <c r="A71" s="2134"/>
      <c r="B71" s="2381"/>
      <c r="C71" s="2158"/>
      <c r="D71" s="1243"/>
      <c r="E71" s="1243" t="s">
        <v>26</v>
      </c>
      <c r="F71" s="356" t="s">
        <v>27</v>
      </c>
      <c r="G71" s="357"/>
      <c r="H71" s="471"/>
      <c r="I71" s="270"/>
      <c r="J71" s="270"/>
      <c r="K71" s="271"/>
      <c r="L71" s="271"/>
      <c r="M71" s="461"/>
      <c r="N71" s="2388"/>
      <c r="O71" s="1241" t="str">
        <f>HYPERLINK(VLOOKUP(F71,LINK,2,FALSE),VLOOKUP(F71,LINK,3,FALSE))</f>
        <v>EXCEL</v>
      </c>
      <c r="P71" s="1009"/>
    </row>
    <row r="72" spans="1:16" ht="20.100000000000001" customHeight="1">
      <c r="A72" s="2134"/>
      <c r="B72" s="2382"/>
      <c r="C72" s="1245" t="s">
        <v>35</v>
      </c>
      <c r="D72" s="1245"/>
      <c r="E72" s="1245" t="s">
        <v>34</v>
      </c>
      <c r="F72" s="338" t="s">
        <v>36</v>
      </c>
      <c r="G72" s="361"/>
      <c r="H72" s="472"/>
      <c r="I72" s="363"/>
      <c r="J72" s="363"/>
      <c r="K72" s="364"/>
      <c r="L72" s="364"/>
      <c r="M72" s="462"/>
      <c r="N72" s="2389"/>
      <c r="O72" s="258" t="str">
        <f>HYPERLINK(VLOOKUP(F72,LINK,2,FALSE),VLOOKUP(F72,LINK,3,FALSE))</f>
        <v>EXCEL</v>
      </c>
      <c r="P72" s="1009"/>
    </row>
    <row r="73" spans="1:16" ht="20.100000000000001" customHeight="1">
      <c r="A73" s="2392">
        <v>1041</v>
      </c>
      <c r="B73" s="2371" t="s">
        <v>90</v>
      </c>
      <c r="C73" s="2369" t="s">
        <v>87</v>
      </c>
      <c r="D73" s="188"/>
      <c r="E73" s="1246" t="s">
        <v>43</v>
      </c>
      <c r="F73" s="368" t="s">
        <v>89</v>
      </c>
      <c r="G73" s="369"/>
      <c r="H73" s="454"/>
      <c r="I73" s="188"/>
      <c r="J73" s="188"/>
      <c r="K73" s="188"/>
      <c r="L73" s="188"/>
      <c r="M73" s="188"/>
      <c r="N73" s="1998"/>
      <c r="O73" s="2018" t="str">
        <f>HYPERLINK(VLOOKUP(F73,LINK,2,FALSE),VLOOKUP(F73,LINK,3,FALSE))</f>
        <v>ACCESS</v>
      </c>
      <c r="P73" s="1009"/>
    </row>
    <row r="74" spans="1:16" ht="20.100000000000001" customHeight="1">
      <c r="A74" s="2392"/>
      <c r="B74" s="2107"/>
      <c r="C74" s="2370"/>
      <c r="D74" s="1248"/>
      <c r="E74" s="1250" t="s">
        <v>88</v>
      </c>
      <c r="F74" s="382" t="s">
        <v>653</v>
      </c>
      <c r="G74" s="383"/>
      <c r="H74" s="456"/>
      <c r="I74" s="1248"/>
      <c r="J74" s="1248"/>
      <c r="K74" s="1248"/>
      <c r="L74" s="1248"/>
      <c r="M74" s="1248"/>
      <c r="N74" s="2000"/>
      <c r="O74" s="2020"/>
      <c r="P74" s="1009"/>
    </row>
    <row r="75" spans="1:16" ht="20.100000000000001" customHeight="1">
      <c r="A75" s="2267">
        <v>1241</v>
      </c>
      <c r="B75" s="2267" t="s">
        <v>1298</v>
      </c>
      <c r="C75" s="2054" t="s">
        <v>1299</v>
      </c>
      <c r="D75" s="1302"/>
      <c r="E75" s="1303" t="s">
        <v>595</v>
      </c>
      <c r="F75" s="2263"/>
      <c r="G75" s="2264"/>
      <c r="H75" s="2265"/>
      <c r="I75" s="1156"/>
      <c r="J75" s="1156"/>
      <c r="K75" s="1156"/>
      <c r="L75" s="1156"/>
      <c r="M75" s="1306" t="s">
        <v>1355</v>
      </c>
      <c r="N75" s="1158" t="s">
        <v>1303</v>
      </c>
      <c r="O75" s="2018" t="s">
        <v>197</v>
      </c>
      <c r="P75"/>
    </row>
    <row r="76" spans="1:16" ht="20.100000000000001" customHeight="1">
      <c r="A76" s="2267"/>
      <c r="B76" s="2267"/>
      <c r="C76" s="2054"/>
      <c r="D76" s="1302"/>
      <c r="E76" s="875" t="s">
        <v>600</v>
      </c>
      <c r="F76" s="1275" t="s">
        <v>601</v>
      </c>
      <c r="G76" s="182"/>
      <c r="H76" s="183"/>
      <c r="I76" s="140"/>
      <c r="J76" s="140"/>
      <c r="K76" s="140"/>
      <c r="L76" s="140"/>
      <c r="M76" s="443" t="s">
        <v>1356</v>
      </c>
      <c r="N76" s="1308"/>
      <c r="O76" s="2019"/>
      <c r="P76"/>
    </row>
    <row r="77" spans="1:16" ht="20.100000000000001" customHeight="1">
      <c r="A77" s="2267"/>
      <c r="B77" s="2267"/>
      <c r="C77" s="2054"/>
      <c r="D77" s="1311"/>
      <c r="E77" s="429" t="s">
        <v>596</v>
      </c>
      <c r="F77" s="1159" t="s">
        <v>1272</v>
      </c>
      <c r="G77" s="1276"/>
      <c r="H77" s="1277"/>
      <c r="I77" s="1160"/>
      <c r="J77" s="1160"/>
      <c r="K77" s="1160"/>
      <c r="L77" s="1160"/>
      <c r="M77" s="1161" t="s">
        <v>1360</v>
      </c>
      <c r="N77" s="1165"/>
      <c r="O77" s="2019"/>
      <c r="P77"/>
    </row>
    <row r="78" spans="1:16" ht="20.100000000000001" customHeight="1">
      <c r="A78" s="2267"/>
      <c r="B78" s="2267"/>
      <c r="C78" s="2054"/>
      <c r="D78" s="1302"/>
      <c r="E78" s="1305" t="s">
        <v>30</v>
      </c>
      <c r="F78" s="1159" t="s">
        <v>597</v>
      </c>
      <c r="G78" s="1163"/>
      <c r="H78" s="1164"/>
      <c r="I78" s="1160"/>
      <c r="J78" s="1160"/>
      <c r="K78" s="1160"/>
      <c r="L78" s="1160"/>
      <c r="M78" s="442" t="s">
        <v>1361</v>
      </c>
      <c r="N78" s="1166"/>
      <c r="O78" s="2019"/>
      <c r="P78"/>
    </row>
    <row r="79" spans="1:16" ht="20.100000000000001" customHeight="1">
      <c r="A79" s="2267"/>
      <c r="B79" s="2267"/>
      <c r="C79" s="2054"/>
      <c r="D79" s="1302"/>
      <c r="E79" s="1300" t="s">
        <v>1333</v>
      </c>
      <c r="F79" s="1275" t="s">
        <v>606</v>
      </c>
      <c r="G79" s="182"/>
      <c r="H79" s="183"/>
      <c r="I79" s="140"/>
      <c r="J79" s="140"/>
      <c r="K79" s="140"/>
      <c r="L79" s="140"/>
      <c r="M79" s="2400" t="s">
        <v>621</v>
      </c>
      <c r="N79" s="1166"/>
      <c r="O79" s="2019"/>
      <c r="P79"/>
    </row>
    <row r="80" spans="1:16" ht="20.100000000000001" customHeight="1">
      <c r="A80" s="2267"/>
      <c r="B80" s="2267"/>
      <c r="C80" s="2054"/>
      <c r="D80" s="1302"/>
      <c r="E80" s="1300" t="s">
        <v>1357</v>
      </c>
      <c r="F80" s="1275" t="s">
        <v>1358</v>
      </c>
      <c r="G80" s="182" t="s">
        <v>1359</v>
      </c>
      <c r="H80" s="183"/>
      <c r="I80" s="140"/>
      <c r="J80" s="140"/>
      <c r="K80" s="140"/>
      <c r="L80" s="140"/>
      <c r="M80" s="2401"/>
      <c r="N80" s="1166"/>
      <c r="O80" s="2019"/>
      <c r="P80"/>
    </row>
    <row r="81" spans="1:16" ht="20.100000000000001" customHeight="1">
      <c r="A81" s="2267"/>
      <c r="B81" s="2267"/>
      <c r="C81" s="2054"/>
      <c r="D81" s="1302"/>
      <c r="E81" s="1300" t="s">
        <v>608</v>
      </c>
      <c r="F81" s="1275" t="s">
        <v>1197</v>
      </c>
      <c r="G81" s="182"/>
      <c r="H81" s="183"/>
      <c r="I81" s="140"/>
      <c r="J81" s="140"/>
      <c r="K81" s="140"/>
      <c r="L81" s="140"/>
      <c r="M81" s="1168" t="s">
        <v>1362</v>
      </c>
      <c r="N81" s="1165"/>
      <c r="O81" s="2019"/>
      <c r="P81"/>
    </row>
    <row r="82" spans="1:16" ht="20.100000000000001" customHeight="1">
      <c r="A82" s="2267"/>
      <c r="B82" s="2267"/>
      <c r="C82" s="2054"/>
      <c r="D82" s="1302"/>
      <c r="E82" s="1300" t="s">
        <v>1222</v>
      </c>
      <c r="F82" s="1275" t="s">
        <v>1221</v>
      </c>
      <c r="G82" s="182"/>
      <c r="H82" s="183"/>
      <c r="I82" s="140"/>
      <c r="J82" s="140"/>
      <c r="K82" s="140"/>
      <c r="L82" s="140"/>
      <c r="M82" s="1170" t="s">
        <v>1363</v>
      </c>
      <c r="N82" s="1307"/>
      <c r="O82" s="2019"/>
      <c r="P82"/>
    </row>
    <row r="83" spans="1:16" ht="20.100000000000001" customHeight="1">
      <c r="A83" s="2267"/>
      <c r="B83" s="2267"/>
      <c r="C83" s="2054"/>
      <c r="D83" s="1302"/>
      <c r="E83" s="1300" t="s">
        <v>598</v>
      </c>
      <c r="F83" s="1275" t="s">
        <v>599</v>
      </c>
      <c r="G83" s="182"/>
      <c r="H83" s="183"/>
      <c r="I83" s="140"/>
      <c r="J83" s="140"/>
      <c r="K83" s="140"/>
      <c r="L83" s="140"/>
      <c r="M83" s="443" t="s">
        <v>1364</v>
      </c>
      <c r="N83" s="444"/>
      <c r="O83" s="2019"/>
      <c r="P83"/>
    </row>
    <row r="84" spans="1:16" ht="20.100000000000001" customHeight="1">
      <c r="A84" s="2267"/>
      <c r="B84" s="2267"/>
      <c r="C84" s="2054"/>
      <c r="D84" s="1312"/>
      <c r="E84" s="1300" t="s">
        <v>609</v>
      </c>
      <c r="F84" s="1275" t="s">
        <v>610</v>
      </c>
      <c r="G84" s="182"/>
      <c r="H84" s="183"/>
      <c r="I84" s="140"/>
      <c r="J84" s="140"/>
      <c r="K84" s="140"/>
      <c r="L84" s="140"/>
      <c r="M84" s="2397" t="s">
        <v>140</v>
      </c>
      <c r="N84" s="2397" t="s">
        <v>1365</v>
      </c>
      <c r="O84" s="2019"/>
      <c r="P84"/>
    </row>
    <row r="85" spans="1:16" ht="20.100000000000001" customHeight="1">
      <c r="A85" s="2267"/>
      <c r="B85" s="2267"/>
      <c r="C85" s="2054"/>
      <c r="D85" s="31"/>
      <c r="E85" s="1301" t="s">
        <v>611</v>
      </c>
      <c r="F85" s="382" t="s">
        <v>612</v>
      </c>
      <c r="G85" s="383"/>
      <c r="H85" s="384"/>
      <c r="I85" s="1304"/>
      <c r="J85" s="1304"/>
      <c r="K85" s="1304"/>
      <c r="L85" s="1304"/>
      <c r="M85" s="2398"/>
      <c r="N85" s="2399"/>
      <c r="O85" s="2020"/>
      <c r="P85"/>
    </row>
    <row r="87" spans="1:16">
      <c r="A87" s="2099" t="s">
        <v>1064</v>
      </c>
      <c r="B87" s="2099"/>
      <c r="C87" s="2099"/>
      <c r="D87" s="2099"/>
      <c r="E87" s="2099"/>
      <c r="F87" s="2099"/>
      <c r="G87" s="2099"/>
      <c r="H87" s="2099"/>
      <c r="I87" s="2099"/>
      <c r="J87" s="2099"/>
      <c r="K87" s="2099"/>
      <c r="L87" s="2099"/>
      <c r="M87" s="2099"/>
      <c r="N87" s="2099"/>
      <c r="O87" s="2099"/>
    </row>
    <row r="88" spans="1:16" ht="23.4" customHeight="1">
      <c r="A88" s="2396" t="s">
        <v>5</v>
      </c>
      <c r="B88" s="1993"/>
      <c r="C88" s="1993"/>
      <c r="D88" s="1993"/>
      <c r="E88" s="1993"/>
      <c r="F88" s="2093" t="s">
        <v>268</v>
      </c>
      <c r="G88" s="2094"/>
      <c r="H88" s="2089"/>
      <c r="I88" s="2090"/>
      <c r="J88" s="2090"/>
      <c r="K88" s="2090"/>
      <c r="L88" s="2091"/>
      <c r="M88" s="837" t="s">
        <v>1187</v>
      </c>
      <c r="N88" s="904"/>
      <c r="O88" s="920"/>
    </row>
    <row r="89" spans="1:16" ht="23.4" customHeight="1">
      <c r="A89" s="2396"/>
      <c r="B89" s="1993"/>
      <c r="C89" s="1993"/>
      <c r="D89" s="1993"/>
      <c r="E89" s="1993"/>
      <c r="F89" s="2006" t="s">
        <v>1249</v>
      </c>
      <c r="G89" s="2006"/>
      <c r="H89" s="2089"/>
      <c r="I89" s="2090"/>
      <c r="J89" s="2090"/>
      <c r="K89" s="2090"/>
      <c r="L89" s="2091"/>
      <c r="M89" s="1099"/>
      <c r="N89" s="35"/>
      <c r="O89" s="921"/>
    </row>
    <row r="90" spans="1:16" ht="23.4" customHeight="1">
      <c r="A90" s="2396" t="s">
        <v>38</v>
      </c>
      <c r="B90" s="1993"/>
      <c r="C90" s="1993"/>
      <c r="D90" s="1993"/>
      <c r="E90" s="1993"/>
      <c r="F90" s="2007" t="s">
        <v>1250</v>
      </c>
      <c r="G90" s="2007"/>
      <c r="H90" s="2089"/>
      <c r="I90" s="2090"/>
      <c r="J90" s="2090"/>
      <c r="K90" s="2090"/>
      <c r="L90" s="2091"/>
      <c r="M90" s="1099"/>
      <c r="N90" s="35"/>
      <c r="O90" s="921"/>
    </row>
    <row r="91" spans="1:16" ht="23.4" customHeight="1">
      <c r="A91" s="2396"/>
      <c r="B91" s="1993"/>
      <c r="C91" s="1993"/>
      <c r="D91" s="1993"/>
      <c r="E91" s="1993"/>
      <c r="F91" s="2008" t="s">
        <v>269</v>
      </c>
      <c r="G91" s="2008"/>
      <c r="H91" s="2089"/>
      <c r="I91" s="2090"/>
      <c r="J91" s="2090"/>
      <c r="K91" s="2090"/>
      <c r="L91" s="2091"/>
      <c r="M91" s="1100"/>
      <c r="N91" s="905"/>
      <c r="O91" s="922"/>
    </row>
    <row r="92" spans="1:16" ht="56.4">
      <c r="A92" s="1107" t="s">
        <v>1227</v>
      </c>
      <c r="B92" s="1069" t="s">
        <v>6</v>
      </c>
      <c r="C92" s="1069" t="s">
        <v>168</v>
      </c>
      <c r="D92" s="1037" t="s">
        <v>1251</v>
      </c>
      <c r="E92" s="82" t="s">
        <v>64</v>
      </c>
      <c r="F92" s="2001" t="s">
        <v>1</v>
      </c>
      <c r="G92" s="2002"/>
      <c r="H92" s="2003"/>
      <c r="I92" s="1038" t="s">
        <v>66</v>
      </c>
      <c r="J92" s="1038" t="s">
        <v>1247</v>
      </c>
      <c r="K92" s="1039" t="s">
        <v>1248</v>
      </c>
      <c r="L92" s="1040" t="s">
        <v>2</v>
      </c>
      <c r="M92" s="1069" t="s">
        <v>1256</v>
      </c>
      <c r="N92" s="1069" t="s">
        <v>1257</v>
      </c>
      <c r="O92" s="90" t="s">
        <v>183</v>
      </c>
    </row>
    <row r="93" spans="1:16" ht="23.1" customHeight="1">
      <c r="A93" s="2379" t="s">
        <v>1274</v>
      </c>
      <c r="B93" s="2380" t="s">
        <v>659</v>
      </c>
      <c r="C93" s="1253" t="s">
        <v>459</v>
      </c>
      <c r="D93" s="1058"/>
      <c r="E93" s="1058"/>
      <c r="F93" s="2383"/>
      <c r="G93" s="2384"/>
      <c r="H93" s="2385"/>
      <c r="I93" s="1058"/>
      <c r="J93" s="1058"/>
      <c r="K93" s="1058"/>
      <c r="L93" s="1058"/>
      <c r="M93" s="1095" t="s">
        <v>1266</v>
      </c>
      <c r="N93" s="1102" t="s">
        <v>1277</v>
      </c>
      <c r="O93" s="1102"/>
    </row>
    <row r="94" spans="1:16" ht="23.1" customHeight="1">
      <c r="A94" s="2134"/>
      <c r="B94" s="2381"/>
      <c r="C94" s="2157" t="s">
        <v>33</v>
      </c>
      <c r="D94" s="1254"/>
      <c r="E94" s="1254" t="s">
        <v>34</v>
      </c>
      <c r="F94" s="319" t="s">
        <v>25</v>
      </c>
      <c r="G94" s="351"/>
      <c r="H94" s="470"/>
      <c r="I94" s="264"/>
      <c r="J94" s="264"/>
      <c r="K94" s="265"/>
      <c r="L94" s="265"/>
      <c r="M94" s="460"/>
      <c r="N94" s="2387" t="s">
        <v>658</v>
      </c>
      <c r="O94" s="1252" t="str">
        <f>HYPERLINK(VLOOKUP(F94,LINK,2,FALSE),VLOOKUP(F94,LINK,3,FALSE))</f>
        <v>EXCEL</v>
      </c>
    </row>
    <row r="95" spans="1:16" ht="23.1" customHeight="1">
      <c r="A95" s="2134"/>
      <c r="B95" s="2381"/>
      <c r="C95" s="2386"/>
      <c r="D95" s="896"/>
      <c r="E95" s="896" t="s">
        <v>15</v>
      </c>
      <c r="F95" s="898" t="s">
        <v>520</v>
      </c>
      <c r="G95" s="899" t="s">
        <v>542</v>
      </c>
      <c r="H95" s="901"/>
      <c r="I95" s="896" t="s">
        <v>96</v>
      </c>
      <c r="J95" s="896"/>
      <c r="K95" s="900"/>
      <c r="L95" s="900"/>
      <c r="M95" s="902"/>
      <c r="N95" s="2388"/>
      <c r="O95" s="2390"/>
    </row>
    <row r="96" spans="1:16" ht="23.1" customHeight="1">
      <c r="A96" s="2134"/>
      <c r="B96" s="2381"/>
      <c r="C96" s="2386"/>
      <c r="D96" s="896"/>
      <c r="E96" s="896" t="s">
        <v>16</v>
      </c>
      <c r="F96" s="898" t="s">
        <v>520</v>
      </c>
      <c r="G96" s="899" t="s">
        <v>543</v>
      </c>
      <c r="H96" s="901"/>
      <c r="I96" s="896" t="s">
        <v>96</v>
      </c>
      <c r="J96" s="896"/>
      <c r="K96" s="900"/>
      <c r="L96" s="900"/>
      <c r="M96" s="902"/>
      <c r="N96" s="2388"/>
      <c r="O96" s="2391"/>
    </row>
    <row r="97" spans="1:16" ht="23.1" customHeight="1">
      <c r="A97" s="2134"/>
      <c r="B97" s="2381"/>
      <c r="C97" s="2158"/>
      <c r="D97" s="1255"/>
      <c r="E97" s="1255" t="s">
        <v>26</v>
      </c>
      <c r="F97" s="356" t="s">
        <v>27</v>
      </c>
      <c r="G97" s="357"/>
      <c r="H97" s="471"/>
      <c r="I97" s="270"/>
      <c r="J97" s="270"/>
      <c r="K97" s="271"/>
      <c r="L97" s="271"/>
      <c r="M97" s="461"/>
      <c r="N97" s="2388"/>
      <c r="O97" s="1252" t="str">
        <f>HYPERLINK(VLOOKUP(F97,LINK,2,FALSE),VLOOKUP(F97,LINK,3,FALSE))</f>
        <v>EXCEL</v>
      </c>
    </row>
    <row r="98" spans="1:16" ht="23.1" customHeight="1">
      <c r="A98" s="2134"/>
      <c r="B98" s="2382"/>
      <c r="C98" s="1256" t="s">
        <v>35</v>
      </c>
      <c r="D98" s="1256"/>
      <c r="E98" s="1256" t="s">
        <v>34</v>
      </c>
      <c r="F98" s="338" t="s">
        <v>36</v>
      </c>
      <c r="G98" s="361"/>
      <c r="H98" s="472"/>
      <c r="I98" s="363"/>
      <c r="J98" s="363"/>
      <c r="K98" s="364"/>
      <c r="L98" s="364"/>
      <c r="M98" s="462"/>
      <c r="N98" s="2389"/>
      <c r="O98" s="258" t="str">
        <f>HYPERLINK(VLOOKUP(F98,LINK,2,FALSE),VLOOKUP(F98,LINK,3,FALSE))</f>
        <v>EXCEL</v>
      </c>
    </row>
    <row r="99" spans="1:16" ht="23.1" customHeight="1">
      <c r="A99" s="2392">
        <v>1061</v>
      </c>
      <c r="B99" s="2116" t="s">
        <v>77</v>
      </c>
      <c r="C99" s="2150" t="s">
        <v>589</v>
      </c>
      <c r="D99" s="188"/>
      <c r="E99" s="1257" t="s">
        <v>590</v>
      </c>
      <c r="F99" s="423" t="s">
        <v>591</v>
      </c>
      <c r="G99" s="424"/>
      <c r="H99" s="427"/>
      <c r="I99" s="188"/>
      <c r="J99" s="188"/>
      <c r="K99" s="188"/>
      <c r="L99" s="188"/>
      <c r="M99" s="188"/>
      <c r="N99" s="305" t="s">
        <v>620</v>
      </c>
      <c r="O99" s="2018" t="str">
        <f>HYPERLINK(VLOOKUP(F99,LINK,2,FALSE),VLOOKUP(F99,LINK,3,FALSE))</f>
        <v>EXCEL</v>
      </c>
    </row>
    <row r="100" spans="1:16" ht="23.1" customHeight="1">
      <c r="A100" s="2392"/>
      <c r="B100" s="2135"/>
      <c r="C100" s="2151"/>
      <c r="D100" s="1259"/>
      <c r="E100" s="1261" t="s">
        <v>592</v>
      </c>
      <c r="F100" s="425" t="s">
        <v>593</v>
      </c>
      <c r="G100" s="426"/>
      <c r="H100" s="457"/>
      <c r="I100" s="1259"/>
      <c r="J100" s="1259"/>
      <c r="K100" s="1259"/>
      <c r="L100" s="1259"/>
      <c r="M100" s="1259"/>
      <c r="N100" s="1259"/>
      <c r="O100" s="2020"/>
    </row>
    <row r="101" spans="1:16" ht="23.1" customHeight="1">
      <c r="A101" s="2392"/>
      <c r="B101" s="2135"/>
      <c r="C101" s="2055" t="s">
        <v>78</v>
      </c>
      <c r="D101" s="188"/>
      <c r="E101" s="303" t="s">
        <v>72</v>
      </c>
      <c r="F101" s="342" t="s">
        <v>81</v>
      </c>
      <c r="G101" s="343"/>
      <c r="H101" s="344"/>
      <c r="I101" s="188"/>
      <c r="J101" s="188"/>
      <c r="K101" s="188"/>
      <c r="L101" s="188"/>
      <c r="M101" s="305"/>
      <c r="N101" s="2393" t="s">
        <v>1052</v>
      </c>
      <c r="O101" s="2149" t="s">
        <v>1239</v>
      </c>
    </row>
    <row r="102" spans="1:16" ht="23.1" customHeight="1">
      <c r="A102" s="2392"/>
      <c r="B102" s="2135"/>
      <c r="C102" s="2055"/>
      <c r="D102" s="1258"/>
      <c r="E102" s="1262" t="s">
        <v>73</v>
      </c>
      <c r="F102" s="345" t="s">
        <v>83</v>
      </c>
      <c r="G102" s="346"/>
      <c r="H102" s="347"/>
      <c r="I102" s="1258"/>
      <c r="J102" s="1258"/>
      <c r="K102" s="1258"/>
      <c r="L102" s="1258"/>
      <c r="M102" s="306"/>
      <c r="N102" s="2394"/>
      <c r="O102" s="2149"/>
    </row>
    <row r="103" spans="1:16" ht="23.1" customHeight="1">
      <c r="A103" s="2392"/>
      <c r="B103" s="2135"/>
      <c r="C103" s="2055"/>
      <c r="D103" s="1110"/>
      <c r="E103" s="1111" t="s">
        <v>74</v>
      </c>
      <c r="F103" s="1112" t="s">
        <v>82</v>
      </c>
      <c r="G103" s="1113"/>
      <c r="H103" s="1114"/>
      <c r="I103" s="895"/>
      <c r="J103" s="895"/>
      <c r="K103" s="895"/>
      <c r="L103" s="895"/>
      <c r="M103" s="1097" t="s">
        <v>1271</v>
      </c>
      <c r="N103" s="2394"/>
      <c r="O103" s="2149"/>
    </row>
    <row r="104" spans="1:16" ht="23.1" customHeight="1">
      <c r="A104" s="2392"/>
      <c r="B104" s="2135"/>
      <c r="C104" s="2055"/>
      <c r="D104" s="1110"/>
      <c r="E104" s="1111" t="s">
        <v>79</v>
      </c>
      <c r="F104" s="1115" t="s">
        <v>80</v>
      </c>
      <c r="G104" s="1113"/>
      <c r="H104" s="1114"/>
      <c r="I104" s="895"/>
      <c r="J104" s="895"/>
      <c r="K104" s="895"/>
      <c r="L104" s="895"/>
      <c r="M104" s="1097" t="s">
        <v>1271</v>
      </c>
      <c r="N104" s="2394"/>
      <c r="O104" s="2149"/>
    </row>
    <row r="105" spans="1:16" ht="23.1" customHeight="1">
      <c r="A105" s="2392"/>
      <c r="B105" s="2117"/>
      <c r="C105" s="2055"/>
      <c r="D105" s="229"/>
      <c r="E105" s="1260" t="s">
        <v>735</v>
      </c>
      <c r="F105" s="348" t="s">
        <v>1174</v>
      </c>
      <c r="G105" s="451"/>
      <c r="H105" s="349"/>
      <c r="I105" s="229"/>
      <c r="J105" s="229"/>
      <c r="K105" s="229"/>
      <c r="L105" s="229"/>
      <c r="M105" s="1109" t="s">
        <v>1224</v>
      </c>
      <c r="N105" s="2395"/>
      <c r="O105" s="2149"/>
    </row>
    <row r="106" spans="1:16" ht="23.1" customHeight="1">
      <c r="A106" s="2392">
        <v>1041</v>
      </c>
      <c r="B106" s="2371" t="s">
        <v>90</v>
      </c>
      <c r="C106" s="2369" t="s">
        <v>87</v>
      </c>
      <c r="D106" s="188"/>
      <c r="E106" s="1257" t="s">
        <v>43</v>
      </c>
      <c r="F106" s="368" t="s">
        <v>89</v>
      </c>
      <c r="G106" s="369"/>
      <c r="H106" s="454"/>
      <c r="I106" s="188"/>
      <c r="J106" s="188"/>
      <c r="K106" s="188"/>
      <c r="L106" s="188"/>
      <c r="M106" s="188"/>
      <c r="N106" s="1998"/>
      <c r="O106" s="2018" t="str">
        <f>HYPERLINK(VLOOKUP(F106,LINK,2,FALSE),VLOOKUP(F106,LINK,3,FALSE))</f>
        <v>ACCESS</v>
      </c>
    </row>
    <row r="107" spans="1:16" ht="23.1" customHeight="1">
      <c r="A107" s="2392"/>
      <c r="B107" s="2107"/>
      <c r="C107" s="2370"/>
      <c r="D107" s="1259"/>
      <c r="E107" s="1261" t="s">
        <v>88</v>
      </c>
      <c r="F107" s="382" t="s">
        <v>653</v>
      </c>
      <c r="G107" s="383"/>
      <c r="H107" s="456"/>
      <c r="I107" s="1259"/>
      <c r="J107" s="1259"/>
      <c r="K107" s="1259"/>
      <c r="L107" s="1259"/>
      <c r="M107" s="1259"/>
      <c r="N107" s="2000"/>
      <c r="O107" s="2020"/>
    </row>
    <row r="108" spans="1:16" ht="23.1" customHeight="1">
      <c r="A108" s="2267">
        <v>1241</v>
      </c>
      <c r="B108" s="2267" t="s">
        <v>1298</v>
      </c>
      <c r="C108" s="2054" t="s">
        <v>1299</v>
      </c>
      <c r="D108" s="1302"/>
      <c r="E108" s="1303" t="s">
        <v>595</v>
      </c>
      <c r="F108" s="2263"/>
      <c r="G108" s="2264"/>
      <c r="H108" s="2265"/>
      <c r="I108" s="1156"/>
      <c r="J108" s="1156"/>
      <c r="K108" s="1156"/>
      <c r="L108" s="1156"/>
      <c r="M108" s="1306" t="s">
        <v>1355</v>
      </c>
      <c r="N108" s="1158" t="s">
        <v>1303</v>
      </c>
      <c r="O108" s="2018" t="s">
        <v>197</v>
      </c>
      <c r="P108"/>
    </row>
    <row r="109" spans="1:16" ht="23.1" customHeight="1">
      <c r="A109" s="2267"/>
      <c r="B109" s="2267"/>
      <c r="C109" s="2054"/>
      <c r="D109" s="1302"/>
      <c r="E109" s="875" t="s">
        <v>600</v>
      </c>
      <c r="F109" s="1275" t="s">
        <v>601</v>
      </c>
      <c r="G109" s="182"/>
      <c r="H109" s="183"/>
      <c r="I109" s="140"/>
      <c r="J109" s="140"/>
      <c r="K109" s="140"/>
      <c r="L109" s="140"/>
      <c r="M109" s="443" t="s">
        <v>1356</v>
      </c>
      <c r="N109" s="1308"/>
      <c r="O109" s="2019"/>
      <c r="P109"/>
    </row>
    <row r="110" spans="1:16" ht="23.1" customHeight="1">
      <c r="A110" s="2267"/>
      <c r="B110" s="2267"/>
      <c r="C110" s="2054"/>
      <c r="D110" s="1311"/>
      <c r="E110" s="429" t="s">
        <v>596</v>
      </c>
      <c r="F110" s="1159" t="s">
        <v>1272</v>
      </c>
      <c r="G110" s="1276"/>
      <c r="H110" s="1277"/>
      <c r="I110" s="1160"/>
      <c r="J110" s="1160"/>
      <c r="K110" s="1160"/>
      <c r="L110" s="1160"/>
      <c r="M110" s="1161" t="s">
        <v>1360</v>
      </c>
      <c r="N110" s="1165"/>
      <c r="O110" s="2019"/>
      <c r="P110"/>
    </row>
    <row r="111" spans="1:16" ht="23.1" customHeight="1">
      <c r="A111" s="2267"/>
      <c r="B111" s="2267"/>
      <c r="C111" s="2054"/>
      <c r="D111" s="1302"/>
      <c r="E111" s="1305" t="s">
        <v>30</v>
      </c>
      <c r="F111" s="1159" t="s">
        <v>597</v>
      </c>
      <c r="G111" s="1163"/>
      <c r="H111" s="1164"/>
      <c r="I111" s="1160"/>
      <c r="J111" s="1160"/>
      <c r="K111" s="1160"/>
      <c r="L111" s="1160"/>
      <c r="M111" s="442" t="s">
        <v>1361</v>
      </c>
      <c r="N111" s="1166"/>
      <c r="O111" s="2019"/>
      <c r="P111"/>
    </row>
    <row r="112" spans="1:16" ht="23.1" customHeight="1">
      <c r="A112" s="2267"/>
      <c r="B112" s="2267"/>
      <c r="C112" s="2054"/>
      <c r="D112" s="1302"/>
      <c r="E112" s="1300" t="s">
        <v>1333</v>
      </c>
      <c r="F112" s="1275" t="s">
        <v>606</v>
      </c>
      <c r="G112" s="182"/>
      <c r="H112" s="183"/>
      <c r="I112" s="140"/>
      <c r="J112" s="140"/>
      <c r="K112" s="140"/>
      <c r="L112" s="140"/>
      <c r="M112" s="2400" t="s">
        <v>621</v>
      </c>
      <c r="N112" s="1166"/>
      <c r="O112" s="2019"/>
      <c r="P112" s="1270"/>
    </row>
    <row r="113" spans="1:16" ht="23.1" customHeight="1">
      <c r="A113" s="2267"/>
      <c r="B113" s="2267"/>
      <c r="C113" s="2054"/>
      <c r="D113" s="1302"/>
      <c r="E113" s="1300" t="s">
        <v>1357</v>
      </c>
      <c r="F113" s="1275" t="s">
        <v>1358</v>
      </c>
      <c r="G113" s="182" t="s">
        <v>1359</v>
      </c>
      <c r="H113" s="183"/>
      <c r="I113" s="140"/>
      <c r="J113" s="140"/>
      <c r="K113" s="140"/>
      <c r="L113" s="140"/>
      <c r="M113" s="2401"/>
      <c r="N113" s="1166"/>
      <c r="O113" s="2019"/>
      <c r="P113" s="1009"/>
    </row>
    <row r="114" spans="1:16" ht="23.1" customHeight="1">
      <c r="A114" s="2267"/>
      <c r="B114" s="2267"/>
      <c r="C114" s="2054"/>
      <c r="D114" s="1302"/>
      <c r="E114" s="1300" t="s">
        <v>608</v>
      </c>
      <c r="F114" s="1275" t="s">
        <v>1197</v>
      </c>
      <c r="G114" s="182"/>
      <c r="H114" s="183"/>
      <c r="I114" s="140"/>
      <c r="J114" s="140"/>
      <c r="K114" s="140"/>
      <c r="L114" s="140"/>
      <c r="M114" s="1168" t="s">
        <v>1362</v>
      </c>
      <c r="N114" s="1165"/>
      <c r="O114" s="2019"/>
      <c r="P114" s="1009"/>
    </row>
    <row r="115" spans="1:16" ht="23.1" customHeight="1">
      <c r="A115" s="2267"/>
      <c r="B115" s="2267"/>
      <c r="C115" s="2054"/>
      <c r="D115" s="1302"/>
      <c r="E115" s="1300" t="s">
        <v>1222</v>
      </c>
      <c r="F115" s="1275" t="s">
        <v>1221</v>
      </c>
      <c r="G115" s="182"/>
      <c r="H115" s="183"/>
      <c r="I115" s="140"/>
      <c r="J115" s="140"/>
      <c r="K115" s="140"/>
      <c r="L115" s="140"/>
      <c r="M115" s="1170" t="s">
        <v>1363</v>
      </c>
      <c r="N115" s="1307"/>
      <c r="O115" s="2019"/>
      <c r="P115" s="1009"/>
    </row>
    <row r="116" spans="1:16" ht="23.1" customHeight="1">
      <c r="A116" s="2267"/>
      <c r="B116" s="2267"/>
      <c r="C116" s="2054"/>
      <c r="D116" s="1302"/>
      <c r="E116" s="1300" t="s">
        <v>598</v>
      </c>
      <c r="F116" s="1275" t="s">
        <v>599</v>
      </c>
      <c r="G116" s="182"/>
      <c r="H116" s="183"/>
      <c r="I116" s="140"/>
      <c r="J116" s="140"/>
      <c r="K116" s="140"/>
      <c r="L116" s="140"/>
      <c r="M116" s="443" t="s">
        <v>1364</v>
      </c>
      <c r="N116" s="444"/>
      <c r="O116" s="2019"/>
      <c r="P116" s="1009"/>
    </row>
    <row r="117" spans="1:16" ht="23.1" customHeight="1">
      <c r="A117" s="2267"/>
      <c r="B117" s="2267"/>
      <c r="C117" s="2054"/>
      <c r="D117" s="1312"/>
      <c r="E117" s="1300" t="s">
        <v>609</v>
      </c>
      <c r="F117" s="1275" t="s">
        <v>610</v>
      </c>
      <c r="G117" s="182"/>
      <c r="H117" s="183"/>
      <c r="I117" s="140"/>
      <c r="J117" s="140"/>
      <c r="K117" s="140"/>
      <c r="L117" s="140"/>
      <c r="M117" s="2397" t="s">
        <v>140</v>
      </c>
      <c r="N117" s="2397" t="s">
        <v>1365</v>
      </c>
      <c r="O117" s="2019"/>
      <c r="P117" s="1009"/>
    </row>
    <row r="118" spans="1:16" ht="23.1" customHeight="1">
      <c r="A118" s="2267"/>
      <c r="B118" s="2267"/>
      <c r="C118" s="2054"/>
      <c r="D118" s="31"/>
      <c r="E118" s="1301" t="s">
        <v>611</v>
      </c>
      <c r="F118" s="382" t="s">
        <v>612</v>
      </c>
      <c r="G118" s="383"/>
      <c r="H118" s="384"/>
      <c r="I118" s="1304"/>
      <c r="J118" s="1304"/>
      <c r="K118" s="1304"/>
      <c r="L118" s="1304"/>
      <c r="M118" s="2398"/>
      <c r="N118" s="2399"/>
      <c r="O118" s="2020"/>
      <c r="P118" s="1009"/>
    </row>
    <row r="119" spans="1:16" ht="23.1" customHeight="1">
      <c r="A119" s="2134">
        <v>2511</v>
      </c>
      <c r="B119" s="2375" t="s">
        <v>691</v>
      </c>
      <c r="C119" s="2376"/>
      <c r="D119" s="188"/>
      <c r="E119" s="1257" t="s">
        <v>98</v>
      </c>
      <c r="F119" s="423" t="s">
        <v>92</v>
      </c>
      <c r="G119" s="424"/>
      <c r="H119" s="427"/>
      <c r="I119" s="188"/>
      <c r="J119" s="188"/>
      <c r="K119" s="188"/>
      <c r="L119" s="467"/>
      <c r="M119" s="305"/>
      <c r="N119" s="482" t="s">
        <v>1276</v>
      </c>
      <c r="O119" s="2018"/>
      <c r="P119" s="1009"/>
    </row>
    <row r="120" spans="1:16" ht="23.1" customHeight="1">
      <c r="A120" s="2134"/>
      <c r="B120" s="2377"/>
      <c r="C120" s="2378"/>
      <c r="D120" s="1259"/>
      <c r="E120" s="1261" t="s">
        <v>98</v>
      </c>
      <c r="F120" s="425" t="s">
        <v>694</v>
      </c>
      <c r="G120" s="426"/>
      <c r="H120" s="457"/>
      <c r="I120" s="1259"/>
      <c r="J120" s="1259"/>
      <c r="K120" s="1259"/>
      <c r="L120" s="229"/>
      <c r="M120" s="440"/>
      <c r="N120" s="483" t="s">
        <v>1276</v>
      </c>
      <c r="O120" s="2293"/>
      <c r="P120" s="1009"/>
    </row>
  </sheetData>
  <mergeCells count="140">
    <mergeCell ref="M79:M80"/>
    <mergeCell ref="M84:M85"/>
    <mergeCell ref="N84:N85"/>
    <mergeCell ref="A75:A85"/>
    <mergeCell ref="B75:B85"/>
    <mergeCell ref="C75:C85"/>
    <mergeCell ref="F75:H75"/>
    <mergeCell ref="A58:A64"/>
    <mergeCell ref="B58:B64"/>
    <mergeCell ref="C58:C59"/>
    <mergeCell ref="H49:L49"/>
    <mergeCell ref="F50:G50"/>
    <mergeCell ref="H50:L50"/>
    <mergeCell ref="O58:O59"/>
    <mergeCell ref="C60:C64"/>
    <mergeCell ref="N60:N64"/>
    <mergeCell ref="O60:O64"/>
    <mergeCell ref="A73:A74"/>
    <mergeCell ref="B73:B74"/>
    <mergeCell ref="C73:C74"/>
    <mergeCell ref="N73:N74"/>
    <mergeCell ref="O73:O74"/>
    <mergeCell ref="A65:A66"/>
    <mergeCell ref="B65:C66"/>
    <mergeCell ref="O65:O66"/>
    <mergeCell ref="O69:O70"/>
    <mergeCell ref="A67:A72"/>
    <mergeCell ref="B67:B72"/>
    <mergeCell ref="F67:H67"/>
    <mergeCell ref="C68:C71"/>
    <mergeCell ref="N68:N72"/>
    <mergeCell ref="L37:L39"/>
    <mergeCell ref="L34:L36"/>
    <mergeCell ref="C20:C39"/>
    <mergeCell ref="E37:E39"/>
    <mergeCell ref="O54:O55"/>
    <mergeCell ref="A41:A42"/>
    <mergeCell ref="F7:H7"/>
    <mergeCell ref="B43:C43"/>
    <mergeCell ref="B41:C42"/>
    <mergeCell ref="O41:O42"/>
    <mergeCell ref="M37:M39"/>
    <mergeCell ref="M34:M36"/>
    <mergeCell ref="O13:O19"/>
    <mergeCell ref="O20:O40"/>
    <mergeCell ref="F48:G48"/>
    <mergeCell ref="H48:L48"/>
    <mergeCell ref="F51:H51"/>
    <mergeCell ref="A52:A57"/>
    <mergeCell ref="B52:B57"/>
    <mergeCell ref="F52:H52"/>
    <mergeCell ref="C53:C56"/>
    <mergeCell ref="A49:A50"/>
    <mergeCell ref="B49:E50"/>
    <mergeCell ref="F49:G49"/>
    <mergeCell ref="A1:O1"/>
    <mergeCell ref="I37:I39"/>
    <mergeCell ref="K37:K39"/>
    <mergeCell ref="C8:C11"/>
    <mergeCell ref="N8:N12"/>
    <mergeCell ref="N20:N39"/>
    <mergeCell ref="D34:D36"/>
    <mergeCell ref="E34:E36"/>
    <mergeCell ref="I34:I36"/>
    <mergeCell ref="K34:K36"/>
    <mergeCell ref="D37:D39"/>
    <mergeCell ref="B7:B12"/>
    <mergeCell ref="B13:B19"/>
    <mergeCell ref="C13:C19"/>
    <mergeCell ref="B20:B39"/>
    <mergeCell ref="A2:A3"/>
    <mergeCell ref="O9:O10"/>
    <mergeCell ref="N13:N19"/>
    <mergeCell ref="M16:M19"/>
    <mergeCell ref="A4:A5"/>
    <mergeCell ref="B4:E5"/>
    <mergeCell ref="F4:G4"/>
    <mergeCell ref="H4:L4"/>
    <mergeCell ref="F5:G5"/>
    <mergeCell ref="C108:C118"/>
    <mergeCell ref="F108:H108"/>
    <mergeCell ref="O108:O118"/>
    <mergeCell ref="M117:M118"/>
    <mergeCell ref="N117:N118"/>
    <mergeCell ref="M112:M113"/>
    <mergeCell ref="B2:E3"/>
    <mergeCell ref="F2:G2"/>
    <mergeCell ref="H2:L2"/>
    <mergeCell ref="F3:G3"/>
    <mergeCell ref="H3:L3"/>
    <mergeCell ref="O75:O85"/>
    <mergeCell ref="N53:N57"/>
    <mergeCell ref="A46:O46"/>
    <mergeCell ref="A47:A48"/>
    <mergeCell ref="B47:E48"/>
    <mergeCell ref="F47:G47"/>
    <mergeCell ref="H47:L47"/>
    <mergeCell ref="H5:L5"/>
    <mergeCell ref="B40:C40"/>
    <mergeCell ref="F6:H6"/>
    <mergeCell ref="A7:A12"/>
    <mergeCell ref="A13:A19"/>
    <mergeCell ref="A20:A39"/>
    <mergeCell ref="A87:O87"/>
    <mergeCell ref="A88:A89"/>
    <mergeCell ref="B88:E89"/>
    <mergeCell ref="F88:G88"/>
    <mergeCell ref="H88:L88"/>
    <mergeCell ref="F89:G89"/>
    <mergeCell ref="H89:L89"/>
    <mergeCell ref="A90:A91"/>
    <mergeCell ref="B90:E91"/>
    <mergeCell ref="F90:G90"/>
    <mergeCell ref="H90:L90"/>
    <mergeCell ref="F91:G91"/>
    <mergeCell ref="H91:L91"/>
    <mergeCell ref="A119:A120"/>
    <mergeCell ref="B119:C120"/>
    <mergeCell ref="O119:O120"/>
    <mergeCell ref="F92:H92"/>
    <mergeCell ref="A93:A98"/>
    <mergeCell ref="B93:B98"/>
    <mergeCell ref="F93:H93"/>
    <mergeCell ref="C94:C97"/>
    <mergeCell ref="N94:N98"/>
    <mergeCell ref="O95:O96"/>
    <mergeCell ref="A99:A105"/>
    <mergeCell ref="B99:B105"/>
    <mergeCell ref="C99:C100"/>
    <mergeCell ref="O99:O100"/>
    <mergeCell ref="C101:C105"/>
    <mergeCell ref="N101:N105"/>
    <mergeCell ref="O101:O105"/>
    <mergeCell ref="A106:A107"/>
    <mergeCell ref="B106:B107"/>
    <mergeCell ref="C106:C107"/>
    <mergeCell ref="N106:N107"/>
    <mergeCell ref="O106:O107"/>
    <mergeCell ref="A108:A118"/>
    <mergeCell ref="B108:B118"/>
  </mergeCells>
  <phoneticPr fontId="14"/>
  <conditionalFormatting sqref="E43:H43">
    <cfRule type="expression" priority="436" stopIfTrue="1">
      <formula>$K43="COMP"</formula>
    </cfRule>
    <cfRule type="expression" dxfId="299" priority="437" stopIfTrue="1">
      <formula>$K43=""</formula>
    </cfRule>
    <cfRule type="expression" priority="438" stopIfTrue="1">
      <formula>$K43="-"</formula>
    </cfRule>
    <cfRule type="expression" dxfId="298" priority="439" stopIfTrue="1">
      <formula>$K43=0</formula>
    </cfRule>
    <cfRule type="expression" dxfId="297" priority="440" stopIfTrue="1">
      <formula>$K43&lt;&gt;""</formula>
    </cfRule>
  </conditionalFormatting>
  <conditionalFormatting sqref="E41:H42 E65:H66 E119:H120">
    <cfRule type="expression" priority="591" stopIfTrue="1">
      <formula>$L41="COMP"</formula>
    </cfRule>
    <cfRule type="expression" dxfId="296" priority="592" stopIfTrue="1">
      <formula>$L41=""</formula>
    </cfRule>
    <cfRule type="expression" priority="593" stopIfTrue="1">
      <formula>$L41="-"</formula>
    </cfRule>
    <cfRule type="expression" dxfId="295" priority="594" stopIfTrue="1">
      <formula>$L41=0</formula>
    </cfRule>
    <cfRule type="expression" dxfId="294" priority="595" stopIfTrue="1">
      <formula>$L41&lt;&gt;""</formula>
    </cfRule>
  </conditionalFormatting>
  <conditionalFormatting sqref="E58:H59">
    <cfRule type="expression" priority="421" stopIfTrue="1">
      <formula>$K58="COMP"</formula>
    </cfRule>
    <cfRule type="expression" dxfId="293" priority="422" stopIfTrue="1">
      <formula>$K58=""</formula>
    </cfRule>
    <cfRule type="expression" priority="423" stopIfTrue="1">
      <formula>$K58="-"</formula>
    </cfRule>
    <cfRule type="expression" dxfId="292" priority="424" stopIfTrue="1">
      <formula>$K58=0</formula>
    </cfRule>
    <cfRule type="expression" dxfId="291" priority="425" stopIfTrue="1">
      <formula>$K58&lt;&gt;""</formula>
    </cfRule>
  </conditionalFormatting>
  <conditionalFormatting sqref="E99:H100">
    <cfRule type="expression" priority="321" stopIfTrue="1">
      <formula>$K99="COMP"</formula>
    </cfRule>
    <cfRule type="expression" dxfId="290" priority="322" stopIfTrue="1">
      <formula>$K99=""</formula>
    </cfRule>
    <cfRule type="expression" priority="323" stopIfTrue="1">
      <formula>$K99="-"</formula>
    </cfRule>
    <cfRule type="expression" dxfId="289" priority="324" stopIfTrue="1">
      <formula>$K99=0</formula>
    </cfRule>
    <cfRule type="expression" dxfId="288" priority="325" stopIfTrue="1">
      <formula>$K99&lt;&gt;""</formula>
    </cfRule>
  </conditionalFormatting>
  <conditionalFormatting sqref="F110">
    <cfRule type="expression" priority="96" stopIfTrue="1">
      <formula>$K110="COMP"</formula>
    </cfRule>
    <cfRule type="expression" dxfId="287" priority="97" stopIfTrue="1">
      <formula>$K110=""</formula>
    </cfRule>
    <cfRule type="expression" priority="98" stopIfTrue="1">
      <formula>$K110="-"</formula>
    </cfRule>
    <cfRule type="expression" dxfId="286" priority="99" stopIfTrue="1">
      <formula>$K110=0</formula>
    </cfRule>
    <cfRule type="expression" dxfId="285" priority="100" stopIfTrue="1">
      <formula>$K110&lt;&gt;""</formula>
    </cfRule>
  </conditionalFormatting>
  <conditionalFormatting sqref="E110">
    <cfRule type="expression" priority="76" stopIfTrue="1">
      <formula>$K110="COMP"</formula>
    </cfRule>
    <cfRule type="expression" dxfId="284" priority="77" stopIfTrue="1">
      <formula>$K110=""</formula>
    </cfRule>
    <cfRule type="expression" priority="78" stopIfTrue="1">
      <formula>$K110="-"</formula>
    </cfRule>
    <cfRule type="expression" dxfId="283" priority="79" stopIfTrue="1">
      <formula>$K110=0</formula>
    </cfRule>
    <cfRule type="expression" dxfId="282" priority="80" stopIfTrue="1">
      <formula>$K110&lt;&gt;""</formula>
    </cfRule>
  </conditionalFormatting>
  <conditionalFormatting sqref="E108:F108">
    <cfRule type="expression" priority="81" stopIfTrue="1">
      <formula>$K108="COMP"</formula>
    </cfRule>
    <cfRule type="expression" dxfId="281" priority="82" stopIfTrue="1">
      <formula>$K108=""</formula>
    </cfRule>
    <cfRule type="expression" priority="83" stopIfTrue="1">
      <formula>$K108="-"</formula>
    </cfRule>
    <cfRule type="expression" dxfId="280" priority="84" stopIfTrue="1">
      <formula>$K108=0</formula>
    </cfRule>
    <cfRule type="expression" dxfId="279" priority="85" stopIfTrue="1">
      <formula>$K108&lt;&gt;""</formula>
    </cfRule>
  </conditionalFormatting>
  <conditionalFormatting sqref="F110">
    <cfRule type="expression" priority="91" stopIfTrue="1">
      <formula>$K110="COMP"</formula>
    </cfRule>
    <cfRule type="expression" dxfId="278" priority="92" stopIfTrue="1">
      <formula>$K110=""</formula>
    </cfRule>
    <cfRule type="expression" priority="93" stopIfTrue="1">
      <formula>$K110="-"</formula>
    </cfRule>
    <cfRule type="expression" dxfId="277" priority="94" stopIfTrue="1">
      <formula>$K110=0</formula>
    </cfRule>
    <cfRule type="expression" dxfId="276" priority="95" stopIfTrue="1">
      <formula>$K110&lt;&gt;""</formula>
    </cfRule>
  </conditionalFormatting>
  <conditionalFormatting sqref="E108:F108">
    <cfRule type="expression" priority="86" stopIfTrue="1">
      <formula>$K108="COMP"</formula>
    </cfRule>
    <cfRule type="expression" dxfId="275" priority="87" stopIfTrue="1">
      <formula>$K108=""</formula>
    </cfRule>
    <cfRule type="expression" priority="88" stopIfTrue="1">
      <formula>$K108="-"</formula>
    </cfRule>
    <cfRule type="expression" dxfId="274" priority="89" stopIfTrue="1">
      <formula>$K108=0</formula>
    </cfRule>
    <cfRule type="expression" dxfId="273" priority="90" stopIfTrue="1">
      <formula>$K108&lt;&gt;""</formula>
    </cfRule>
  </conditionalFormatting>
  <conditionalFormatting sqref="E109:H109 M115 E112:H118">
    <cfRule type="expression" priority="131" stopIfTrue="1">
      <formula>$K109="COMP"</formula>
    </cfRule>
    <cfRule type="expression" dxfId="272" priority="132" stopIfTrue="1">
      <formula>$K109=""</formula>
    </cfRule>
    <cfRule type="expression" priority="133" stopIfTrue="1">
      <formula>$K109="-"</formula>
    </cfRule>
    <cfRule type="expression" dxfId="271" priority="134" stopIfTrue="1">
      <formula>$K109=0</formula>
    </cfRule>
    <cfRule type="expression" dxfId="270" priority="135" stopIfTrue="1">
      <formula>$K109&lt;&gt;""</formula>
    </cfRule>
  </conditionalFormatting>
  <conditionalFormatting sqref="E110">
    <cfRule type="expression" priority="71" stopIfTrue="1">
      <formula>$K110="COMP"</formula>
    </cfRule>
    <cfRule type="expression" dxfId="269" priority="72" stopIfTrue="1">
      <formula>$K110=""</formula>
    </cfRule>
    <cfRule type="expression" priority="73" stopIfTrue="1">
      <formula>$K110="-"</formula>
    </cfRule>
    <cfRule type="expression" dxfId="268" priority="74" stopIfTrue="1">
      <formula>$K110=0</formula>
    </cfRule>
    <cfRule type="expression" dxfId="267" priority="75" stopIfTrue="1">
      <formula>$K110&lt;&gt;""</formula>
    </cfRule>
  </conditionalFormatting>
  <conditionalFormatting sqref="E111:H111">
    <cfRule type="expression" priority="116" stopIfTrue="1">
      <formula>$K111="COMP"</formula>
    </cfRule>
    <cfRule type="expression" dxfId="266" priority="117" stopIfTrue="1">
      <formula>$K111=""</formula>
    </cfRule>
    <cfRule type="expression" priority="118" stopIfTrue="1">
      <formula>$K111="-"</formula>
    </cfRule>
    <cfRule type="expression" dxfId="265" priority="119" stopIfTrue="1">
      <formula>$K111=0</formula>
    </cfRule>
    <cfRule type="expression" dxfId="264" priority="120" stopIfTrue="1">
      <formula>$K111&lt;&gt;""</formula>
    </cfRule>
  </conditionalFormatting>
  <conditionalFormatting sqref="E111:F111">
    <cfRule type="expression" priority="111" stopIfTrue="1">
      <formula>$K111="COMP"</formula>
    </cfRule>
    <cfRule type="expression" dxfId="263" priority="112" stopIfTrue="1">
      <formula>$K111=""</formula>
    </cfRule>
    <cfRule type="expression" priority="113" stopIfTrue="1">
      <formula>$K111="-"</formula>
    </cfRule>
    <cfRule type="expression" dxfId="262" priority="114" stopIfTrue="1">
      <formula>$K111=0</formula>
    </cfRule>
    <cfRule type="expression" dxfId="261" priority="115" stopIfTrue="1">
      <formula>$K111&lt;&gt;""</formula>
    </cfRule>
  </conditionalFormatting>
  <conditionalFormatting sqref="E115:H115">
    <cfRule type="expression" priority="106" stopIfTrue="1">
      <formula>#REF!="COMP"</formula>
    </cfRule>
    <cfRule type="expression" dxfId="260" priority="107" stopIfTrue="1">
      <formula>#REF!=""</formula>
    </cfRule>
    <cfRule type="expression" priority="108" stopIfTrue="1">
      <formula>#REF!="-"</formula>
    </cfRule>
    <cfRule type="expression" dxfId="259" priority="109" stopIfTrue="1">
      <formula>#REF!=0</formula>
    </cfRule>
    <cfRule type="expression" dxfId="258" priority="110" stopIfTrue="1">
      <formula>#REF!&lt;&gt;""</formula>
    </cfRule>
  </conditionalFormatting>
  <conditionalFormatting sqref="M115">
    <cfRule type="expression" priority="101" stopIfTrue="1">
      <formula>#REF!="COMP"</formula>
    </cfRule>
    <cfRule type="expression" dxfId="257" priority="102" stopIfTrue="1">
      <formula>#REF!=""</formula>
    </cfRule>
    <cfRule type="expression" priority="103" stopIfTrue="1">
      <formula>#REF!="-"</formula>
    </cfRule>
    <cfRule type="expression" dxfId="256" priority="104" stopIfTrue="1">
      <formula>#REF!=0</formula>
    </cfRule>
    <cfRule type="expression" dxfId="255" priority="105" stopIfTrue="1">
      <formula>#REF!&lt;&gt;""</formula>
    </cfRule>
  </conditionalFormatting>
  <conditionalFormatting sqref="E114:F114">
    <cfRule type="expression" priority="121" stopIfTrue="1">
      <formula>#REF!="COMP"</formula>
    </cfRule>
    <cfRule type="expression" dxfId="254" priority="122" stopIfTrue="1">
      <formula>#REF!=""</formula>
    </cfRule>
    <cfRule type="expression" priority="123" stopIfTrue="1">
      <formula>#REF!="-"</formula>
    </cfRule>
    <cfRule type="expression" dxfId="253" priority="124" stopIfTrue="1">
      <formula>#REF!=0</formula>
    </cfRule>
    <cfRule type="expression" dxfId="252" priority="125" stopIfTrue="1">
      <formula>#REF!&lt;&gt;""</formula>
    </cfRule>
  </conditionalFormatting>
  <conditionalFormatting sqref="E112:E113">
    <cfRule type="expression" priority="126" stopIfTrue="1">
      <formula>#REF!="COMP"</formula>
    </cfRule>
    <cfRule type="expression" dxfId="251" priority="127" stopIfTrue="1">
      <formula>#REF!=""</formula>
    </cfRule>
    <cfRule type="expression" priority="128" stopIfTrue="1">
      <formula>#REF!="-"</formula>
    </cfRule>
    <cfRule type="expression" dxfId="250" priority="129" stopIfTrue="1">
      <formula>#REF!=0</formula>
    </cfRule>
    <cfRule type="expression" dxfId="249" priority="130" stopIfTrue="1">
      <formula>#REF!&lt;&gt;""</formula>
    </cfRule>
  </conditionalFormatting>
  <conditionalFormatting sqref="G114:H114">
    <cfRule type="expression" priority="136" stopIfTrue="1">
      <formula>$K115="COMP"</formula>
    </cfRule>
    <cfRule type="expression" dxfId="248" priority="137" stopIfTrue="1">
      <formula>$K115=""</formula>
    </cfRule>
    <cfRule type="expression" priority="138" stopIfTrue="1">
      <formula>$K115="-"</formula>
    </cfRule>
    <cfRule type="expression" dxfId="247" priority="139" stopIfTrue="1">
      <formula>$K115=0</formula>
    </cfRule>
    <cfRule type="expression" dxfId="246" priority="140" stopIfTrue="1">
      <formula>$K115&lt;&gt;""</formula>
    </cfRule>
  </conditionalFormatting>
  <conditionalFormatting sqref="F77">
    <cfRule type="expression" priority="26" stopIfTrue="1">
      <formula>$K77="COMP"</formula>
    </cfRule>
    <cfRule type="expression" dxfId="245" priority="27" stopIfTrue="1">
      <formula>$K77=""</formula>
    </cfRule>
    <cfRule type="expression" priority="28" stopIfTrue="1">
      <formula>$K77="-"</formula>
    </cfRule>
    <cfRule type="expression" dxfId="244" priority="29" stopIfTrue="1">
      <formula>$K77=0</formula>
    </cfRule>
    <cfRule type="expression" dxfId="243" priority="30" stopIfTrue="1">
      <formula>$K77&lt;&gt;""</formula>
    </cfRule>
  </conditionalFormatting>
  <conditionalFormatting sqref="E77">
    <cfRule type="expression" priority="6" stopIfTrue="1">
      <formula>$K77="COMP"</formula>
    </cfRule>
    <cfRule type="expression" dxfId="242" priority="7" stopIfTrue="1">
      <formula>$K77=""</formula>
    </cfRule>
    <cfRule type="expression" priority="8" stopIfTrue="1">
      <formula>$K77="-"</formula>
    </cfRule>
    <cfRule type="expression" dxfId="241" priority="9" stopIfTrue="1">
      <formula>$K77=0</formula>
    </cfRule>
    <cfRule type="expression" dxfId="240" priority="10" stopIfTrue="1">
      <formula>$K77&lt;&gt;""</formula>
    </cfRule>
  </conditionalFormatting>
  <conditionalFormatting sqref="E75:F75">
    <cfRule type="expression" priority="11" stopIfTrue="1">
      <formula>$K75="COMP"</formula>
    </cfRule>
    <cfRule type="expression" dxfId="239" priority="12" stopIfTrue="1">
      <formula>$K75=""</formula>
    </cfRule>
    <cfRule type="expression" priority="13" stopIfTrue="1">
      <formula>$K75="-"</formula>
    </cfRule>
    <cfRule type="expression" dxfId="238" priority="14" stopIfTrue="1">
      <formula>$K75=0</formula>
    </cfRule>
    <cfRule type="expression" dxfId="237" priority="15" stopIfTrue="1">
      <formula>$K75&lt;&gt;""</formula>
    </cfRule>
  </conditionalFormatting>
  <conditionalFormatting sqref="F77">
    <cfRule type="expression" priority="21" stopIfTrue="1">
      <formula>$K77="COMP"</formula>
    </cfRule>
    <cfRule type="expression" dxfId="236" priority="22" stopIfTrue="1">
      <formula>$K77=""</formula>
    </cfRule>
    <cfRule type="expression" priority="23" stopIfTrue="1">
      <formula>$K77="-"</formula>
    </cfRule>
    <cfRule type="expression" dxfId="235" priority="24" stopIfTrue="1">
      <formula>$K77=0</formula>
    </cfRule>
    <cfRule type="expression" dxfId="234" priority="25" stopIfTrue="1">
      <formula>$K77&lt;&gt;""</formula>
    </cfRule>
  </conditionalFormatting>
  <conditionalFormatting sqref="E75:F75">
    <cfRule type="expression" priority="16" stopIfTrue="1">
      <formula>$K75="COMP"</formula>
    </cfRule>
    <cfRule type="expression" dxfId="233" priority="17" stopIfTrue="1">
      <formula>$K75=""</formula>
    </cfRule>
    <cfRule type="expression" priority="18" stopIfTrue="1">
      <formula>$K75="-"</formula>
    </cfRule>
    <cfRule type="expression" dxfId="232" priority="19" stopIfTrue="1">
      <formula>$K75=0</formula>
    </cfRule>
    <cfRule type="expression" dxfId="231" priority="20" stopIfTrue="1">
      <formula>$K75&lt;&gt;""</formula>
    </cfRule>
  </conditionalFormatting>
  <conditionalFormatting sqref="E76:H76 M82 E79:H85">
    <cfRule type="expression" priority="61" stopIfTrue="1">
      <formula>$K76="COMP"</formula>
    </cfRule>
    <cfRule type="expression" dxfId="230" priority="62" stopIfTrue="1">
      <formula>$K76=""</formula>
    </cfRule>
    <cfRule type="expression" priority="63" stopIfTrue="1">
      <formula>$K76="-"</formula>
    </cfRule>
    <cfRule type="expression" dxfId="229" priority="64" stopIfTrue="1">
      <formula>$K76=0</formula>
    </cfRule>
    <cfRule type="expression" dxfId="228" priority="65" stopIfTrue="1">
      <formula>$K76&lt;&gt;""</formula>
    </cfRule>
  </conditionalFormatting>
  <conditionalFormatting sqref="E77">
    <cfRule type="expression" priority="1" stopIfTrue="1">
      <formula>$K77="COMP"</formula>
    </cfRule>
    <cfRule type="expression" dxfId="227" priority="2" stopIfTrue="1">
      <formula>$K77=""</formula>
    </cfRule>
    <cfRule type="expression" priority="3" stopIfTrue="1">
      <formula>$K77="-"</formula>
    </cfRule>
    <cfRule type="expression" dxfId="226" priority="4" stopIfTrue="1">
      <formula>$K77=0</formula>
    </cfRule>
    <cfRule type="expression" dxfId="225" priority="5" stopIfTrue="1">
      <formula>$K77&lt;&gt;""</formula>
    </cfRule>
  </conditionalFormatting>
  <conditionalFormatting sqref="E78:H78">
    <cfRule type="expression" priority="46" stopIfTrue="1">
      <formula>$K78="COMP"</formula>
    </cfRule>
    <cfRule type="expression" dxfId="224" priority="47" stopIfTrue="1">
      <formula>$K78=""</formula>
    </cfRule>
    <cfRule type="expression" priority="48" stopIfTrue="1">
      <formula>$K78="-"</formula>
    </cfRule>
    <cfRule type="expression" dxfId="223" priority="49" stopIfTrue="1">
      <formula>$K78=0</formula>
    </cfRule>
    <cfRule type="expression" dxfId="222" priority="50" stopIfTrue="1">
      <formula>$K78&lt;&gt;""</formula>
    </cfRule>
  </conditionalFormatting>
  <conditionalFormatting sqref="E78:F78">
    <cfRule type="expression" priority="41" stopIfTrue="1">
      <formula>$K78="COMP"</formula>
    </cfRule>
    <cfRule type="expression" dxfId="221" priority="42" stopIfTrue="1">
      <formula>$K78=""</formula>
    </cfRule>
    <cfRule type="expression" priority="43" stopIfTrue="1">
      <formula>$K78="-"</formula>
    </cfRule>
    <cfRule type="expression" dxfId="220" priority="44" stopIfTrue="1">
      <formula>$K78=0</formula>
    </cfRule>
    <cfRule type="expression" dxfId="219" priority="45" stopIfTrue="1">
      <formula>$K78&lt;&gt;""</formula>
    </cfRule>
  </conditionalFormatting>
  <conditionalFormatting sqref="E82:H82">
    <cfRule type="expression" priority="36" stopIfTrue="1">
      <formula>#REF!="COMP"</formula>
    </cfRule>
    <cfRule type="expression" dxfId="218" priority="37" stopIfTrue="1">
      <formula>#REF!=""</formula>
    </cfRule>
    <cfRule type="expression" priority="38" stopIfTrue="1">
      <formula>#REF!="-"</formula>
    </cfRule>
    <cfRule type="expression" dxfId="217" priority="39" stopIfTrue="1">
      <formula>#REF!=0</formula>
    </cfRule>
    <cfRule type="expression" dxfId="216" priority="40" stopIfTrue="1">
      <formula>#REF!&lt;&gt;""</formula>
    </cfRule>
  </conditionalFormatting>
  <conditionalFormatting sqref="M82">
    <cfRule type="expression" priority="31" stopIfTrue="1">
      <formula>#REF!="COMP"</formula>
    </cfRule>
    <cfRule type="expression" dxfId="215" priority="32" stopIfTrue="1">
      <formula>#REF!=""</formula>
    </cfRule>
    <cfRule type="expression" priority="33" stopIfTrue="1">
      <formula>#REF!="-"</formula>
    </cfRule>
    <cfRule type="expression" dxfId="214" priority="34" stopIfTrue="1">
      <formula>#REF!=0</formula>
    </cfRule>
    <cfRule type="expression" dxfId="213" priority="35" stopIfTrue="1">
      <formula>#REF!&lt;&gt;""</formula>
    </cfRule>
  </conditionalFormatting>
  <conditionalFormatting sqref="E81:F81">
    <cfRule type="expression" priority="51" stopIfTrue="1">
      <formula>#REF!="COMP"</formula>
    </cfRule>
    <cfRule type="expression" dxfId="212" priority="52" stopIfTrue="1">
      <formula>#REF!=""</formula>
    </cfRule>
    <cfRule type="expression" priority="53" stopIfTrue="1">
      <formula>#REF!="-"</formula>
    </cfRule>
    <cfRule type="expression" dxfId="211" priority="54" stopIfTrue="1">
      <formula>#REF!=0</formula>
    </cfRule>
    <cfRule type="expression" dxfId="210" priority="55" stopIfTrue="1">
      <formula>#REF!&lt;&gt;""</formula>
    </cfRule>
  </conditionalFormatting>
  <conditionalFormatting sqref="E79:E80">
    <cfRule type="expression" priority="56" stopIfTrue="1">
      <formula>#REF!="COMP"</formula>
    </cfRule>
    <cfRule type="expression" dxfId="209" priority="57" stopIfTrue="1">
      <formula>#REF!=""</formula>
    </cfRule>
    <cfRule type="expression" priority="58" stopIfTrue="1">
      <formula>#REF!="-"</formula>
    </cfRule>
    <cfRule type="expression" dxfId="208" priority="59" stopIfTrue="1">
      <formula>#REF!=0</formula>
    </cfRule>
    <cfRule type="expression" dxfId="207" priority="60" stopIfTrue="1">
      <formula>#REF!&lt;&gt;""</formula>
    </cfRule>
  </conditionalFormatting>
  <conditionalFormatting sqref="G81:H81">
    <cfRule type="expression" priority="66" stopIfTrue="1">
      <formula>$K82="COMP"</formula>
    </cfRule>
    <cfRule type="expression" dxfId="206" priority="67" stopIfTrue="1">
      <formula>$K82=""</formula>
    </cfRule>
    <cfRule type="expression" priority="68" stopIfTrue="1">
      <formula>$K82="-"</formula>
    </cfRule>
    <cfRule type="expression" dxfId="205" priority="69" stopIfTrue="1">
      <formula>$K82=0</formula>
    </cfRule>
    <cfRule type="expression" dxfId="204" priority="70" stopIfTrue="1">
      <formula>$K82&lt;&gt;""</formula>
    </cfRule>
  </conditionalFormatting>
  <hyperlinks>
    <hyperlink ref="A1:P1" location="TEMPLATE!A1" display="内径にTFE有タイプ"/>
    <hyperlink ref="A46:O46" location="TEMPLATE!A1" display="内径にTFE有タイプ"/>
    <hyperlink ref="N60:N64" r:id="rId1" display="(資料)kzw-Thai加工等問い合わせ回答\20181226_【内研加工限界】\内研加工限界.pdf"/>
    <hyperlink ref="M62" r:id="rId2" display="..\..\yamamoto\設計基準・寸法・在庫データ\研磨_内研機_KS-B80及び球研機_KN-312A(坂本)\クイル＆ボルト＆砥石選定表.pdf"/>
    <hyperlink ref="A87:O87" location="TEMPLATE!A1" display="内径にTFE有タイプ"/>
    <hyperlink ref="N101:N105" r:id="rId3" display="(資料)kzw-Thai加工等問い合わせ回答\20181226_【内研加工限界】\内研加工限界.pdf"/>
    <hyperlink ref="M103" r:id="rId4" display="..\..\yamamoto\設計基準・寸法・在庫データ\研磨_内研機_KS-B80及び球研機_KN-312A(坂本)\クイル＆ボルト＆砥石選定表.pdf"/>
  </hyperlinks>
  <pageMargins left="0.25" right="0.25" top="0.75" bottom="0.75" header="0.3" footer="0.3"/>
  <pageSetup paperSize="9" scale="59" orientation="landscape"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B0F0"/>
  </sheetPr>
  <dimension ref="A1:O50"/>
  <sheetViews>
    <sheetView showGridLines="0" view="pageBreakPreview" topLeftCell="A11" zoomScale="70" zoomScaleNormal="100" zoomScaleSheetLayoutView="70" workbookViewId="0">
      <selection activeCell="F28" sqref="F28"/>
    </sheetView>
  </sheetViews>
  <sheetFormatPr defaultRowHeight="13.8"/>
  <cols>
    <col min="1" max="1" width="9.5" bestFit="1" customWidth="1"/>
    <col min="2" max="2" width="21.5" customWidth="1"/>
    <col min="3" max="3" width="26.3984375" bestFit="1" customWidth="1"/>
    <col min="4" max="4" width="5.59765625" customWidth="1"/>
    <col min="5" max="5" width="25.8984375" bestFit="1" customWidth="1"/>
    <col min="6" max="6" width="11.8984375" bestFit="1" customWidth="1"/>
    <col min="7" max="7" width="8.8984375" customWidth="1"/>
    <col min="8" max="8" width="8.8984375" style="13" customWidth="1"/>
    <col min="9" max="9" width="5.59765625" style="13" customWidth="1"/>
    <col min="10" max="12" width="5.59765625" customWidth="1"/>
    <col min="13" max="13" width="97.19921875" bestFit="1" customWidth="1"/>
    <col min="14" max="14" width="12.09765625" bestFit="1" customWidth="1"/>
    <col min="15" max="15" width="7" bestFit="1" customWidth="1"/>
  </cols>
  <sheetData>
    <row r="1" spans="1:15">
      <c r="A1" s="835" t="s">
        <v>1065</v>
      </c>
      <c r="B1" s="835"/>
      <c r="C1" s="835"/>
      <c r="D1" s="835"/>
      <c r="E1" s="835"/>
      <c r="F1" s="835"/>
      <c r="G1" s="835"/>
      <c r="H1" s="835"/>
      <c r="I1" s="835"/>
      <c r="J1" s="835"/>
      <c r="K1" s="835"/>
      <c r="L1" s="835"/>
      <c r="M1" s="835"/>
      <c r="N1" s="835"/>
      <c r="O1" s="835"/>
    </row>
    <row r="2" spans="1:15" ht="30" customHeight="1">
      <c r="A2" s="2314" t="s">
        <v>5</v>
      </c>
      <c r="B2" s="2144"/>
      <c r="C2" s="2144"/>
      <c r="D2" s="2144"/>
      <c r="E2" s="2144"/>
      <c r="F2" s="2006" t="s">
        <v>1391</v>
      </c>
      <c r="G2" s="2006"/>
      <c r="H2" s="2017"/>
      <c r="I2" s="2017"/>
      <c r="J2" s="2017"/>
      <c r="K2" s="2017"/>
      <c r="L2" s="2017"/>
      <c r="M2" s="1704" t="s">
        <v>1522</v>
      </c>
      <c r="N2" s="1669"/>
      <c r="O2" s="1744"/>
    </row>
    <row r="3" spans="1:15" ht="30" customHeight="1">
      <c r="A3" s="2315"/>
      <c r="B3" s="2144"/>
      <c r="C3" s="2144"/>
      <c r="D3" s="2144"/>
      <c r="E3" s="2144"/>
      <c r="F3" s="2006" t="s">
        <v>1371</v>
      </c>
      <c r="G3" s="2006"/>
      <c r="H3" s="2017"/>
      <c r="I3" s="2017"/>
      <c r="J3" s="2017"/>
      <c r="K3" s="2017"/>
      <c r="L3" s="2017"/>
      <c r="M3" s="432"/>
      <c r="N3" s="432"/>
      <c r="O3" s="839"/>
    </row>
    <row r="4" spans="1:15" ht="30" customHeight="1">
      <c r="A4" s="2314" t="s">
        <v>38</v>
      </c>
      <c r="B4" s="2144"/>
      <c r="C4" s="2144"/>
      <c r="D4" s="2144"/>
      <c r="E4" s="2144"/>
      <c r="F4" s="2007" t="s">
        <v>1392</v>
      </c>
      <c r="G4" s="2007"/>
      <c r="H4" s="2017"/>
      <c r="I4" s="2017"/>
      <c r="J4" s="2017"/>
      <c r="K4" s="2017"/>
      <c r="L4" s="2017"/>
      <c r="M4" s="432"/>
      <c r="N4" s="432"/>
      <c r="O4" s="839"/>
    </row>
    <row r="5" spans="1:15" ht="30" customHeight="1">
      <c r="A5" s="2315"/>
      <c r="B5" s="2144"/>
      <c r="C5" s="2144"/>
      <c r="D5" s="2144"/>
      <c r="E5" s="2144"/>
      <c r="F5" s="2008" t="s">
        <v>1372</v>
      </c>
      <c r="G5" s="2008"/>
      <c r="H5" s="2017"/>
      <c r="I5" s="2017"/>
      <c r="J5" s="2017"/>
      <c r="K5" s="2017"/>
      <c r="L5" s="2017"/>
      <c r="M5" s="432"/>
      <c r="N5" s="432"/>
      <c r="O5" s="839"/>
    </row>
    <row r="6" spans="1:15" ht="60" customHeight="1">
      <c r="A6" s="1705" t="s">
        <v>1227</v>
      </c>
      <c r="B6" s="2316" t="s">
        <v>6</v>
      </c>
      <c r="C6" s="2317"/>
      <c r="D6" s="1706" t="s">
        <v>1407</v>
      </c>
      <c r="E6" s="1707" t="s">
        <v>64</v>
      </c>
      <c r="F6" s="2318" t="s">
        <v>1</v>
      </c>
      <c r="G6" s="2319"/>
      <c r="H6" s="2320"/>
      <c r="I6" s="1708" t="s">
        <v>66</v>
      </c>
      <c r="J6" s="1708" t="s">
        <v>1376</v>
      </c>
      <c r="K6" s="1709" t="s">
        <v>1377</v>
      </c>
      <c r="L6" s="1709" t="s">
        <v>1375</v>
      </c>
      <c r="M6" s="1710" t="s">
        <v>1387</v>
      </c>
      <c r="N6" s="1710" t="s">
        <v>1378</v>
      </c>
      <c r="O6" s="1322" t="s">
        <v>1379</v>
      </c>
    </row>
    <row r="7" spans="1:15" ht="23.1" customHeight="1">
      <c r="A7" s="2364">
        <v>1021</v>
      </c>
      <c r="B7" s="2154" t="s">
        <v>458</v>
      </c>
      <c r="C7" s="2157" t="s">
        <v>33</v>
      </c>
      <c r="D7" s="1724"/>
      <c r="E7" s="1724" t="s">
        <v>34</v>
      </c>
      <c r="F7" s="1746" t="s">
        <v>25</v>
      </c>
      <c r="G7" s="1727"/>
      <c r="H7" s="1727"/>
      <c r="I7" s="264"/>
      <c r="J7" s="265"/>
      <c r="K7" s="265"/>
      <c r="L7" s="265"/>
      <c r="M7" s="2303"/>
      <c r="N7" s="353"/>
      <c r="O7" s="298" t="str">
        <f t="shared" ref="O7:O9" si="0">HYPERLINK(VLOOKUP(F7,LINK,2,FALSE),VLOOKUP(F7,LINK,3,FALSE))</f>
        <v>EXCEL</v>
      </c>
    </row>
    <row r="8" spans="1:15" ht="23.1" customHeight="1">
      <c r="A8" s="2365"/>
      <c r="B8" s="2367"/>
      <c r="C8" s="2158"/>
      <c r="D8" s="1725"/>
      <c r="E8" s="1725" t="s">
        <v>26</v>
      </c>
      <c r="F8" s="269" t="s">
        <v>27</v>
      </c>
      <c r="G8" s="317"/>
      <c r="H8" s="317"/>
      <c r="I8" s="270"/>
      <c r="J8" s="271"/>
      <c r="K8" s="271"/>
      <c r="L8" s="271"/>
      <c r="M8" s="2303"/>
      <c r="N8" s="359"/>
      <c r="O8" s="299" t="str">
        <f t="shared" si="0"/>
        <v>EXCEL</v>
      </c>
    </row>
    <row r="9" spans="1:15" ht="23.1" customHeight="1">
      <c r="A9" s="2366"/>
      <c r="B9" s="2368"/>
      <c r="C9" s="1726" t="s">
        <v>35</v>
      </c>
      <c r="D9" s="1726"/>
      <c r="E9" s="1726" t="s">
        <v>34</v>
      </c>
      <c r="F9" s="273" t="s">
        <v>36</v>
      </c>
      <c r="G9" s="318"/>
      <c r="H9" s="318"/>
      <c r="I9" s="274"/>
      <c r="J9" s="275"/>
      <c r="K9" s="275"/>
      <c r="L9" s="275"/>
      <c r="M9" s="2304"/>
      <c r="N9" s="1672"/>
      <c r="O9" s="1722" t="str">
        <f t="shared" si="0"/>
        <v>EXCEL</v>
      </c>
    </row>
    <row r="10" spans="1:15" ht="23.1" customHeight="1">
      <c r="A10" s="2429">
        <v>1041</v>
      </c>
      <c r="B10" s="1994" t="s">
        <v>654</v>
      </c>
      <c r="C10" s="2352" t="s">
        <v>1533</v>
      </c>
      <c r="D10" s="188"/>
      <c r="E10" s="303" t="s">
        <v>711</v>
      </c>
      <c r="F10" s="342" t="s">
        <v>712</v>
      </c>
      <c r="G10" s="343"/>
      <c r="H10" s="501"/>
      <c r="I10" s="188"/>
      <c r="J10" s="188"/>
      <c r="K10" s="188"/>
      <c r="L10" s="188"/>
      <c r="M10" s="305"/>
      <c r="N10" s="2338"/>
      <c r="O10" s="2018" t="str">
        <f>HYPERLINK(VLOOKUP(F10,LINK,2,FALSE),VLOOKUP(F10,LINK,3,FALSE))</f>
        <v>EXCEL</v>
      </c>
    </row>
    <row r="11" spans="1:15" ht="23.1" customHeight="1">
      <c r="A11" s="2430"/>
      <c r="B11" s="1994"/>
      <c r="C11" s="2353"/>
      <c r="D11" s="1737"/>
      <c r="E11" s="1739" t="s">
        <v>713</v>
      </c>
      <c r="F11" s="345" t="s">
        <v>714</v>
      </c>
      <c r="G11" s="346"/>
      <c r="H11" s="502"/>
      <c r="I11" s="1737"/>
      <c r="J11" s="1737"/>
      <c r="K11" s="1737"/>
      <c r="L11" s="1737"/>
      <c r="M11" s="306"/>
      <c r="N11" s="2339"/>
      <c r="O11" s="2019"/>
    </row>
    <row r="12" spans="1:15" ht="23.1" customHeight="1">
      <c r="A12" s="2430"/>
      <c r="B12" s="1994"/>
      <c r="C12" s="2353"/>
      <c r="D12" s="1737"/>
      <c r="E12" s="1739" t="s">
        <v>715</v>
      </c>
      <c r="F12" s="345" t="s">
        <v>716</v>
      </c>
      <c r="G12" s="346"/>
      <c r="H12" s="502"/>
      <c r="I12" s="1737"/>
      <c r="J12" s="1737"/>
      <c r="K12" s="1737"/>
      <c r="L12" s="1737"/>
      <c r="M12" s="306"/>
      <c r="N12" s="2339"/>
      <c r="O12" s="2019"/>
    </row>
    <row r="13" spans="1:15" ht="23.1" customHeight="1">
      <c r="A13" s="2430"/>
      <c r="B13" s="1994"/>
      <c r="C13" s="2353"/>
      <c r="D13" s="1737"/>
      <c r="E13" s="1739" t="s">
        <v>717</v>
      </c>
      <c r="F13" s="345" t="s">
        <v>76</v>
      </c>
      <c r="G13" s="346"/>
      <c r="H13" s="502"/>
      <c r="I13" s="1737"/>
      <c r="J13" s="1737"/>
      <c r="K13" s="1737"/>
      <c r="L13" s="1737"/>
      <c r="M13" s="306"/>
      <c r="N13" s="2339"/>
      <c r="O13" s="2019"/>
    </row>
    <row r="14" spans="1:15" ht="23.1" customHeight="1">
      <c r="A14" s="2430"/>
      <c r="B14" s="1994"/>
      <c r="C14" s="2353"/>
      <c r="D14" s="1737"/>
      <c r="E14" s="1739" t="s">
        <v>718</v>
      </c>
      <c r="F14" s="345" t="s">
        <v>719</v>
      </c>
      <c r="G14" s="346"/>
      <c r="H14" s="502"/>
      <c r="I14" s="1737"/>
      <c r="J14" s="1737"/>
      <c r="K14" s="1737"/>
      <c r="L14" s="1737"/>
      <c r="M14" s="306"/>
      <c r="N14" s="2339"/>
      <c r="O14" s="2019"/>
    </row>
    <row r="15" spans="1:15" ht="23.1" customHeight="1">
      <c r="A15" s="2430"/>
      <c r="B15" s="1994"/>
      <c r="C15" s="2353"/>
      <c r="D15" s="1737"/>
      <c r="E15" s="1739" t="s">
        <v>720</v>
      </c>
      <c r="F15" s="345" t="s">
        <v>721</v>
      </c>
      <c r="G15" s="346"/>
      <c r="H15" s="502"/>
      <c r="I15" s="1737"/>
      <c r="J15" s="1737"/>
      <c r="K15" s="1737"/>
      <c r="L15" s="1737"/>
      <c r="M15" s="306"/>
      <c r="N15" s="2339"/>
      <c r="O15" s="2019"/>
    </row>
    <row r="16" spans="1:15" ht="23.1" customHeight="1">
      <c r="A16" s="2430"/>
      <c r="B16" s="1994"/>
      <c r="C16" s="2353"/>
      <c r="D16" s="1737"/>
      <c r="E16" s="1739" t="s">
        <v>722</v>
      </c>
      <c r="F16" s="345" t="s">
        <v>723</v>
      </c>
      <c r="G16" s="346"/>
      <c r="H16" s="502"/>
      <c r="I16" s="1737"/>
      <c r="J16" s="1737"/>
      <c r="K16" s="1737"/>
      <c r="L16" s="1737"/>
      <c r="M16" s="306"/>
      <c r="N16" s="2339"/>
      <c r="O16" s="2019"/>
    </row>
    <row r="17" spans="1:15" ht="35.4" customHeight="1">
      <c r="A17" s="2430"/>
      <c r="B17" s="1994"/>
      <c r="C17" s="2353"/>
      <c r="D17" s="1737"/>
      <c r="E17" s="1739" t="s">
        <v>1366</v>
      </c>
      <c r="F17" s="1313" t="s">
        <v>1367</v>
      </c>
      <c r="G17" s="346"/>
      <c r="H17" s="502"/>
      <c r="I17" s="1737"/>
      <c r="J17" s="1737"/>
      <c r="K17" s="1737"/>
      <c r="L17" s="1737"/>
      <c r="M17" s="306"/>
      <c r="N17" s="2339"/>
      <c r="O17" s="2019"/>
    </row>
    <row r="18" spans="1:15" ht="23.1" customHeight="1">
      <c r="A18" s="2430"/>
      <c r="B18" s="1994"/>
      <c r="C18" s="2353"/>
      <c r="D18" s="1737"/>
      <c r="E18" s="1743" t="s">
        <v>71</v>
      </c>
      <c r="F18" s="345" t="s">
        <v>724</v>
      </c>
      <c r="G18" s="346"/>
      <c r="H18" s="502"/>
      <c r="I18" s="1737"/>
      <c r="J18" s="1737"/>
      <c r="K18" s="1737"/>
      <c r="L18" s="1737"/>
      <c r="M18" s="306"/>
      <c r="N18" s="2339"/>
      <c r="O18" s="2019"/>
    </row>
    <row r="19" spans="1:15" ht="23.1" customHeight="1">
      <c r="A19" s="2430"/>
      <c r="B19" s="1994"/>
      <c r="C19" s="2353"/>
      <c r="D19" s="1737"/>
      <c r="E19" s="1739" t="s">
        <v>1368</v>
      </c>
      <c r="F19" s="345" t="s">
        <v>725</v>
      </c>
      <c r="G19" s="346"/>
      <c r="H19" s="503"/>
      <c r="I19" s="1737"/>
      <c r="J19" s="1737"/>
      <c r="K19" s="1737"/>
      <c r="L19" s="1737"/>
      <c r="M19" s="306"/>
      <c r="N19" s="2339"/>
      <c r="O19" s="2019"/>
    </row>
    <row r="20" spans="1:15" ht="23.1" customHeight="1">
      <c r="A20" s="2431"/>
      <c r="B20" s="1994"/>
      <c r="C20" s="2354"/>
      <c r="D20" s="1738"/>
      <c r="E20" s="496" t="s">
        <v>709</v>
      </c>
      <c r="F20" s="497" t="s">
        <v>710</v>
      </c>
      <c r="G20" s="492"/>
      <c r="H20" s="504"/>
      <c r="I20" s="1738"/>
      <c r="J20" s="1738"/>
      <c r="K20" s="1738"/>
      <c r="L20" s="1738"/>
      <c r="M20" s="440"/>
      <c r="N20" s="2340"/>
      <c r="O20" s="2020"/>
    </row>
    <row r="21" spans="1:15" ht="23.1" customHeight="1">
      <c r="A21" s="2429">
        <v>1061</v>
      </c>
      <c r="B21" s="1995" t="s">
        <v>1536</v>
      </c>
      <c r="C21" s="2266" t="s">
        <v>1524</v>
      </c>
      <c r="D21" s="1734"/>
      <c r="E21" s="388" t="s">
        <v>558</v>
      </c>
      <c r="F21" s="368" t="s">
        <v>37</v>
      </c>
      <c r="G21" s="389"/>
      <c r="H21" s="390"/>
      <c r="I21" s="986"/>
      <c r="J21" s="1054"/>
      <c r="K21" s="391"/>
      <c r="L21" s="391"/>
      <c r="M21" s="187" t="s">
        <v>1510</v>
      </c>
      <c r="N21" s="2286" t="s">
        <v>1504</v>
      </c>
      <c r="O21" s="2018" t="str">
        <f>HYPERLINK(VLOOKUP(F21,LINK,2,FALSE),VLOOKUP(F21,LINK,3,FALSE))</f>
        <v>EXCEL</v>
      </c>
    </row>
    <row r="22" spans="1:15" ht="23.1" customHeight="1">
      <c r="A22" s="2430"/>
      <c r="B22" s="1996"/>
      <c r="C22" s="2266"/>
      <c r="D22" s="1735"/>
      <c r="E22" s="704" t="s">
        <v>559</v>
      </c>
      <c r="F22" s="375" t="s">
        <v>560</v>
      </c>
      <c r="G22" s="376"/>
      <c r="H22" s="377"/>
      <c r="I22" s="378"/>
      <c r="J22" s="1055"/>
      <c r="K22" s="395"/>
      <c r="L22" s="395"/>
      <c r="M22" s="1673" t="s">
        <v>1506</v>
      </c>
      <c r="N22" s="2287"/>
      <c r="O22" s="2019"/>
    </row>
    <row r="23" spans="1:15" ht="23.1" customHeight="1">
      <c r="A23" s="2430"/>
      <c r="B23" s="1996"/>
      <c r="C23" s="2266"/>
      <c r="D23" s="1697"/>
      <c r="E23" s="1687" t="s">
        <v>561</v>
      </c>
      <c r="F23" s="1688" t="s">
        <v>529</v>
      </c>
      <c r="G23" s="1689"/>
      <c r="H23" s="1690">
        <v>-99</v>
      </c>
      <c r="I23" s="1699"/>
      <c r="J23" s="1700"/>
      <c r="K23" s="1701"/>
      <c r="L23" s="1701"/>
      <c r="M23" s="1694" t="s">
        <v>1507</v>
      </c>
      <c r="N23" s="2287"/>
      <c r="O23" s="2019"/>
    </row>
    <row r="24" spans="1:15" ht="23.1" customHeight="1">
      <c r="A24" s="2430"/>
      <c r="B24" s="1996"/>
      <c r="C24" s="2266"/>
      <c r="D24" s="1697"/>
      <c r="E24" s="1687" t="s">
        <v>563</v>
      </c>
      <c r="F24" s="1688" t="s">
        <v>530</v>
      </c>
      <c r="G24" s="1689"/>
      <c r="H24" s="1698" t="s">
        <v>531</v>
      </c>
      <c r="I24" s="1699"/>
      <c r="J24" s="1700"/>
      <c r="K24" s="1701"/>
      <c r="L24" s="1702"/>
      <c r="M24" s="1694"/>
      <c r="N24" s="2287"/>
      <c r="O24" s="2019"/>
    </row>
    <row r="25" spans="1:15" ht="23.1" customHeight="1">
      <c r="A25" s="2430"/>
      <c r="B25" s="1996"/>
      <c r="C25" s="2266"/>
      <c r="D25" s="1697"/>
      <c r="E25" s="1687" t="s">
        <v>566</v>
      </c>
      <c r="F25" s="1688" t="s">
        <v>532</v>
      </c>
      <c r="G25" s="1689"/>
      <c r="H25" s="1695" t="s">
        <v>523</v>
      </c>
      <c r="I25" s="1699"/>
      <c r="J25" s="1700"/>
      <c r="K25" s="1701"/>
      <c r="L25" s="1702"/>
      <c r="M25" s="1694"/>
      <c r="N25" s="2287"/>
      <c r="O25" s="2019"/>
    </row>
    <row r="26" spans="1:15" ht="23.1" customHeight="1">
      <c r="A26" s="2430"/>
      <c r="B26" s="1996"/>
      <c r="C26" s="2266"/>
      <c r="D26" s="1697"/>
      <c r="E26" s="1687" t="s">
        <v>569</v>
      </c>
      <c r="F26" s="1688" t="s">
        <v>532</v>
      </c>
      <c r="G26" s="1689"/>
      <c r="H26" s="1695" t="s">
        <v>523</v>
      </c>
      <c r="I26" s="1699"/>
      <c r="J26" s="1700"/>
      <c r="K26" s="1701"/>
      <c r="L26" s="1702"/>
      <c r="M26" s="1694"/>
      <c r="N26" s="2287"/>
      <c r="O26" s="2019"/>
    </row>
    <row r="27" spans="1:15" ht="23.1" customHeight="1">
      <c r="A27" s="2430"/>
      <c r="B27" s="1996"/>
      <c r="C27" s="2266"/>
      <c r="D27" s="1735"/>
      <c r="E27" s="704" t="s">
        <v>570</v>
      </c>
      <c r="F27" s="375" t="s">
        <v>571</v>
      </c>
      <c r="G27" s="376"/>
      <c r="H27" s="377"/>
      <c r="I27" s="378"/>
      <c r="J27" s="1055"/>
      <c r="K27" s="395"/>
      <c r="L27" s="395"/>
      <c r="M27" s="1674" t="s">
        <v>1508</v>
      </c>
      <c r="N27" s="2287"/>
      <c r="O27" s="2019"/>
    </row>
    <row r="28" spans="1:15" ht="23.1" customHeight="1">
      <c r="A28" s="2430"/>
      <c r="B28" s="1996"/>
      <c r="C28" s="2266"/>
      <c r="D28" s="1686"/>
      <c r="E28" s="1687" t="s">
        <v>572</v>
      </c>
      <c r="F28" s="1688" t="s">
        <v>573</v>
      </c>
      <c r="G28" s="1689"/>
      <c r="H28" s="1695"/>
      <c r="I28" s="1691"/>
      <c r="J28" s="1692"/>
      <c r="K28" s="1693"/>
      <c r="L28" s="1693"/>
      <c r="M28" s="1696" t="s">
        <v>1507</v>
      </c>
      <c r="N28" s="2287"/>
      <c r="O28" s="2019"/>
    </row>
    <row r="29" spans="1:15" ht="23.1" customHeight="1">
      <c r="A29" s="2430"/>
      <c r="B29" s="1996"/>
      <c r="C29" s="2266"/>
      <c r="D29" s="1735"/>
      <c r="E29" s="704" t="s">
        <v>574</v>
      </c>
      <c r="F29" s="375" t="s">
        <v>575</v>
      </c>
      <c r="G29" s="376"/>
      <c r="H29" s="377"/>
      <c r="I29" s="378"/>
      <c r="J29" s="1055"/>
      <c r="K29" s="395"/>
      <c r="L29" s="395"/>
      <c r="M29" s="1674" t="s">
        <v>1508</v>
      </c>
      <c r="N29" s="2287"/>
      <c r="O29" s="2019"/>
    </row>
    <row r="30" spans="1:15" ht="23.1" customHeight="1">
      <c r="A30" s="2430"/>
      <c r="B30" s="1996"/>
      <c r="C30" s="2266"/>
      <c r="D30" s="1735"/>
      <c r="E30" s="1743" t="s">
        <v>576</v>
      </c>
      <c r="F30" s="375" t="s">
        <v>577</v>
      </c>
      <c r="G30" s="376"/>
      <c r="H30" s="377"/>
      <c r="I30" s="378"/>
      <c r="J30" s="1055"/>
      <c r="K30" s="395"/>
      <c r="L30" s="395"/>
      <c r="M30" s="1674" t="s">
        <v>1509</v>
      </c>
      <c r="N30" s="2287"/>
      <c r="O30" s="2019"/>
    </row>
    <row r="31" spans="1:15" ht="23.1" customHeight="1">
      <c r="A31" s="2430"/>
      <c r="B31" s="1996"/>
      <c r="C31" s="2266"/>
      <c r="D31" s="1735"/>
      <c r="E31" s="704" t="s">
        <v>578</v>
      </c>
      <c r="F31" s="375" t="s">
        <v>579</v>
      </c>
      <c r="G31" s="376"/>
      <c r="H31" s="377"/>
      <c r="I31" s="378"/>
      <c r="J31" s="1055"/>
      <c r="K31" s="395"/>
      <c r="L31" s="395"/>
      <c r="M31" s="1674" t="s">
        <v>1511</v>
      </c>
      <c r="N31" s="2287"/>
      <c r="O31" s="2019"/>
    </row>
    <row r="32" spans="1:15" ht="23.1" customHeight="1">
      <c r="A32" s="2430"/>
      <c r="B32" s="1996"/>
      <c r="C32" s="2266"/>
      <c r="D32" s="1735"/>
      <c r="E32" s="704" t="s">
        <v>580</v>
      </c>
      <c r="F32" s="375" t="s">
        <v>581</v>
      </c>
      <c r="G32" s="376"/>
      <c r="H32" s="377"/>
      <c r="I32" s="378"/>
      <c r="J32" s="1055"/>
      <c r="K32" s="395"/>
      <c r="L32" s="395" t="s">
        <v>582</v>
      </c>
      <c r="M32" s="1674" t="s">
        <v>1512</v>
      </c>
      <c r="N32" s="2287"/>
      <c r="O32" s="2019"/>
    </row>
    <row r="33" spans="1:15" ht="23.1" customHeight="1">
      <c r="A33" s="2430"/>
      <c r="B33" s="1996"/>
      <c r="C33" s="2432" t="s">
        <v>1525</v>
      </c>
      <c r="D33" s="188"/>
      <c r="E33" s="1736" t="s">
        <v>590</v>
      </c>
      <c r="F33" s="1732" t="s">
        <v>591</v>
      </c>
      <c r="G33" s="424"/>
      <c r="H33" s="370"/>
      <c r="I33" s="188"/>
      <c r="J33" s="188"/>
      <c r="K33" s="188"/>
      <c r="L33" s="188"/>
      <c r="M33" s="188"/>
      <c r="N33" s="2116" t="s">
        <v>1505</v>
      </c>
      <c r="O33" s="2018" t="str">
        <f>HYPERLINK(VLOOKUP(F33,LINK,2,FALSE),VLOOKUP(F33,LINK,3,FALSE))</f>
        <v>EXCEL</v>
      </c>
    </row>
    <row r="34" spans="1:15" ht="23.1" customHeight="1">
      <c r="A34" s="2430"/>
      <c r="B34" s="1996"/>
      <c r="C34" s="2433"/>
      <c r="D34" s="1738"/>
      <c r="E34" s="1741" t="s">
        <v>592</v>
      </c>
      <c r="F34" s="1731" t="s">
        <v>593</v>
      </c>
      <c r="G34" s="426"/>
      <c r="H34" s="384"/>
      <c r="I34" s="1738"/>
      <c r="J34" s="1738"/>
      <c r="K34" s="1738"/>
      <c r="L34" s="1738"/>
      <c r="M34" s="1738"/>
      <c r="N34" s="2117"/>
      <c r="O34" s="2020"/>
    </row>
    <row r="35" spans="1:15" ht="23.1" customHeight="1">
      <c r="A35" s="2430"/>
      <c r="B35" s="1996"/>
      <c r="C35" s="2073" t="s">
        <v>1528</v>
      </c>
      <c r="D35" s="188"/>
      <c r="E35" s="303" t="s">
        <v>72</v>
      </c>
      <c r="F35" s="342" t="s">
        <v>81</v>
      </c>
      <c r="G35" s="343"/>
      <c r="H35" s="344"/>
      <c r="I35" s="188"/>
      <c r="J35" s="188"/>
      <c r="K35" s="188"/>
      <c r="L35" s="188"/>
      <c r="M35" s="188"/>
      <c r="N35" s="1995" t="s">
        <v>1433</v>
      </c>
      <c r="O35" s="2018" t="str">
        <f>HYPERLINK(VLOOKUP(F35,LINK,2,FALSE),VLOOKUP(F35,LINK,3,FALSE))</f>
        <v>EXCEL</v>
      </c>
    </row>
    <row r="36" spans="1:15" ht="23.1" customHeight="1">
      <c r="A36" s="2430"/>
      <c r="B36" s="1996"/>
      <c r="C36" s="2105"/>
      <c r="D36" s="1737"/>
      <c r="E36" s="1739" t="s">
        <v>73</v>
      </c>
      <c r="F36" s="345" t="s">
        <v>83</v>
      </c>
      <c r="G36" s="346"/>
      <c r="H36" s="347"/>
      <c r="I36" s="1737"/>
      <c r="J36" s="1737"/>
      <c r="K36" s="1737"/>
      <c r="L36" s="1737"/>
      <c r="M36" s="1737"/>
      <c r="N36" s="2434"/>
      <c r="O36" s="2019"/>
    </row>
    <row r="37" spans="1:15" ht="23.1" customHeight="1">
      <c r="A37" s="2430"/>
      <c r="B37" s="1996"/>
      <c r="C37" s="2105"/>
      <c r="D37" s="1714"/>
      <c r="E37" s="1715" t="s">
        <v>74</v>
      </c>
      <c r="F37" s="2327" t="s">
        <v>82</v>
      </c>
      <c r="G37" s="2328"/>
      <c r="H37" s="2329"/>
      <c r="I37" s="1714"/>
      <c r="J37" s="1716"/>
      <c r="K37" s="1716"/>
      <c r="L37" s="1714"/>
      <c r="M37" s="2435" t="s">
        <v>1530</v>
      </c>
      <c r="N37" s="1680"/>
      <c r="O37" s="2019"/>
    </row>
    <row r="38" spans="1:15" ht="23.1" customHeight="1">
      <c r="A38" s="2430"/>
      <c r="B38" s="1996"/>
      <c r="C38" s="2105"/>
      <c r="D38" s="1714"/>
      <c r="E38" s="1715" t="s">
        <v>79</v>
      </c>
      <c r="F38" s="2330" t="s">
        <v>80</v>
      </c>
      <c r="G38" s="2331"/>
      <c r="H38" s="2332"/>
      <c r="I38" s="1714"/>
      <c r="J38" s="1716"/>
      <c r="K38" s="1716"/>
      <c r="L38" s="1714"/>
      <c r="M38" s="2436"/>
      <c r="N38" s="1680"/>
      <c r="O38" s="2019"/>
    </row>
    <row r="39" spans="1:15" ht="23.1" customHeight="1">
      <c r="A39" s="2431"/>
      <c r="B39" s="1997"/>
      <c r="C39" s="2074"/>
      <c r="D39" s="229"/>
      <c r="E39" s="1740" t="s">
        <v>735</v>
      </c>
      <c r="F39" s="348" t="s">
        <v>1174</v>
      </c>
      <c r="G39" s="451"/>
      <c r="H39" s="349"/>
      <c r="I39" s="229"/>
      <c r="J39" s="229"/>
      <c r="K39" s="229"/>
      <c r="L39" s="229"/>
      <c r="M39" s="2437"/>
      <c r="N39" s="1681"/>
      <c r="O39" s="2020"/>
    </row>
    <row r="40" spans="1:15" ht="23.1" customHeight="1">
      <c r="A40" s="2134">
        <v>1081</v>
      </c>
      <c r="B40" s="2275" t="s">
        <v>1268</v>
      </c>
      <c r="C40" s="2144" t="s">
        <v>1307</v>
      </c>
      <c r="D40" s="1719"/>
      <c r="E40" s="1720" t="s">
        <v>595</v>
      </c>
      <c r="F40" s="2321"/>
      <c r="G40" s="2322"/>
      <c r="H40" s="2323"/>
      <c r="I40" s="1721"/>
      <c r="J40" s="1721"/>
      <c r="K40" s="1721"/>
      <c r="L40" s="1721"/>
      <c r="M40" s="1289" t="s">
        <v>1514</v>
      </c>
      <c r="N40" s="1289"/>
      <c r="O40" s="2149" t="s">
        <v>197</v>
      </c>
    </row>
    <row r="41" spans="1:15" ht="23.1" customHeight="1">
      <c r="A41" s="2134"/>
      <c r="B41" s="2275"/>
      <c r="C41" s="2144"/>
      <c r="D41" s="140"/>
      <c r="E41" s="875" t="s">
        <v>600</v>
      </c>
      <c r="F41" s="1728" t="s">
        <v>601</v>
      </c>
      <c r="G41" s="182"/>
      <c r="H41" s="183"/>
      <c r="I41" s="140"/>
      <c r="J41" s="140"/>
      <c r="K41" s="140"/>
      <c r="L41" s="140"/>
      <c r="M41" s="1676" t="s">
        <v>1514</v>
      </c>
      <c r="N41" s="1676"/>
      <c r="O41" s="2149"/>
    </row>
    <row r="42" spans="1:15" ht="23.1" customHeight="1">
      <c r="A42" s="2134"/>
      <c r="B42" s="2275"/>
      <c r="C42" s="2144"/>
      <c r="D42" s="140"/>
      <c r="E42" s="429" t="s">
        <v>596</v>
      </c>
      <c r="F42" s="1159" t="s">
        <v>1272</v>
      </c>
      <c r="G42" s="1729"/>
      <c r="H42" s="1730"/>
      <c r="I42" s="1160"/>
      <c r="J42" s="1160"/>
      <c r="K42" s="1160"/>
      <c r="L42" s="1160"/>
      <c r="M42" s="1160" t="s">
        <v>1515</v>
      </c>
      <c r="N42" s="1160"/>
      <c r="O42" s="2149"/>
    </row>
    <row r="43" spans="1:15" ht="23.1" customHeight="1">
      <c r="A43" s="2134"/>
      <c r="B43" s="2275"/>
      <c r="C43" s="2144"/>
      <c r="D43" s="1160"/>
      <c r="E43" s="1745" t="s">
        <v>30</v>
      </c>
      <c r="F43" s="1159" t="s">
        <v>597</v>
      </c>
      <c r="G43" s="1163"/>
      <c r="H43" s="1164"/>
      <c r="I43" s="1160"/>
      <c r="J43" s="1160"/>
      <c r="K43" s="1160"/>
      <c r="L43" s="1160"/>
      <c r="M43" s="1677" t="s">
        <v>1516</v>
      </c>
      <c r="N43" s="1677"/>
      <c r="O43" s="2149"/>
    </row>
    <row r="44" spans="1:15" ht="23.1" customHeight="1">
      <c r="A44" s="2134"/>
      <c r="B44" s="2275"/>
      <c r="C44" s="2144"/>
      <c r="D44" s="1160"/>
      <c r="E44" s="1733" t="s">
        <v>1333</v>
      </c>
      <c r="F44" s="1728" t="s">
        <v>606</v>
      </c>
      <c r="G44" s="182"/>
      <c r="H44" s="183"/>
      <c r="I44" s="140"/>
      <c r="J44" s="140"/>
      <c r="K44" s="140"/>
      <c r="L44" s="140"/>
      <c r="M44" s="1703" t="s">
        <v>1517</v>
      </c>
      <c r="N44" s="1718"/>
      <c r="O44" s="2149"/>
    </row>
    <row r="45" spans="1:15" ht="23.1" customHeight="1">
      <c r="A45" s="2134"/>
      <c r="B45" s="2275"/>
      <c r="C45" s="2144"/>
      <c r="D45" s="1160"/>
      <c r="E45" s="1733" t="s">
        <v>604</v>
      </c>
      <c r="F45" s="1728" t="s">
        <v>540</v>
      </c>
      <c r="G45" s="182" t="s">
        <v>809</v>
      </c>
      <c r="H45" s="183"/>
      <c r="I45" s="140"/>
      <c r="J45" s="140"/>
      <c r="K45" s="140"/>
      <c r="L45" s="140"/>
      <c r="M45" s="1703" t="s">
        <v>1517</v>
      </c>
      <c r="N45" s="1717"/>
      <c r="O45" s="2149"/>
    </row>
    <row r="46" spans="1:15" ht="23.1" customHeight="1">
      <c r="A46" s="2134"/>
      <c r="B46" s="2275"/>
      <c r="C46" s="2144"/>
      <c r="D46" s="140"/>
      <c r="E46" s="1733" t="s">
        <v>608</v>
      </c>
      <c r="F46" s="1728" t="s">
        <v>1197</v>
      </c>
      <c r="G46" s="182"/>
      <c r="H46" s="183"/>
      <c r="I46" s="140"/>
      <c r="J46" s="140"/>
      <c r="K46" s="140"/>
      <c r="L46" s="140"/>
      <c r="M46" s="1678" t="s">
        <v>1518</v>
      </c>
      <c r="N46" s="1678"/>
      <c r="O46" s="2149"/>
    </row>
    <row r="47" spans="1:15" ht="23.1" customHeight="1">
      <c r="A47" s="2134"/>
      <c r="B47" s="2275"/>
      <c r="C47" s="2144"/>
      <c r="D47" s="140"/>
      <c r="E47" s="1733" t="s">
        <v>1222</v>
      </c>
      <c r="F47" s="1728" t="s">
        <v>1221</v>
      </c>
      <c r="G47" s="182"/>
      <c r="H47" s="183"/>
      <c r="I47" s="140"/>
      <c r="J47" s="140"/>
      <c r="K47" s="140"/>
      <c r="L47" s="140"/>
      <c r="M47" s="1728" t="s">
        <v>1519</v>
      </c>
      <c r="N47" s="1728"/>
      <c r="O47" s="2149"/>
    </row>
    <row r="48" spans="1:15" ht="23.1" customHeight="1">
      <c r="A48" s="2134"/>
      <c r="B48" s="2275"/>
      <c r="C48" s="2144"/>
      <c r="D48" s="140"/>
      <c r="E48" s="1733" t="s">
        <v>598</v>
      </c>
      <c r="F48" s="1728" t="s">
        <v>599</v>
      </c>
      <c r="G48" s="182"/>
      <c r="H48" s="183"/>
      <c r="I48" s="140"/>
      <c r="J48" s="140"/>
      <c r="K48" s="140"/>
      <c r="L48" s="140"/>
      <c r="M48" s="1676" t="s">
        <v>1520</v>
      </c>
      <c r="N48" s="1676"/>
      <c r="O48" s="2149"/>
    </row>
    <row r="49" spans="1:15" ht="23.1" customHeight="1">
      <c r="A49" s="2134"/>
      <c r="B49" s="2275"/>
      <c r="C49" s="2144"/>
      <c r="D49" s="140"/>
      <c r="E49" s="1733" t="s">
        <v>609</v>
      </c>
      <c r="F49" s="1728" t="s">
        <v>610</v>
      </c>
      <c r="G49" s="182"/>
      <c r="H49" s="183"/>
      <c r="I49" s="140"/>
      <c r="J49" s="140"/>
      <c r="K49" s="140"/>
      <c r="L49" s="140"/>
      <c r="M49" s="2292" t="s">
        <v>1521</v>
      </c>
      <c r="N49" s="2292"/>
      <c r="O49" s="2149"/>
    </row>
    <row r="50" spans="1:15" ht="23.1" customHeight="1">
      <c r="A50" s="2134"/>
      <c r="B50" s="2275"/>
      <c r="C50" s="2144"/>
      <c r="D50" s="1738"/>
      <c r="E50" s="1725" t="s">
        <v>611</v>
      </c>
      <c r="F50" s="382" t="s">
        <v>612</v>
      </c>
      <c r="G50" s="383"/>
      <c r="H50" s="384"/>
      <c r="I50" s="1738"/>
      <c r="J50" s="1738"/>
      <c r="K50" s="1738"/>
      <c r="L50" s="1738"/>
      <c r="M50" s="2077"/>
      <c r="N50" s="2077"/>
      <c r="O50" s="2149"/>
    </row>
  </sheetData>
  <mergeCells count="44">
    <mergeCell ref="B21:B39"/>
    <mergeCell ref="N21:N32"/>
    <mergeCell ref="O21:O32"/>
    <mergeCell ref="M7:M9"/>
    <mergeCell ref="N10:N20"/>
    <mergeCell ref="N33:N34"/>
    <mergeCell ref="N35:N36"/>
    <mergeCell ref="F37:H37"/>
    <mergeCell ref="M37:M39"/>
    <mergeCell ref="F38:H38"/>
    <mergeCell ref="O10:O20"/>
    <mergeCell ref="O35:O39"/>
    <mergeCell ref="F6:H6"/>
    <mergeCell ref="A7:A9"/>
    <mergeCell ref="A10:A20"/>
    <mergeCell ref="A40:A50"/>
    <mergeCell ref="F40:H40"/>
    <mergeCell ref="B40:B50"/>
    <mergeCell ref="C40:C50"/>
    <mergeCell ref="B6:C6"/>
    <mergeCell ref="C21:C32"/>
    <mergeCell ref="C7:C8"/>
    <mergeCell ref="B7:B9"/>
    <mergeCell ref="C35:C39"/>
    <mergeCell ref="C10:C20"/>
    <mergeCell ref="C33:C34"/>
    <mergeCell ref="B10:B20"/>
    <mergeCell ref="A21:A39"/>
    <mergeCell ref="N49:N50"/>
    <mergeCell ref="O40:O50"/>
    <mergeCell ref="O33:O34"/>
    <mergeCell ref="M49:M50"/>
    <mergeCell ref="A2:A3"/>
    <mergeCell ref="B2:E3"/>
    <mergeCell ref="F2:G2"/>
    <mergeCell ref="H2:L2"/>
    <mergeCell ref="F3:G3"/>
    <mergeCell ref="H3:L3"/>
    <mergeCell ref="A4:A5"/>
    <mergeCell ref="B4:E5"/>
    <mergeCell ref="F4:G4"/>
    <mergeCell ref="H4:L4"/>
    <mergeCell ref="F5:G5"/>
    <mergeCell ref="H5:L5"/>
  </mergeCells>
  <phoneticPr fontId="2"/>
  <conditionalFormatting sqref="F42">
    <cfRule type="expression" priority="31" stopIfTrue="1">
      <formula>$K42="COMP"</formula>
    </cfRule>
    <cfRule type="expression" dxfId="203" priority="32" stopIfTrue="1">
      <formula>$K42=""</formula>
    </cfRule>
    <cfRule type="expression" priority="33" stopIfTrue="1">
      <formula>$K42="-"</formula>
    </cfRule>
    <cfRule type="expression" dxfId="202" priority="34" stopIfTrue="1">
      <formula>$K42=0</formula>
    </cfRule>
    <cfRule type="expression" dxfId="201" priority="35" stopIfTrue="1">
      <formula>$K42&lt;&gt;""</formula>
    </cfRule>
  </conditionalFormatting>
  <conditionalFormatting sqref="E40:F40">
    <cfRule type="expression" priority="26" stopIfTrue="1">
      <formula>$K40="COMP"</formula>
    </cfRule>
    <cfRule type="expression" dxfId="200" priority="27" stopIfTrue="1">
      <formula>$K40=""</formula>
    </cfRule>
    <cfRule type="expression" priority="28" stopIfTrue="1">
      <formula>$K40="-"</formula>
    </cfRule>
    <cfRule type="expression" dxfId="199" priority="29" stopIfTrue="1">
      <formula>$K40=0</formula>
    </cfRule>
    <cfRule type="expression" dxfId="198" priority="30" stopIfTrue="1">
      <formula>$K40&lt;&gt;""</formula>
    </cfRule>
  </conditionalFormatting>
  <conditionalFormatting sqref="E40:F40">
    <cfRule type="expression" priority="21" stopIfTrue="1">
      <formula>$K40="COMP"</formula>
    </cfRule>
    <cfRule type="expression" dxfId="197" priority="22" stopIfTrue="1">
      <formula>$K40=""</formula>
    </cfRule>
    <cfRule type="expression" priority="23" stopIfTrue="1">
      <formula>$K40="-"</formula>
    </cfRule>
    <cfRule type="expression" dxfId="196" priority="24" stopIfTrue="1">
      <formula>$K40=0</formula>
    </cfRule>
    <cfRule type="expression" dxfId="195" priority="25" stopIfTrue="1">
      <formula>$K40&lt;&gt;""</formula>
    </cfRule>
  </conditionalFormatting>
  <conditionalFormatting sqref="E42">
    <cfRule type="expression" priority="16" stopIfTrue="1">
      <formula>$K42="COMP"</formula>
    </cfRule>
    <cfRule type="expression" dxfId="194" priority="17" stopIfTrue="1">
      <formula>$K42=""</formula>
    </cfRule>
    <cfRule type="expression" priority="18" stopIfTrue="1">
      <formula>$K42="-"</formula>
    </cfRule>
    <cfRule type="expression" dxfId="193" priority="19" stopIfTrue="1">
      <formula>$K42=0</formula>
    </cfRule>
    <cfRule type="expression" dxfId="192" priority="20" stopIfTrue="1">
      <formula>$K42&lt;&gt;""</formula>
    </cfRule>
  </conditionalFormatting>
  <conditionalFormatting sqref="E42">
    <cfRule type="expression" priority="11" stopIfTrue="1">
      <formula>$K42="COMP"</formula>
    </cfRule>
    <cfRule type="expression" dxfId="191" priority="12" stopIfTrue="1">
      <formula>$K42=""</formula>
    </cfRule>
    <cfRule type="expression" priority="13" stopIfTrue="1">
      <formula>$K42="-"</formula>
    </cfRule>
    <cfRule type="expression" dxfId="190" priority="14" stopIfTrue="1">
      <formula>$K42=0</formula>
    </cfRule>
    <cfRule type="expression" dxfId="189" priority="15" stopIfTrue="1">
      <formula>$K42&lt;&gt;""</formula>
    </cfRule>
  </conditionalFormatting>
  <conditionalFormatting sqref="M47">
    <cfRule type="expression" priority="6" stopIfTrue="1">
      <formula>$K47="COMP"</formula>
    </cfRule>
    <cfRule type="expression" dxfId="188" priority="7" stopIfTrue="1">
      <formula>$K47=""</formula>
    </cfRule>
    <cfRule type="expression" priority="8" stopIfTrue="1">
      <formula>$K47="-"</formula>
    </cfRule>
    <cfRule type="expression" dxfId="187" priority="9" stopIfTrue="1">
      <formula>$K47=0</formula>
    </cfRule>
    <cfRule type="expression" dxfId="186" priority="10" stopIfTrue="1">
      <formula>$K47&lt;&gt;""</formula>
    </cfRule>
  </conditionalFormatting>
  <conditionalFormatting sqref="E43:F43">
    <cfRule type="expression" priority="51" stopIfTrue="1">
      <formula>$K43="COMP"</formula>
    </cfRule>
    <cfRule type="expression" dxfId="185" priority="52" stopIfTrue="1">
      <formula>$K43=""</formula>
    </cfRule>
    <cfRule type="expression" priority="53" stopIfTrue="1">
      <formula>$K43="-"</formula>
    </cfRule>
    <cfRule type="expression" dxfId="184" priority="54" stopIfTrue="1">
      <formula>$K43=0</formula>
    </cfRule>
    <cfRule type="expression" dxfId="183" priority="55" stopIfTrue="1">
      <formula>$K43&lt;&gt;""</formula>
    </cfRule>
  </conditionalFormatting>
  <conditionalFormatting sqref="E33:H34">
    <cfRule type="expression" priority="86" stopIfTrue="1">
      <formula>$K33="COMP"</formula>
    </cfRule>
    <cfRule type="expression" dxfId="182" priority="87" stopIfTrue="1">
      <formula>$K33=""</formula>
    </cfRule>
    <cfRule type="expression" priority="88" stopIfTrue="1">
      <formula>$K33="-"</formula>
    </cfRule>
    <cfRule type="expression" dxfId="181" priority="89" stopIfTrue="1">
      <formula>$K33=0</formula>
    </cfRule>
    <cfRule type="expression" dxfId="180" priority="90" stopIfTrue="1">
      <formula>$K33&lt;&gt;""</formula>
    </cfRule>
  </conditionalFormatting>
  <conditionalFormatting sqref="E41:H41 N47 E44:H50">
    <cfRule type="expression" priority="71" stopIfTrue="1">
      <formula>$K41="COMP"</formula>
    </cfRule>
    <cfRule type="expression" dxfId="179" priority="72" stopIfTrue="1">
      <formula>$K41=""</formula>
    </cfRule>
    <cfRule type="expression" priority="73" stopIfTrue="1">
      <formula>$K41="-"</formula>
    </cfRule>
    <cfRule type="expression" dxfId="178" priority="74" stopIfTrue="1">
      <formula>$K41=0</formula>
    </cfRule>
    <cfRule type="expression" dxfId="177" priority="75" stopIfTrue="1">
      <formula>$K41&lt;&gt;""</formula>
    </cfRule>
  </conditionalFormatting>
  <conditionalFormatting sqref="F42">
    <cfRule type="expression" priority="36" stopIfTrue="1">
      <formula>$K42="COMP"</formula>
    </cfRule>
    <cfRule type="expression" dxfId="176" priority="37" stopIfTrue="1">
      <formula>$K42=""</formula>
    </cfRule>
    <cfRule type="expression" priority="38" stopIfTrue="1">
      <formula>$K42="-"</formula>
    </cfRule>
    <cfRule type="expression" dxfId="175" priority="39" stopIfTrue="1">
      <formula>$K42=0</formula>
    </cfRule>
    <cfRule type="expression" dxfId="174" priority="40" stopIfTrue="1">
      <formula>$K42&lt;&gt;""</formula>
    </cfRule>
  </conditionalFormatting>
  <conditionalFormatting sqref="E43:H43">
    <cfRule type="expression" priority="56" stopIfTrue="1">
      <formula>$K43="COMP"</formula>
    </cfRule>
    <cfRule type="expression" dxfId="173" priority="57" stopIfTrue="1">
      <formula>$K43=""</formula>
    </cfRule>
    <cfRule type="expression" priority="58" stopIfTrue="1">
      <formula>$K43="-"</formula>
    </cfRule>
    <cfRule type="expression" dxfId="172" priority="59" stopIfTrue="1">
      <formula>$K43=0</formula>
    </cfRule>
    <cfRule type="expression" dxfId="171" priority="60" stopIfTrue="1">
      <formula>$K43&lt;&gt;""</formula>
    </cfRule>
  </conditionalFormatting>
  <conditionalFormatting sqref="E47:H47">
    <cfRule type="expression" priority="46" stopIfTrue="1">
      <formula>#REF!="COMP"</formula>
    </cfRule>
    <cfRule type="expression" dxfId="170" priority="47" stopIfTrue="1">
      <formula>#REF!=""</formula>
    </cfRule>
    <cfRule type="expression" priority="48" stopIfTrue="1">
      <formula>#REF!="-"</formula>
    </cfRule>
    <cfRule type="expression" dxfId="169" priority="49" stopIfTrue="1">
      <formula>#REF!=0</formula>
    </cfRule>
    <cfRule type="expression" dxfId="168" priority="50" stopIfTrue="1">
      <formula>#REF!&lt;&gt;""</formula>
    </cfRule>
  </conditionalFormatting>
  <conditionalFormatting sqref="N47">
    <cfRule type="expression" priority="41" stopIfTrue="1">
      <formula>#REF!="COMP"</formula>
    </cfRule>
    <cfRule type="expression" dxfId="167" priority="42" stopIfTrue="1">
      <formula>#REF!=""</formula>
    </cfRule>
    <cfRule type="expression" priority="43" stopIfTrue="1">
      <formula>#REF!="-"</formula>
    </cfRule>
    <cfRule type="expression" dxfId="166" priority="44" stopIfTrue="1">
      <formula>#REF!=0</formula>
    </cfRule>
    <cfRule type="expression" dxfId="165" priority="45" stopIfTrue="1">
      <formula>#REF!&lt;&gt;""</formula>
    </cfRule>
  </conditionalFormatting>
  <conditionalFormatting sqref="E46:F46">
    <cfRule type="expression" priority="61" stopIfTrue="1">
      <formula>#REF!="COMP"</formula>
    </cfRule>
    <cfRule type="expression" dxfId="164" priority="62" stopIfTrue="1">
      <formula>#REF!=""</formula>
    </cfRule>
    <cfRule type="expression" priority="63" stopIfTrue="1">
      <formula>#REF!="-"</formula>
    </cfRule>
    <cfRule type="expression" dxfId="163" priority="64" stopIfTrue="1">
      <formula>#REF!=0</formula>
    </cfRule>
    <cfRule type="expression" dxfId="162" priority="65" stopIfTrue="1">
      <formula>#REF!&lt;&gt;""</formula>
    </cfRule>
  </conditionalFormatting>
  <conditionalFormatting sqref="E44:E45">
    <cfRule type="expression" priority="66" stopIfTrue="1">
      <formula>#REF!="COMP"</formula>
    </cfRule>
    <cfRule type="expression" dxfId="161" priority="67" stopIfTrue="1">
      <formula>#REF!=""</formula>
    </cfRule>
    <cfRule type="expression" priority="68" stopIfTrue="1">
      <formula>#REF!="-"</formula>
    </cfRule>
    <cfRule type="expression" dxfId="160" priority="69" stopIfTrue="1">
      <formula>#REF!=0</formula>
    </cfRule>
    <cfRule type="expression" dxfId="159" priority="70" stopIfTrue="1">
      <formula>#REF!&lt;&gt;""</formula>
    </cfRule>
  </conditionalFormatting>
  <conditionalFormatting sqref="G46:H46">
    <cfRule type="expression" priority="76" stopIfTrue="1">
      <formula>$K47="COMP"</formula>
    </cfRule>
    <cfRule type="expression" dxfId="158" priority="77" stopIfTrue="1">
      <formula>$K47=""</formula>
    </cfRule>
    <cfRule type="expression" priority="78" stopIfTrue="1">
      <formula>$K47="-"</formula>
    </cfRule>
    <cfRule type="expression" dxfId="157" priority="79" stopIfTrue="1">
      <formula>$K47=0</formula>
    </cfRule>
    <cfRule type="expression" dxfId="156" priority="80" stopIfTrue="1">
      <formula>$K47&lt;&gt;""</formula>
    </cfRule>
  </conditionalFormatting>
  <conditionalFormatting sqref="M47">
    <cfRule type="expression" priority="1" stopIfTrue="1">
      <formula>#REF!="COMP"</formula>
    </cfRule>
    <cfRule type="expression" dxfId="155" priority="2" stopIfTrue="1">
      <formula>#REF!=""</formula>
    </cfRule>
    <cfRule type="expression" priority="3" stopIfTrue="1">
      <formula>#REF!="-"</formula>
    </cfRule>
    <cfRule type="expression" dxfId="154" priority="4" stopIfTrue="1">
      <formula>#REF!=0</formula>
    </cfRule>
    <cfRule type="expression" dxfId="153" priority="5" stopIfTrue="1">
      <formula>#REF!&lt;&gt;""</formula>
    </cfRule>
  </conditionalFormatting>
  <hyperlinks>
    <hyperlink ref="A1:O1" location="TEMPLATE!A1" display="TEMPLATE!A1"/>
  </hyperlinks>
  <pageMargins left="0.25" right="0.25" top="0.75" bottom="0.75" header="0.3" footer="0.3"/>
  <pageSetup paperSize="9" scale="4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P34"/>
  <sheetViews>
    <sheetView showGridLines="0" tabSelected="1" view="pageBreakPreview" topLeftCell="A10" zoomScale="85" zoomScaleNormal="85" zoomScaleSheetLayoutView="85" workbookViewId="0">
      <selection activeCell="A14" sqref="A14:A20"/>
    </sheetView>
  </sheetViews>
  <sheetFormatPr defaultRowHeight="13.8"/>
  <cols>
    <col min="1" max="1" width="11.8984375" bestFit="1" customWidth="1"/>
    <col min="2" max="2" width="16.09765625" bestFit="1" customWidth="1"/>
    <col min="3" max="3" width="26.3984375" bestFit="1" customWidth="1"/>
    <col min="4" max="4" width="5.59765625" customWidth="1"/>
    <col min="5" max="5" width="25.8984375" bestFit="1" customWidth="1"/>
    <col min="6" max="6" width="11.8984375" bestFit="1" customWidth="1"/>
    <col min="7" max="7" width="6.59765625" bestFit="1" customWidth="1"/>
    <col min="8" max="9" width="5.59765625" style="13" customWidth="1"/>
    <col min="10" max="11" width="5.59765625" customWidth="1"/>
    <col min="12" max="12" width="5.59765625" style="7" customWidth="1"/>
    <col min="13" max="13" width="75.3984375" bestFit="1" customWidth="1"/>
    <col min="14" max="14" width="11" bestFit="1" customWidth="1"/>
    <col min="15" max="15" width="7.8984375" bestFit="1" customWidth="1"/>
    <col min="16" max="16" width="67.69921875" style="1009" bestFit="1" customWidth="1"/>
  </cols>
  <sheetData>
    <row r="1" spans="1:16">
      <c r="A1" s="835" t="s">
        <v>1621</v>
      </c>
      <c r="B1" s="835"/>
      <c r="C1" s="835"/>
      <c r="D1" s="835"/>
      <c r="E1" s="835"/>
      <c r="F1" s="835"/>
      <c r="G1" s="835"/>
      <c r="H1" s="835"/>
      <c r="I1" s="835"/>
      <c r="J1" s="835"/>
      <c r="K1" s="835"/>
      <c r="L1" s="835"/>
      <c r="M1" s="835"/>
      <c r="N1" s="835"/>
      <c r="O1" s="835"/>
      <c r="P1" s="100"/>
    </row>
    <row r="2" spans="1:16" ht="30" customHeight="1">
      <c r="A2" s="2314" t="s">
        <v>5</v>
      </c>
      <c r="B2" s="2144"/>
      <c r="C2" s="2144"/>
      <c r="D2" s="2144"/>
      <c r="E2" s="2144"/>
      <c r="F2" s="2006" t="s">
        <v>1391</v>
      </c>
      <c r="G2" s="2006"/>
      <c r="H2" s="2017"/>
      <c r="I2" s="2017"/>
      <c r="J2" s="2017"/>
      <c r="K2" s="2017"/>
      <c r="L2" s="2017"/>
      <c r="M2" s="1704" t="s">
        <v>1522</v>
      </c>
      <c r="N2" s="1669"/>
      <c r="O2" s="1744"/>
      <c r="P2" s="1814"/>
    </row>
    <row r="3" spans="1:16" ht="30" customHeight="1">
      <c r="A3" s="2315"/>
      <c r="B3" s="2144"/>
      <c r="C3" s="2144"/>
      <c r="D3" s="2144"/>
      <c r="E3" s="2144"/>
      <c r="F3" s="2006" t="s">
        <v>1371</v>
      </c>
      <c r="G3" s="2006"/>
      <c r="H3" s="2017"/>
      <c r="I3" s="2017"/>
      <c r="J3" s="2017"/>
      <c r="K3" s="2017"/>
      <c r="L3" s="2017"/>
      <c r="M3" s="432"/>
      <c r="N3" s="432"/>
      <c r="O3" s="839"/>
      <c r="P3" s="1814"/>
    </row>
    <row r="4" spans="1:16" ht="30" customHeight="1">
      <c r="A4" s="2314" t="s">
        <v>38</v>
      </c>
      <c r="B4" s="2144"/>
      <c r="C4" s="2144"/>
      <c r="D4" s="2144"/>
      <c r="E4" s="2144"/>
      <c r="F4" s="2007" t="s">
        <v>1392</v>
      </c>
      <c r="G4" s="2007"/>
      <c r="H4" s="2017"/>
      <c r="I4" s="2017"/>
      <c r="J4" s="2017"/>
      <c r="K4" s="2017"/>
      <c r="L4" s="2017"/>
      <c r="M4" s="432"/>
      <c r="N4" s="432"/>
      <c r="O4" s="839"/>
      <c r="P4" s="1814"/>
    </row>
    <row r="5" spans="1:16" ht="30" customHeight="1">
      <c r="A5" s="2315"/>
      <c r="B5" s="2144"/>
      <c r="C5" s="2144"/>
      <c r="D5" s="2144"/>
      <c r="E5" s="2144"/>
      <c r="F5" s="2008" t="s">
        <v>1372</v>
      </c>
      <c r="G5" s="2008"/>
      <c r="H5" s="2017"/>
      <c r="I5" s="2017"/>
      <c r="J5" s="2017"/>
      <c r="K5" s="2017"/>
      <c r="L5" s="2017"/>
      <c r="M5" s="432"/>
      <c r="N5" s="432"/>
      <c r="O5" s="839"/>
      <c r="P5" s="1814"/>
    </row>
    <row r="6" spans="1:16" ht="60" customHeight="1">
      <c r="A6" s="1705" t="s">
        <v>1227</v>
      </c>
      <c r="B6" s="2316" t="s">
        <v>6</v>
      </c>
      <c r="C6" s="2317"/>
      <c r="D6" s="1706" t="s">
        <v>1407</v>
      </c>
      <c r="E6" s="1707" t="s">
        <v>64</v>
      </c>
      <c r="F6" s="2318" t="s">
        <v>1</v>
      </c>
      <c r="G6" s="2319"/>
      <c r="H6" s="2320"/>
      <c r="I6" s="1708" t="s">
        <v>66</v>
      </c>
      <c r="J6" s="1708" t="s">
        <v>1376</v>
      </c>
      <c r="K6" s="1709" t="s">
        <v>1377</v>
      </c>
      <c r="L6" s="1709" t="s">
        <v>1375</v>
      </c>
      <c r="M6" s="1710" t="s">
        <v>1387</v>
      </c>
      <c r="N6" s="1710" t="s">
        <v>1378</v>
      </c>
      <c r="O6" s="1322" t="s">
        <v>1379</v>
      </c>
      <c r="P6" s="1814"/>
    </row>
    <row r="7" spans="1:16" ht="23.4" customHeight="1">
      <c r="A7" s="2364">
        <v>1021</v>
      </c>
      <c r="B7" s="2154" t="s">
        <v>458</v>
      </c>
      <c r="C7" s="1818" t="s">
        <v>1612</v>
      </c>
      <c r="D7" s="1835"/>
      <c r="E7" s="1835"/>
      <c r="F7" s="1836"/>
      <c r="G7" s="1837"/>
      <c r="H7" s="1837"/>
      <c r="I7" s="1835"/>
      <c r="J7" s="1838"/>
      <c r="K7" s="1838"/>
      <c r="L7" s="1838"/>
      <c r="M7" s="1839" t="s">
        <v>1613</v>
      </c>
      <c r="N7" s="353"/>
      <c r="O7" s="298" t="e">
        <f t="shared" ref="O7:O10" si="0">HYPERLINK(VLOOKUP(F7,LINK,2,FALSE),VLOOKUP(F7,LINK,3,FALSE))</f>
        <v>#N/A</v>
      </c>
      <c r="P7"/>
    </row>
    <row r="8" spans="1:16" ht="23.4" customHeight="1">
      <c r="A8" s="2365"/>
      <c r="B8" s="2367"/>
      <c r="C8" s="2162" t="s">
        <v>1609</v>
      </c>
      <c r="D8" s="1816"/>
      <c r="E8" s="1816" t="s">
        <v>1610</v>
      </c>
      <c r="F8" s="1830" t="s">
        <v>1611</v>
      </c>
      <c r="G8" s="1820"/>
      <c r="H8" s="1820"/>
      <c r="I8" s="264"/>
      <c r="J8" s="265"/>
      <c r="K8" s="265"/>
      <c r="L8" s="265"/>
      <c r="M8" s="2372"/>
      <c r="N8" s="1833"/>
      <c r="O8" s="1834"/>
      <c r="P8"/>
    </row>
    <row r="9" spans="1:16" ht="23.4" customHeight="1">
      <c r="A9" s="2365"/>
      <c r="B9" s="2367"/>
      <c r="C9" s="2163"/>
      <c r="D9" s="1817"/>
      <c r="E9" s="1817" t="s">
        <v>26</v>
      </c>
      <c r="F9" s="1831" t="s">
        <v>27</v>
      </c>
      <c r="G9" s="1832"/>
      <c r="H9" s="1832"/>
      <c r="I9" s="270"/>
      <c r="J9" s="271"/>
      <c r="K9" s="271"/>
      <c r="L9" s="271"/>
      <c r="M9" s="2373"/>
      <c r="N9" s="359"/>
      <c r="O9" s="299" t="str">
        <f t="shared" si="0"/>
        <v>EXCEL</v>
      </c>
      <c r="P9"/>
    </row>
    <row r="10" spans="1:16" ht="23.4" customHeight="1">
      <c r="A10" s="2366"/>
      <c r="B10" s="2368"/>
      <c r="C10" s="1818" t="s">
        <v>35</v>
      </c>
      <c r="D10" s="1818"/>
      <c r="E10" s="1818" t="s">
        <v>34</v>
      </c>
      <c r="F10" s="273" t="s">
        <v>36</v>
      </c>
      <c r="G10" s="318"/>
      <c r="H10" s="318"/>
      <c r="I10" s="274"/>
      <c r="J10" s="275"/>
      <c r="K10" s="275"/>
      <c r="L10" s="275"/>
      <c r="M10" s="2374"/>
      <c r="N10" s="1672"/>
      <c r="O10" s="1815" t="str">
        <f t="shared" si="0"/>
        <v>EXCEL</v>
      </c>
      <c r="P10"/>
    </row>
    <row r="11" spans="1:16" ht="23.4" customHeight="1">
      <c r="A11" s="2438" t="s">
        <v>1622</v>
      </c>
      <c r="B11" s="2154" t="s">
        <v>1614</v>
      </c>
      <c r="C11" s="2162" t="s">
        <v>1615</v>
      </c>
      <c r="D11" s="1816"/>
      <c r="E11" s="1816" t="s">
        <v>1616</v>
      </c>
      <c r="F11" s="1830" t="s">
        <v>1618</v>
      </c>
      <c r="G11" s="1820"/>
      <c r="H11" s="1820"/>
      <c r="I11" s="264"/>
      <c r="J11" s="277"/>
      <c r="K11" s="277"/>
      <c r="L11" s="277"/>
      <c r="M11" s="1840"/>
      <c r="N11" s="1672"/>
      <c r="O11" s="1834"/>
      <c r="P11"/>
    </row>
    <row r="12" spans="1:16" ht="23.4" customHeight="1">
      <c r="A12" s="2365"/>
      <c r="B12" s="2367"/>
      <c r="C12" s="2439"/>
      <c r="D12" s="1827"/>
      <c r="E12" s="1827" t="s">
        <v>1617</v>
      </c>
      <c r="F12" s="1821" t="s">
        <v>1619</v>
      </c>
      <c r="G12" s="1822"/>
      <c r="H12" s="1822"/>
      <c r="I12" s="1845"/>
      <c r="J12" s="1713"/>
      <c r="K12" s="1713"/>
      <c r="L12" s="1713"/>
      <c r="M12" s="1840"/>
      <c r="N12" s="1672"/>
      <c r="O12" s="1834"/>
      <c r="P12"/>
    </row>
    <row r="13" spans="1:16" ht="23.4" customHeight="1">
      <c r="A13" s="2366"/>
      <c r="B13" s="2368"/>
      <c r="C13" s="2163"/>
      <c r="D13" s="1828"/>
      <c r="E13" s="1828" t="s">
        <v>441</v>
      </c>
      <c r="F13" s="1841" t="s">
        <v>1620</v>
      </c>
      <c r="G13" s="1842"/>
      <c r="H13" s="1842"/>
      <c r="I13" s="1843"/>
      <c r="J13" s="1844"/>
      <c r="K13" s="1844"/>
      <c r="L13" s="1844"/>
      <c r="M13" s="1840"/>
      <c r="N13" s="1672"/>
      <c r="O13" s="1834"/>
      <c r="P13"/>
    </row>
    <row r="14" spans="1:16" ht="23.4" customHeight="1">
      <c r="A14" s="2311">
        <v>1061</v>
      </c>
      <c r="B14" s="2116" t="s">
        <v>77</v>
      </c>
      <c r="C14" s="2267" t="s">
        <v>1525</v>
      </c>
      <c r="D14" s="188"/>
      <c r="E14" s="1736" t="s">
        <v>590</v>
      </c>
      <c r="F14" s="1823" t="s">
        <v>591</v>
      </c>
      <c r="G14" s="424"/>
      <c r="H14" s="370"/>
      <c r="I14" s="188"/>
      <c r="J14" s="188"/>
      <c r="K14" s="188"/>
      <c r="L14" s="188"/>
      <c r="M14" s="188"/>
      <c r="N14" s="2116" t="s">
        <v>1505</v>
      </c>
      <c r="O14" s="2018" t="str">
        <f>HYPERLINK(VLOOKUP(F14,LINK,2,FALSE),VLOOKUP(F14,LINK,3,FALSE))</f>
        <v>EXCEL</v>
      </c>
      <c r="P14"/>
    </row>
    <row r="15" spans="1:16" ht="23.4" customHeight="1">
      <c r="A15" s="2311"/>
      <c r="B15" s="2135"/>
      <c r="C15" s="2268"/>
      <c r="D15" s="1738"/>
      <c r="E15" s="1741" t="s">
        <v>592</v>
      </c>
      <c r="F15" s="1731" t="s">
        <v>593</v>
      </c>
      <c r="G15" s="426"/>
      <c r="H15" s="384"/>
      <c r="I15" s="1738"/>
      <c r="J15" s="1738"/>
      <c r="K15" s="1738"/>
      <c r="L15" s="1738"/>
      <c r="M15" s="1738"/>
      <c r="N15" s="2117"/>
      <c r="O15" s="2293"/>
      <c r="P15" s="7"/>
    </row>
    <row r="16" spans="1:16" ht="23.4" customHeight="1">
      <c r="A16" s="2311"/>
      <c r="B16" s="2135"/>
      <c r="C16" s="2101" t="s">
        <v>1528</v>
      </c>
      <c r="D16" s="188"/>
      <c r="E16" s="303" t="s">
        <v>72</v>
      </c>
      <c r="F16" s="342" t="s">
        <v>81</v>
      </c>
      <c r="G16" s="343"/>
      <c r="H16" s="344"/>
      <c r="I16" s="188"/>
      <c r="J16" s="188"/>
      <c r="K16" s="188"/>
      <c r="L16" s="188"/>
      <c r="M16" s="188"/>
      <c r="N16" s="2334" t="s">
        <v>1433</v>
      </c>
      <c r="O16" s="2149" t="str">
        <f>HYPERLINK(VLOOKUP(F16,LINK,2,FALSE),VLOOKUP(F16,LINK,3,FALSE))</f>
        <v>EXCEL</v>
      </c>
      <c r="P16" s="2333" t="s">
        <v>1052</v>
      </c>
    </row>
    <row r="17" spans="1:16" ht="23.4" customHeight="1">
      <c r="A17" s="2311"/>
      <c r="B17" s="2135"/>
      <c r="C17" s="2312"/>
      <c r="D17" s="1737"/>
      <c r="E17" s="1739" t="s">
        <v>73</v>
      </c>
      <c r="F17" s="345" t="s">
        <v>83</v>
      </c>
      <c r="G17" s="346"/>
      <c r="H17" s="347"/>
      <c r="I17" s="1737"/>
      <c r="J17" s="1737"/>
      <c r="K17" s="1737"/>
      <c r="L17" s="1737"/>
      <c r="M17" s="1737"/>
      <c r="N17" s="2335"/>
      <c r="O17" s="2149"/>
      <c r="P17" s="2333"/>
    </row>
    <row r="18" spans="1:16" ht="23.4" customHeight="1">
      <c r="A18" s="2311"/>
      <c r="B18" s="2135"/>
      <c r="C18" s="2312"/>
      <c r="D18" s="1714"/>
      <c r="E18" s="1715" t="s">
        <v>74</v>
      </c>
      <c r="F18" s="2327" t="s">
        <v>82</v>
      </c>
      <c r="G18" s="2328"/>
      <c r="H18" s="2329"/>
      <c r="I18" s="1714"/>
      <c r="J18" s="1716"/>
      <c r="K18" s="1716"/>
      <c r="L18" s="1714"/>
      <c r="M18" s="2336" t="s">
        <v>1530</v>
      </c>
      <c r="N18" s="1680"/>
      <c r="O18" s="2149"/>
      <c r="P18" s="2333"/>
    </row>
    <row r="19" spans="1:16" ht="23.4" customHeight="1">
      <c r="A19" s="2311"/>
      <c r="B19" s="2135"/>
      <c r="C19" s="2312"/>
      <c r="D19" s="1714"/>
      <c r="E19" s="1715" t="s">
        <v>79</v>
      </c>
      <c r="F19" s="2330" t="s">
        <v>80</v>
      </c>
      <c r="G19" s="2331"/>
      <c r="H19" s="2332"/>
      <c r="I19" s="1714"/>
      <c r="J19" s="1716"/>
      <c r="K19" s="1716"/>
      <c r="L19" s="1714"/>
      <c r="M19" s="2336"/>
      <c r="N19" s="1680"/>
      <c r="O19" s="2149"/>
      <c r="P19" s="2333"/>
    </row>
    <row r="20" spans="1:16" ht="23.4" customHeight="1">
      <c r="A20" s="2311"/>
      <c r="B20" s="2117"/>
      <c r="C20" s="2313"/>
      <c r="D20" s="229"/>
      <c r="E20" s="1740" t="s">
        <v>735</v>
      </c>
      <c r="F20" s="348" t="s">
        <v>1174</v>
      </c>
      <c r="G20" s="451"/>
      <c r="H20" s="349"/>
      <c r="I20" s="229"/>
      <c r="J20" s="229"/>
      <c r="K20" s="229"/>
      <c r="L20" s="229"/>
      <c r="M20" s="2337"/>
      <c r="N20" s="1681"/>
      <c r="O20" s="2149"/>
      <c r="P20" s="2333"/>
    </row>
    <row r="21" spans="1:16" ht="23.4" customHeight="1">
      <c r="A21" s="2144">
        <v>1041</v>
      </c>
      <c r="B21" s="2371" t="s">
        <v>90</v>
      </c>
      <c r="C21" s="2369" t="s">
        <v>87</v>
      </c>
      <c r="D21" s="188"/>
      <c r="E21" s="1736" t="s">
        <v>43</v>
      </c>
      <c r="F21" s="368" t="s">
        <v>89</v>
      </c>
      <c r="G21" s="369"/>
      <c r="H21" s="454"/>
      <c r="I21" s="188"/>
      <c r="J21" s="188"/>
      <c r="K21" s="188"/>
      <c r="L21" s="188"/>
      <c r="M21" s="188"/>
      <c r="N21" s="1998" t="s">
        <v>1556</v>
      </c>
      <c r="O21" s="2018" t="str">
        <f>HYPERLINK(VLOOKUP(F21,LINK,2,FALSE),VLOOKUP(F21,LINK,3,FALSE))</f>
        <v>ACCESS</v>
      </c>
      <c r="P21"/>
    </row>
    <row r="22" spans="1:16" ht="23.4" customHeight="1">
      <c r="A22" s="2144"/>
      <c r="B22" s="2107"/>
      <c r="C22" s="2370"/>
      <c r="D22" s="1738"/>
      <c r="E22" s="1741" t="s">
        <v>88</v>
      </c>
      <c r="F22" s="382" t="s">
        <v>653</v>
      </c>
      <c r="G22" s="383"/>
      <c r="H22" s="456"/>
      <c r="I22" s="1738"/>
      <c r="J22" s="1738"/>
      <c r="K22" s="1738"/>
      <c r="L22" s="1738"/>
      <c r="M22" s="1738"/>
      <c r="N22" s="2000"/>
      <c r="O22" s="2020"/>
      <c r="P22"/>
    </row>
    <row r="23" spans="1:16" ht="23.4" customHeight="1">
      <c r="A23" s="2139">
        <v>1241</v>
      </c>
      <c r="B23" s="2341" t="s">
        <v>1268</v>
      </c>
      <c r="C23" s="2116" t="s">
        <v>1307</v>
      </c>
      <c r="D23" s="1719"/>
      <c r="E23" s="1720" t="s">
        <v>595</v>
      </c>
      <c r="F23" s="2321"/>
      <c r="G23" s="2322"/>
      <c r="H23" s="2323"/>
      <c r="I23" s="1721"/>
      <c r="J23" s="1721"/>
      <c r="K23" s="1721"/>
      <c r="L23" s="1721"/>
      <c r="M23" s="1289" t="s">
        <v>1514</v>
      </c>
      <c r="N23" s="1289"/>
      <c r="O23" s="2018" t="s">
        <v>197</v>
      </c>
      <c r="P23"/>
    </row>
    <row r="24" spans="1:16" ht="23.4" customHeight="1">
      <c r="A24" s="2140"/>
      <c r="B24" s="2342"/>
      <c r="C24" s="2135"/>
      <c r="D24" s="140"/>
      <c r="E24" s="875" t="s">
        <v>600</v>
      </c>
      <c r="F24" s="1824" t="s">
        <v>601</v>
      </c>
      <c r="G24" s="182"/>
      <c r="H24" s="183"/>
      <c r="I24" s="140"/>
      <c r="J24" s="140"/>
      <c r="K24" s="140"/>
      <c r="L24" s="140"/>
      <c r="M24" s="1676" t="s">
        <v>1514</v>
      </c>
      <c r="N24" s="1676"/>
      <c r="O24" s="2019"/>
      <c r="P24"/>
    </row>
    <row r="25" spans="1:16" ht="23.4" customHeight="1">
      <c r="A25" s="2140"/>
      <c r="B25" s="2342"/>
      <c r="C25" s="2135"/>
      <c r="D25" s="140"/>
      <c r="E25" s="429" t="s">
        <v>596</v>
      </c>
      <c r="F25" s="1159" t="s">
        <v>1272</v>
      </c>
      <c r="G25" s="1825"/>
      <c r="H25" s="1826"/>
      <c r="I25" s="1160"/>
      <c r="J25" s="1160"/>
      <c r="K25" s="1160"/>
      <c r="L25" s="1160"/>
      <c r="M25" s="1160" t="s">
        <v>1515</v>
      </c>
      <c r="N25" s="1160"/>
      <c r="O25" s="2019"/>
      <c r="P25"/>
    </row>
    <row r="26" spans="1:16" ht="23.4" customHeight="1">
      <c r="A26" s="2140"/>
      <c r="B26" s="2342"/>
      <c r="C26" s="2135"/>
      <c r="D26" s="1160"/>
      <c r="E26" s="1829" t="s">
        <v>30</v>
      </c>
      <c r="F26" s="1159" t="s">
        <v>597</v>
      </c>
      <c r="G26" s="1163"/>
      <c r="H26" s="1164"/>
      <c r="I26" s="1160"/>
      <c r="J26" s="1160"/>
      <c r="K26" s="1160"/>
      <c r="L26" s="1160"/>
      <c r="M26" s="1677" t="s">
        <v>1516</v>
      </c>
      <c r="N26" s="1677"/>
      <c r="O26" s="2019"/>
      <c r="P26"/>
    </row>
    <row r="27" spans="1:16" ht="23.4" customHeight="1">
      <c r="A27" s="2140"/>
      <c r="B27" s="2342"/>
      <c r="C27" s="2135"/>
      <c r="D27" s="1160"/>
      <c r="E27" s="1827" t="s">
        <v>1333</v>
      </c>
      <c r="F27" s="1824" t="s">
        <v>606</v>
      </c>
      <c r="G27" s="182"/>
      <c r="H27" s="183"/>
      <c r="I27" s="140"/>
      <c r="J27" s="140"/>
      <c r="K27" s="140"/>
      <c r="L27" s="140"/>
      <c r="M27" s="1703" t="s">
        <v>1517</v>
      </c>
      <c r="N27" s="1718"/>
      <c r="O27" s="2019"/>
      <c r="P27" s="1819"/>
    </row>
    <row r="28" spans="1:16" ht="23.4" customHeight="1">
      <c r="A28" s="2140"/>
      <c r="B28" s="2342"/>
      <c r="C28" s="2135"/>
      <c r="D28" s="1160"/>
      <c r="E28" s="1827" t="s">
        <v>604</v>
      </c>
      <c r="F28" s="1824" t="s">
        <v>540</v>
      </c>
      <c r="G28" s="182" t="s">
        <v>809</v>
      </c>
      <c r="H28" s="183"/>
      <c r="I28" s="140"/>
      <c r="J28" s="140"/>
      <c r="K28" s="140"/>
      <c r="L28" s="140"/>
      <c r="M28" s="1703" t="s">
        <v>1517</v>
      </c>
      <c r="N28" s="1717"/>
      <c r="O28" s="2019"/>
    </row>
    <row r="29" spans="1:16" ht="23.4" customHeight="1">
      <c r="A29" s="2140"/>
      <c r="B29" s="2342"/>
      <c r="C29" s="2135"/>
      <c r="D29" s="140"/>
      <c r="E29" s="1827" t="s">
        <v>608</v>
      </c>
      <c r="F29" s="1824" t="s">
        <v>1197</v>
      </c>
      <c r="G29" s="182"/>
      <c r="H29" s="183"/>
      <c r="I29" s="140"/>
      <c r="J29" s="140"/>
      <c r="K29" s="140"/>
      <c r="L29" s="140"/>
      <c r="M29" s="1678" t="s">
        <v>1518</v>
      </c>
      <c r="N29" s="1678"/>
      <c r="O29" s="2019"/>
    </row>
    <row r="30" spans="1:16" ht="23.4" customHeight="1">
      <c r="A30" s="2140"/>
      <c r="B30" s="2342"/>
      <c r="C30" s="2135"/>
      <c r="D30" s="140"/>
      <c r="E30" s="1827" t="s">
        <v>1222</v>
      </c>
      <c r="F30" s="1824" t="s">
        <v>1221</v>
      </c>
      <c r="G30" s="182"/>
      <c r="H30" s="183"/>
      <c r="I30" s="140"/>
      <c r="J30" s="140"/>
      <c r="K30" s="140"/>
      <c r="L30" s="140"/>
      <c r="M30" s="1824" t="s">
        <v>1519</v>
      </c>
      <c r="N30" s="1824"/>
      <c r="O30" s="2019"/>
    </row>
    <row r="31" spans="1:16" ht="23.4" customHeight="1">
      <c r="A31" s="2140"/>
      <c r="B31" s="2342"/>
      <c r="C31" s="2135"/>
      <c r="D31" s="140"/>
      <c r="E31" s="1827" t="s">
        <v>598</v>
      </c>
      <c r="F31" s="1824" t="s">
        <v>599</v>
      </c>
      <c r="G31" s="182"/>
      <c r="H31" s="183"/>
      <c r="I31" s="140"/>
      <c r="J31" s="140"/>
      <c r="K31" s="140"/>
      <c r="L31" s="140"/>
      <c r="M31" s="1676" t="s">
        <v>1520</v>
      </c>
      <c r="N31" s="1676"/>
      <c r="O31" s="2019"/>
    </row>
    <row r="32" spans="1:16" ht="23.4" customHeight="1">
      <c r="A32" s="2140"/>
      <c r="B32" s="2342"/>
      <c r="C32" s="2135"/>
      <c r="D32" s="140"/>
      <c r="E32" s="1827" t="s">
        <v>609</v>
      </c>
      <c r="F32" s="1824" t="s">
        <v>610</v>
      </c>
      <c r="G32" s="182"/>
      <c r="H32" s="183"/>
      <c r="I32" s="140"/>
      <c r="J32" s="140"/>
      <c r="K32" s="140"/>
      <c r="L32" s="140"/>
      <c r="M32" s="2292" t="s">
        <v>1521</v>
      </c>
      <c r="N32" s="2292"/>
      <c r="O32" s="2019"/>
    </row>
    <row r="33" spans="1:15" ht="23.4" customHeight="1">
      <c r="A33" s="2141"/>
      <c r="B33" s="2440"/>
      <c r="C33" s="2117"/>
      <c r="D33" s="1738"/>
      <c r="E33" s="1817" t="s">
        <v>611</v>
      </c>
      <c r="F33" s="382" t="s">
        <v>612</v>
      </c>
      <c r="G33" s="383"/>
      <c r="H33" s="384"/>
      <c r="I33" s="1738"/>
      <c r="J33" s="1738"/>
      <c r="K33" s="1738"/>
      <c r="L33" s="1738"/>
      <c r="M33" s="2077"/>
      <c r="N33" s="2077"/>
      <c r="O33" s="2020"/>
    </row>
    <row r="34" spans="1:15">
      <c r="A34" s="1098"/>
    </row>
  </sheetData>
  <mergeCells count="45">
    <mergeCell ref="A23:A33"/>
    <mergeCell ref="B23:B33"/>
    <mergeCell ref="C23:C33"/>
    <mergeCell ref="F23:H23"/>
    <mergeCell ref="O23:O33"/>
    <mergeCell ref="M32:M33"/>
    <mergeCell ref="N32:N33"/>
    <mergeCell ref="P16:P20"/>
    <mergeCell ref="F18:H18"/>
    <mergeCell ref="M18:M20"/>
    <mergeCell ref="F19:H19"/>
    <mergeCell ref="A21:A22"/>
    <mergeCell ref="B21:B22"/>
    <mergeCell ref="C21:C22"/>
    <mergeCell ref="N21:N22"/>
    <mergeCell ref="O21:O22"/>
    <mergeCell ref="A14:A20"/>
    <mergeCell ref="B14:B20"/>
    <mergeCell ref="C14:C15"/>
    <mergeCell ref="N14:N15"/>
    <mergeCell ref="O14:O15"/>
    <mergeCell ref="C16:C20"/>
    <mergeCell ref="N16:N17"/>
    <mergeCell ref="O16:O20"/>
    <mergeCell ref="B6:C6"/>
    <mergeCell ref="F6:H6"/>
    <mergeCell ref="A4:A5"/>
    <mergeCell ref="B4:E5"/>
    <mergeCell ref="F4:G4"/>
    <mergeCell ref="H4:L4"/>
    <mergeCell ref="F5:G5"/>
    <mergeCell ref="H5:L5"/>
    <mergeCell ref="A11:A13"/>
    <mergeCell ref="B11:B13"/>
    <mergeCell ref="C11:C13"/>
    <mergeCell ref="M8:M10"/>
    <mergeCell ref="C8:C9"/>
    <mergeCell ref="B7:B10"/>
    <mergeCell ref="A7:A10"/>
    <mergeCell ref="A2:A3"/>
    <mergeCell ref="B2:E3"/>
    <mergeCell ref="F2:G2"/>
    <mergeCell ref="H2:L2"/>
    <mergeCell ref="F3:G3"/>
    <mergeCell ref="H3:L3"/>
  </mergeCells>
  <phoneticPr fontId="14"/>
  <conditionalFormatting sqref="E14:H15">
    <cfRule type="expression" priority="81" stopIfTrue="1">
      <formula>$K14="COMP"</formula>
    </cfRule>
    <cfRule type="expression" dxfId="152" priority="82" stopIfTrue="1">
      <formula>$K14=""</formula>
    </cfRule>
    <cfRule type="expression" priority="83" stopIfTrue="1">
      <formula>$K14="-"</formula>
    </cfRule>
    <cfRule type="expression" dxfId="151" priority="84" stopIfTrue="1">
      <formula>$K14=0</formula>
    </cfRule>
    <cfRule type="expression" dxfId="150" priority="85" stopIfTrue="1">
      <formula>$K14&lt;&gt;""</formula>
    </cfRule>
  </conditionalFormatting>
  <conditionalFormatting sqref="E23:F23">
    <cfRule type="expression" priority="21" stopIfTrue="1">
      <formula>$K23="COMP"</formula>
    </cfRule>
    <cfRule type="expression" dxfId="149" priority="22" stopIfTrue="1">
      <formula>$K23=""</formula>
    </cfRule>
    <cfRule type="expression" priority="23" stopIfTrue="1">
      <formula>$K23="-"</formula>
    </cfRule>
    <cfRule type="expression" dxfId="148" priority="24" stopIfTrue="1">
      <formula>$K23=0</formula>
    </cfRule>
    <cfRule type="expression" dxfId="147" priority="25" stopIfTrue="1">
      <formula>$K23&lt;&gt;""</formula>
    </cfRule>
  </conditionalFormatting>
  <conditionalFormatting sqref="E25">
    <cfRule type="expression" priority="16" stopIfTrue="1">
      <formula>$K25="COMP"</formula>
    </cfRule>
    <cfRule type="expression" dxfId="146" priority="17" stopIfTrue="1">
      <formula>$K25=""</formula>
    </cfRule>
    <cfRule type="expression" priority="18" stopIfTrue="1">
      <formula>$K25="-"</formula>
    </cfRule>
    <cfRule type="expression" dxfId="145" priority="19" stopIfTrue="1">
      <formula>$K25=0</formula>
    </cfRule>
    <cfRule type="expression" dxfId="144" priority="20" stopIfTrue="1">
      <formula>$K25&lt;&gt;""</formula>
    </cfRule>
  </conditionalFormatting>
  <conditionalFormatting sqref="E25">
    <cfRule type="expression" priority="11" stopIfTrue="1">
      <formula>$K25="COMP"</formula>
    </cfRule>
    <cfRule type="expression" dxfId="143" priority="12" stopIfTrue="1">
      <formula>$K25=""</formula>
    </cfRule>
    <cfRule type="expression" priority="13" stopIfTrue="1">
      <formula>$K25="-"</formula>
    </cfRule>
    <cfRule type="expression" dxfId="142" priority="14" stopIfTrue="1">
      <formula>$K25=0</formula>
    </cfRule>
    <cfRule type="expression" dxfId="141" priority="15" stopIfTrue="1">
      <formula>$K25&lt;&gt;""</formula>
    </cfRule>
  </conditionalFormatting>
  <conditionalFormatting sqref="M30">
    <cfRule type="expression" priority="6" stopIfTrue="1">
      <formula>$K30="COMP"</formula>
    </cfRule>
    <cfRule type="expression" dxfId="140" priority="7" stopIfTrue="1">
      <formula>$K30=""</formula>
    </cfRule>
    <cfRule type="expression" priority="8" stopIfTrue="1">
      <formula>$K30="-"</formula>
    </cfRule>
    <cfRule type="expression" dxfId="139" priority="9" stopIfTrue="1">
      <formula>$K30=0</formula>
    </cfRule>
    <cfRule type="expression" dxfId="138" priority="10" stopIfTrue="1">
      <formula>$K30&lt;&gt;""</formula>
    </cfRule>
  </conditionalFormatting>
  <conditionalFormatting sqref="F25">
    <cfRule type="expression" priority="31" stopIfTrue="1">
      <formula>$K25="COMP"</formula>
    </cfRule>
    <cfRule type="expression" dxfId="137" priority="32" stopIfTrue="1">
      <formula>$K25=""</formula>
    </cfRule>
    <cfRule type="expression" priority="33" stopIfTrue="1">
      <formula>$K25="-"</formula>
    </cfRule>
    <cfRule type="expression" dxfId="136" priority="34" stopIfTrue="1">
      <formula>$K25=0</formula>
    </cfRule>
    <cfRule type="expression" dxfId="135" priority="35" stopIfTrue="1">
      <formula>$K25&lt;&gt;""</formula>
    </cfRule>
  </conditionalFormatting>
  <conditionalFormatting sqref="E23:F23">
    <cfRule type="expression" priority="26" stopIfTrue="1">
      <formula>$K23="COMP"</formula>
    </cfRule>
    <cfRule type="expression" dxfId="134" priority="27" stopIfTrue="1">
      <formula>$K23=""</formula>
    </cfRule>
    <cfRule type="expression" priority="28" stopIfTrue="1">
      <formula>$K23="-"</formula>
    </cfRule>
    <cfRule type="expression" dxfId="133" priority="29" stopIfTrue="1">
      <formula>$K23=0</formula>
    </cfRule>
    <cfRule type="expression" dxfId="132" priority="30" stopIfTrue="1">
      <formula>$K23&lt;&gt;""</formula>
    </cfRule>
  </conditionalFormatting>
  <conditionalFormatting sqref="E26:F26">
    <cfRule type="expression" priority="51" stopIfTrue="1">
      <formula>$K26="COMP"</formula>
    </cfRule>
    <cfRule type="expression" dxfId="131" priority="52" stopIfTrue="1">
      <formula>$K26=""</formula>
    </cfRule>
    <cfRule type="expression" priority="53" stopIfTrue="1">
      <formula>$K26="-"</formula>
    </cfRule>
    <cfRule type="expression" dxfId="130" priority="54" stopIfTrue="1">
      <formula>$K26=0</formula>
    </cfRule>
    <cfRule type="expression" dxfId="129" priority="55" stopIfTrue="1">
      <formula>$K26&lt;&gt;""</formula>
    </cfRule>
  </conditionalFormatting>
  <conditionalFormatting sqref="E24:H24 N30 E27:H33">
    <cfRule type="expression" priority="71" stopIfTrue="1">
      <formula>$K24="COMP"</formula>
    </cfRule>
    <cfRule type="expression" dxfId="128" priority="72" stopIfTrue="1">
      <formula>$K24=""</formula>
    </cfRule>
    <cfRule type="expression" priority="73" stopIfTrue="1">
      <formula>$K24="-"</formula>
    </cfRule>
    <cfRule type="expression" dxfId="127" priority="74" stopIfTrue="1">
      <formula>$K24=0</formula>
    </cfRule>
    <cfRule type="expression" dxfId="126" priority="75" stopIfTrue="1">
      <formula>$K24&lt;&gt;""</formula>
    </cfRule>
  </conditionalFormatting>
  <conditionalFormatting sqref="F25">
    <cfRule type="expression" priority="36" stopIfTrue="1">
      <formula>$K25="COMP"</formula>
    </cfRule>
    <cfRule type="expression" dxfId="125" priority="37" stopIfTrue="1">
      <formula>$K25=""</formula>
    </cfRule>
    <cfRule type="expression" priority="38" stopIfTrue="1">
      <formula>$K25="-"</formula>
    </cfRule>
    <cfRule type="expression" dxfId="124" priority="39" stopIfTrue="1">
      <formula>$K25=0</formula>
    </cfRule>
    <cfRule type="expression" dxfId="123" priority="40" stopIfTrue="1">
      <formula>$K25&lt;&gt;""</formula>
    </cfRule>
  </conditionalFormatting>
  <conditionalFormatting sqref="E26:H26">
    <cfRule type="expression" priority="56" stopIfTrue="1">
      <formula>$K26="COMP"</formula>
    </cfRule>
    <cfRule type="expression" dxfId="122" priority="57" stopIfTrue="1">
      <formula>$K26=""</formula>
    </cfRule>
    <cfRule type="expression" priority="58" stopIfTrue="1">
      <formula>$K26="-"</formula>
    </cfRule>
    <cfRule type="expression" dxfId="121" priority="59" stopIfTrue="1">
      <formula>$K26=0</formula>
    </cfRule>
    <cfRule type="expression" dxfId="120" priority="60" stopIfTrue="1">
      <formula>$K26&lt;&gt;""</formula>
    </cfRule>
  </conditionalFormatting>
  <conditionalFormatting sqref="E30:H30">
    <cfRule type="expression" priority="46" stopIfTrue="1">
      <formula>#REF!="COMP"</formula>
    </cfRule>
    <cfRule type="expression" dxfId="119" priority="47" stopIfTrue="1">
      <formula>#REF!=""</formula>
    </cfRule>
    <cfRule type="expression" priority="48" stopIfTrue="1">
      <formula>#REF!="-"</formula>
    </cfRule>
    <cfRule type="expression" dxfId="118" priority="49" stopIfTrue="1">
      <formula>#REF!=0</formula>
    </cfRule>
    <cfRule type="expression" dxfId="117" priority="50" stopIfTrue="1">
      <formula>#REF!&lt;&gt;""</formula>
    </cfRule>
  </conditionalFormatting>
  <conditionalFormatting sqref="N30">
    <cfRule type="expression" priority="41" stopIfTrue="1">
      <formula>#REF!="COMP"</formula>
    </cfRule>
    <cfRule type="expression" dxfId="116" priority="42" stopIfTrue="1">
      <formula>#REF!=""</formula>
    </cfRule>
    <cfRule type="expression" priority="43" stopIfTrue="1">
      <formula>#REF!="-"</formula>
    </cfRule>
    <cfRule type="expression" dxfId="115" priority="44" stopIfTrue="1">
      <formula>#REF!=0</formula>
    </cfRule>
    <cfRule type="expression" dxfId="114" priority="45" stopIfTrue="1">
      <formula>#REF!&lt;&gt;""</formula>
    </cfRule>
  </conditionalFormatting>
  <conditionalFormatting sqref="E29:F29">
    <cfRule type="expression" priority="61" stopIfTrue="1">
      <formula>#REF!="COMP"</formula>
    </cfRule>
    <cfRule type="expression" dxfId="113" priority="62" stopIfTrue="1">
      <formula>#REF!=""</formula>
    </cfRule>
    <cfRule type="expression" priority="63" stopIfTrue="1">
      <formula>#REF!="-"</formula>
    </cfRule>
    <cfRule type="expression" dxfId="112" priority="64" stopIfTrue="1">
      <formula>#REF!=0</formula>
    </cfRule>
    <cfRule type="expression" dxfId="111" priority="65" stopIfTrue="1">
      <formula>#REF!&lt;&gt;""</formula>
    </cfRule>
  </conditionalFormatting>
  <conditionalFormatting sqref="E27:E28">
    <cfRule type="expression" priority="66" stopIfTrue="1">
      <formula>#REF!="COMP"</formula>
    </cfRule>
    <cfRule type="expression" dxfId="110" priority="67" stopIfTrue="1">
      <formula>#REF!=""</formula>
    </cfRule>
    <cfRule type="expression" priority="68" stopIfTrue="1">
      <formula>#REF!="-"</formula>
    </cfRule>
    <cfRule type="expression" dxfId="109" priority="69" stopIfTrue="1">
      <formula>#REF!=0</formula>
    </cfRule>
    <cfRule type="expression" dxfId="108" priority="70" stopIfTrue="1">
      <formula>#REF!&lt;&gt;""</formula>
    </cfRule>
  </conditionalFormatting>
  <conditionalFormatting sqref="G29:H29">
    <cfRule type="expression" priority="76" stopIfTrue="1">
      <formula>$K30="COMP"</formula>
    </cfRule>
    <cfRule type="expression" dxfId="107" priority="77" stopIfTrue="1">
      <formula>$K30=""</formula>
    </cfRule>
    <cfRule type="expression" priority="78" stopIfTrue="1">
      <formula>$K30="-"</formula>
    </cfRule>
    <cfRule type="expression" dxfId="106" priority="79" stopIfTrue="1">
      <formula>$K30=0</formula>
    </cfRule>
    <cfRule type="expression" dxfId="105" priority="80" stopIfTrue="1">
      <formula>$K30&lt;&gt;""</formula>
    </cfRule>
  </conditionalFormatting>
  <conditionalFormatting sqref="M30">
    <cfRule type="expression" priority="1" stopIfTrue="1">
      <formula>#REF!="COMP"</formula>
    </cfRule>
    <cfRule type="expression" dxfId="104" priority="2" stopIfTrue="1">
      <formula>#REF!=""</formula>
    </cfRule>
    <cfRule type="expression" priority="3" stopIfTrue="1">
      <formula>#REF!="-"</formula>
    </cfRule>
    <cfRule type="expression" dxfId="103" priority="4" stopIfTrue="1">
      <formula>#REF!=0</formula>
    </cfRule>
    <cfRule type="expression" dxfId="102" priority="5" stopIfTrue="1">
      <formula>#REF!&lt;&gt;""</formula>
    </cfRule>
  </conditionalFormatting>
  <hyperlinks>
    <hyperlink ref="A1:P1" location="TEMPLATE!A1" display="TEMPLATE!A1"/>
    <hyperlink ref="P16:P20" r:id="rId1" display="(資料)kzw-Thai加工等問い合わせ回答\20181226_【内研加工限界】\内研加工限界.pdf"/>
  </hyperlinks>
  <pageMargins left="0.70866141732283472" right="0.70866141732283472" top="0.74803149606299213" bottom="0.74803149606299213" header="0.31496062992125984" footer="0.31496062992125984"/>
  <pageSetup paperSize="9" scale="54"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B0F0"/>
    <pageSetUpPr fitToPage="1"/>
  </sheetPr>
  <dimension ref="A1:N37"/>
  <sheetViews>
    <sheetView showGridLines="0" view="pageBreakPreview" zoomScale="85" zoomScaleNormal="85" zoomScaleSheetLayoutView="85" workbookViewId="0">
      <selection activeCell="C41" sqref="C41"/>
    </sheetView>
  </sheetViews>
  <sheetFormatPr defaultRowHeight="13.8"/>
  <cols>
    <col min="1" max="1" width="10.59765625" customWidth="1"/>
    <col min="2" max="2" width="19.19921875" customWidth="1"/>
    <col min="3" max="3" width="12.59765625" customWidth="1"/>
    <col min="4" max="4" width="5.59765625" customWidth="1"/>
    <col min="5" max="5" width="28" bestFit="1" customWidth="1"/>
    <col min="6" max="6" width="27.3984375" bestFit="1" customWidth="1"/>
    <col min="7" max="9" width="5.59765625" style="350" customWidth="1"/>
    <col min="10" max="11" width="5.59765625" customWidth="1"/>
    <col min="12" max="12" width="74.09765625" bestFit="1" customWidth="1"/>
    <col min="13" max="13" width="27" bestFit="1" customWidth="1"/>
    <col min="14" max="14" width="6.3984375" bestFit="1" customWidth="1"/>
  </cols>
  <sheetData>
    <row r="1" spans="1:14">
      <c r="A1" s="2099" t="s">
        <v>171</v>
      </c>
      <c r="B1" s="2099"/>
      <c r="C1" s="2099"/>
      <c r="D1" s="2099"/>
      <c r="E1" s="2099"/>
      <c r="F1" s="2099"/>
      <c r="G1" s="2099"/>
      <c r="H1" s="2099"/>
      <c r="I1" s="2099"/>
      <c r="J1" s="2099"/>
      <c r="K1" s="2099"/>
      <c r="L1" s="2100"/>
      <c r="M1" s="2100"/>
      <c r="N1" s="2100"/>
    </row>
    <row r="2" spans="1:14" ht="30" customHeight="1">
      <c r="A2" s="2396" t="s">
        <v>5</v>
      </c>
      <c r="B2" s="1993"/>
      <c r="C2" s="1993"/>
      <c r="D2" s="1993"/>
      <c r="E2" s="1993"/>
      <c r="F2" s="1096" t="s">
        <v>268</v>
      </c>
      <c r="G2" s="2089"/>
      <c r="H2" s="2090"/>
      <c r="I2" s="2090"/>
      <c r="J2" s="2090"/>
      <c r="K2" s="2090"/>
      <c r="L2" s="837" t="s">
        <v>1187</v>
      </c>
      <c r="M2" s="904"/>
      <c r="N2" s="920"/>
    </row>
    <row r="3" spans="1:14" ht="30" customHeight="1">
      <c r="A3" s="2396"/>
      <c r="B3" s="1993"/>
      <c r="C3" s="1993"/>
      <c r="D3" s="1993"/>
      <c r="E3" s="1993"/>
      <c r="F3" s="1064" t="s">
        <v>1249</v>
      </c>
      <c r="G3" s="2089"/>
      <c r="H3" s="2090"/>
      <c r="I3" s="2090"/>
      <c r="J3" s="2090"/>
      <c r="K3" s="2090"/>
      <c r="L3" s="1099"/>
      <c r="M3" s="35"/>
      <c r="N3" s="921"/>
    </row>
    <row r="4" spans="1:14" ht="30" customHeight="1">
      <c r="A4" s="2396" t="s">
        <v>38</v>
      </c>
      <c r="B4" s="1993"/>
      <c r="C4" s="1993"/>
      <c r="D4" s="1993"/>
      <c r="E4" s="1993"/>
      <c r="F4" s="1065" t="s">
        <v>1250</v>
      </c>
      <c r="G4" s="2089"/>
      <c r="H4" s="2090"/>
      <c r="I4" s="2090"/>
      <c r="J4" s="2090"/>
      <c r="K4" s="2090"/>
      <c r="L4" s="1099"/>
      <c r="M4" s="35"/>
      <c r="N4" s="921"/>
    </row>
    <row r="5" spans="1:14" ht="30" customHeight="1">
      <c r="A5" s="2396"/>
      <c r="B5" s="1993"/>
      <c r="C5" s="1993"/>
      <c r="D5" s="1993"/>
      <c r="E5" s="1993"/>
      <c r="F5" s="1066" t="s">
        <v>269</v>
      </c>
      <c r="G5" s="2089"/>
      <c r="H5" s="2090"/>
      <c r="I5" s="2090"/>
      <c r="J5" s="2090"/>
      <c r="K5" s="2090"/>
      <c r="L5" s="1100"/>
      <c r="M5" s="905"/>
      <c r="N5" s="922"/>
    </row>
    <row r="6" spans="1:14" ht="60" customHeight="1">
      <c r="A6" s="1107" t="s">
        <v>1227</v>
      </c>
      <c r="B6" s="1000" t="s">
        <v>6</v>
      </c>
      <c r="C6" s="1000" t="s">
        <v>168</v>
      </c>
      <c r="D6" s="1037" t="s">
        <v>1251</v>
      </c>
      <c r="E6" s="82" t="s">
        <v>64</v>
      </c>
      <c r="F6" s="2001" t="s">
        <v>1</v>
      </c>
      <c r="G6" s="2003"/>
      <c r="H6" s="1038" t="s">
        <v>66</v>
      </c>
      <c r="I6" s="1038" t="s">
        <v>1247</v>
      </c>
      <c r="J6" s="1039" t="s">
        <v>1248</v>
      </c>
      <c r="K6" s="1040" t="s">
        <v>2</v>
      </c>
      <c r="L6" s="999" t="s">
        <v>1256</v>
      </c>
      <c r="M6" s="999" t="s">
        <v>1257</v>
      </c>
      <c r="N6" s="1133" t="s">
        <v>183</v>
      </c>
    </row>
    <row r="7" spans="1:14" ht="20.100000000000001" customHeight="1">
      <c r="A7" s="1048">
        <v>1021</v>
      </c>
      <c r="B7" s="1012" t="s">
        <v>463</v>
      </c>
      <c r="C7" s="1015" t="s">
        <v>472</v>
      </c>
      <c r="D7" s="1015"/>
      <c r="E7" s="1015" t="s">
        <v>465</v>
      </c>
      <c r="F7" s="338" t="s">
        <v>473</v>
      </c>
      <c r="G7" s="362"/>
      <c r="H7" s="363"/>
      <c r="I7" s="363"/>
      <c r="J7" s="364"/>
      <c r="K7" s="364"/>
      <c r="L7" s="365"/>
      <c r="M7" s="1117"/>
      <c r="N7" s="1116" t="str">
        <f>HYPERLINK(VLOOKUP(F7,LINK,2,FALSE),VLOOKUP(F7,LINK,3,FALSE))</f>
        <v>EXCEL</v>
      </c>
    </row>
    <row r="8" spans="1:14" ht="20.100000000000001" customHeight="1">
      <c r="A8" s="2443" t="s">
        <v>1279</v>
      </c>
      <c r="B8" s="1995" t="s">
        <v>1238</v>
      </c>
      <c r="C8" s="2352" t="s">
        <v>987</v>
      </c>
      <c r="D8" s="188"/>
      <c r="E8" s="303" t="s">
        <v>988</v>
      </c>
      <c r="F8" s="342" t="s">
        <v>998</v>
      </c>
      <c r="G8" s="501"/>
      <c r="H8" s="188"/>
      <c r="I8" s="188"/>
      <c r="J8" s="188"/>
      <c r="K8" s="188"/>
      <c r="L8" s="188"/>
      <c r="M8" s="1118"/>
      <c r="N8" s="2441" t="str">
        <f>HYPERLINK(VLOOKUP(F8,LINK,2,FALSE),VLOOKUP(F8,LINK,3,FALSE))</f>
        <v>EXCEL</v>
      </c>
    </row>
    <row r="9" spans="1:14" ht="20.100000000000001" customHeight="1">
      <c r="A9" s="2140"/>
      <c r="B9" s="1996"/>
      <c r="C9" s="2353"/>
      <c r="D9" s="1026"/>
      <c r="E9" s="705" t="s">
        <v>989</v>
      </c>
      <c r="F9" s="345" t="s">
        <v>999</v>
      </c>
      <c r="G9" s="502"/>
      <c r="H9" s="1026"/>
      <c r="I9" s="1026"/>
      <c r="J9" s="1026"/>
      <c r="K9" s="1026"/>
      <c r="L9" s="1026"/>
      <c r="M9" s="1118"/>
      <c r="N9" s="2442"/>
    </row>
    <row r="10" spans="1:14" ht="20.100000000000001" customHeight="1">
      <c r="A10" s="2140"/>
      <c r="B10" s="1996"/>
      <c r="C10" s="2353"/>
      <c r="D10" s="1026"/>
      <c r="E10" s="705" t="s">
        <v>990</v>
      </c>
      <c r="F10" s="345" t="s">
        <v>1000</v>
      </c>
      <c r="G10" s="502"/>
      <c r="H10" s="1026"/>
      <c r="I10" s="1026"/>
      <c r="J10" s="1026"/>
      <c r="K10" s="1026"/>
      <c r="L10" s="1026"/>
      <c r="M10" s="1118"/>
      <c r="N10" s="2442"/>
    </row>
    <row r="11" spans="1:14" ht="20.100000000000001" customHeight="1">
      <c r="A11" s="2140"/>
      <c r="B11" s="1996"/>
      <c r="C11" s="2353"/>
      <c r="D11" s="1026"/>
      <c r="E11" s="1028" t="s">
        <v>991</v>
      </c>
      <c r="F11" s="345" t="s">
        <v>1002</v>
      </c>
      <c r="G11" s="502"/>
      <c r="H11" s="1026"/>
      <c r="I11" s="1026"/>
      <c r="J11" s="1026"/>
      <c r="K11" s="1026"/>
      <c r="L11" s="1026"/>
      <c r="M11" s="1118"/>
      <c r="N11" s="2442"/>
    </row>
    <row r="12" spans="1:14" ht="20.100000000000001" customHeight="1">
      <c r="A12" s="2140"/>
      <c r="B12" s="1996"/>
      <c r="C12" s="2353"/>
      <c r="D12" s="1026"/>
      <c r="E12" s="705" t="s">
        <v>992</v>
      </c>
      <c r="F12" s="345" t="s">
        <v>1004</v>
      </c>
      <c r="G12" s="502"/>
      <c r="H12" s="1026"/>
      <c r="I12" s="1026"/>
      <c r="J12" s="1026"/>
      <c r="K12" s="1026"/>
      <c r="L12" s="1026"/>
      <c r="M12" s="1118"/>
      <c r="N12" s="2442"/>
    </row>
    <row r="13" spans="1:14" ht="20.100000000000001" customHeight="1">
      <c r="A13" s="2140"/>
      <c r="B13" s="1996"/>
      <c r="C13" s="2353"/>
      <c r="D13" s="1026"/>
      <c r="E13" s="705" t="s">
        <v>993</v>
      </c>
      <c r="F13" s="345" t="s">
        <v>1005</v>
      </c>
      <c r="G13" s="502"/>
      <c r="H13" s="1026"/>
      <c r="I13" s="1026"/>
      <c r="J13" s="1026"/>
      <c r="K13" s="1026"/>
      <c r="L13" s="1026"/>
      <c r="M13" s="1118"/>
      <c r="N13" s="2442"/>
    </row>
    <row r="14" spans="1:14" ht="20.100000000000001" customHeight="1">
      <c r="A14" s="2140"/>
      <c r="B14" s="1996"/>
      <c r="C14" s="2353"/>
      <c r="D14" s="1026"/>
      <c r="E14" s="705" t="s">
        <v>994</v>
      </c>
      <c r="F14" s="345" t="s">
        <v>1007</v>
      </c>
      <c r="G14" s="502"/>
      <c r="H14" s="1026"/>
      <c r="I14" s="1026"/>
      <c r="J14" s="1026"/>
      <c r="K14" s="1026"/>
      <c r="L14" s="1026"/>
      <c r="M14" s="1118"/>
      <c r="N14" s="2442"/>
    </row>
    <row r="15" spans="1:14" ht="20.100000000000001" customHeight="1">
      <c r="A15" s="2140"/>
      <c r="B15" s="1996"/>
      <c r="C15" s="2353"/>
      <c r="D15" s="1026"/>
      <c r="E15" s="705" t="s">
        <v>995</v>
      </c>
      <c r="F15" s="345" t="s">
        <v>1009</v>
      </c>
      <c r="G15" s="502"/>
      <c r="H15" s="1026"/>
      <c r="I15" s="1026"/>
      <c r="J15" s="1026"/>
      <c r="K15" s="1026"/>
      <c r="L15" s="1026"/>
      <c r="M15" s="1118"/>
      <c r="N15" s="2442"/>
    </row>
    <row r="16" spans="1:14" ht="20.100000000000001" customHeight="1">
      <c r="A16" s="2140"/>
      <c r="B16" s="1996"/>
      <c r="C16" s="2353"/>
      <c r="D16" s="1026"/>
      <c r="E16" s="1022" t="s">
        <v>996</v>
      </c>
      <c r="F16" s="345" t="s">
        <v>1011</v>
      </c>
      <c r="G16" s="502"/>
      <c r="H16" s="1026"/>
      <c r="I16" s="1026"/>
      <c r="J16" s="1026"/>
      <c r="K16" s="1026"/>
      <c r="L16" s="1026"/>
      <c r="M16" s="1118"/>
      <c r="N16" s="2442"/>
    </row>
    <row r="17" spans="1:14" ht="20.100000000000001" customHeight="1">
      <c r="A17" s="2141"/>
      <c r="B17" s="1997"/>
      <c r="C17" s="2354"/>
      <c r="D17" s="1027"/>
      <c r="E17" s="706" t="s">
        <v>997</v>
      </c>
      <c r="F17" s="491" t="s">
        <v>1012</v>
      </c>
      <c r="G17" s="504"/>
      <c r="H17" s="1027"/>
      <c r="I17" s="1027"/>
      <c r="J17" s="1027"/>
      <c r="K17" s="1027"/>
      <c r="L17" s="1027" t="e">
        <f>"DD"&amp;#REF!</f>
        <v>#REF!</v>
      </c>
      <c r="M17" s="1118"/>
      <c r="N17" s="2083"/>
    </row>
    <row r="18" spans="1:14" ht="20.100000000000001" customHeight="1">
      <c r="A18" s="2139">
        <v>1061</v>
      </c>
      <c r="B18" s="2361" t="s">
        <v>661</v>
      </c>
      <c r="C18" s="2361" t="s">
        <v>557</v>
      </c>
      <c r="D18" s="1023"/>
      <c r="E18" s="388" t="s">
        <v>558</v>
      </c>
      <c r="F18" s="368" t="s">
        <v>37</v>
      </c>
      <c r="G18" s="370"/>
      <c r="H18" s="371"/>
      <c r="I18" s="1103"/>
      <c r="J18" s="463"/>
      <c r="K18" s="463"/>
      <c r="L18" s="435" t="s">
        <v>104</v>
      </c>
      <c r="M18" s="2338" t="s">
        <v>619</v>
      </c>
      <c r="N18" s="2149" t="str">
        <f>HYPERLINK(VLOOKUP(F18,LINK,2,FALSE),VLOOKUP(F18,LINK,3,FALSE))</f>
        <v>EXCEL</v>
      </c>
    </row>
    <row r="19" spans="1:14" ht="20.100000000000001" customHeight="1">
      <c r="A19" s="2140"/>
      <c r="B19" s="2362"/>
      <c r="C19" s="2362"/>
      <c r="D19" s="1024"/>
      <c r="E19" s="704" t="s">
        <v>559</v>
      </c>
      <c r="F19" s="375" t="s">
        <v>560</v>
      </c>
      <c r="G19" s="377"/>
      <c r="H19" s="378"/>
      <c r="I19" s="1055"/>
      <c r="J19" s="395"/>
      <c r="K19" s="395"/>
      <c r="L19" s="436" t="s">
        <v>102</v>
      </c>
      <c r="M19" s="2339"/>
      <c r="N19" s="2149"/>
    </row>
    <row r="20" spans="1:14" ht="20.100000000000001" customHeight="1">
      <c r="A20" s="2140"/>
      <c r="B20" s="2362"/>
      <c r="C20" s="2362"/>
      <c r="D20" s="396"/>
      <c r="E20" s="397" t="s">
        <v>561</v>
      </c>
      <c r="F20" s="398" t="s">
        <v>529</v>
      </c>
      <c r="G20" s="1059">
        <v>-99</v>
      </c>
      <c r="H20" s="401"/>
      <c r="I20" s="1056"/>
      <c r="J20" s="402"/>
      <c r="K20" s="402"/>
      <c r="L20" s="437" t="s">
        <v>129</v>
      </c>
      <c r="M20" s="2339"/>
      <c r="N20" s="2149"/>
    </row>
    <row r="21" spans="1:14" ht="20.100000000000001" hidden="1" customHeight="1">
      <c r="A21" s="2140"/>
      <c r="B21" s="2362"/>
      <c r="C21" s="2362"/>
      <c r="D21" s="403"/>
      <c r="E21" s="404" t="s">
        <v>563</v>
      </c>
      <c r="F21" s="405" t="s">
        <v>530</v>
      </c>
      <c r="G21" s="407" t="s">
        <v>531</v>
      </c>
      <c r="H21" s="880"/>
      <c r="I21" s="1057"/>
      <c r="J21" s="894"/>
      <c r="K21" s="410"/>
      <c r="L21" s="438" t="s">
        <v>95</v>
      </c>
      <c r="M21" s="2339"/>
      <c r="N21" s="2149"/>
    </row>
    <row r="22" spans="1:14" ht="20.100000000000001" hidden="1" customHeight="1">
      <c r="A22" s="2140"/>
      <c r="B22" s="2362"/>
      <c r="C22" s="2362"/>
      <c r="D22" s="403"/>
      <c r="E22" s="404" t="s">
        <v>566</v>
      </c>
      <c r="F22" s="405" t="s">
        <v>532</v>
      </c>
      <c r="G22" s="411" t="s">
        <v>523</v>
      </c>
      <c r="H22" s="880"/>
      <c r="I22" s="1057"/>
      <c r="J22" s="894"/>
      <c r="K22" s="410"/>
      <c r="L22" s="438" t="s">
        <v>95</v>
      </c>
      <c r="M22" s="2339"/>
      <c r="N22" s="2149"/>
    </row>
    <row r="23" spans="1:14" ht="20.100000000000001" hidden="1" customHeight="1">
      <c r="A23" s="2140"/>
      <c r="B23" s="2362"/>
      <c r="C23" s="2362"/>
      <c r="D23" s="403"/>
      <c r="E23" s="404" t="s">
        <v>569</v>
      </c>
      <c r="F23" s="405" t="s">
        <v>532</v>
      </c>
      <c r="G23" s="411" t="s">
        <v>523</v>
      </c>
      <c r="H23" s="880"/>
      <c r="I23" s="1057"/>
      <c r="J23" s="894"/>
      <c r="K23" s="410"/>
      <c r="L23" s="438" t="s">
        <v>95</v>
      </c>
      <c r="M23" s="2339"/>
      <c r="N23" s="2149"/>
    </row>
    <row r="24" spans="1:14" ht="20.100000000000001" customHeight="1">
      <c r="A24" s="2140"/>
      <c r="B24" s="2362"/>
      <c r="C24" s="2362"/>
      <c r="D24" s="1024"/>
      <c r="E24" s="704" t="s">
        <v>570</v>
      </c>
      <c r="F24" s="375" t="s">
        <v>571</v>
      </c>
      <c r="G24" s="377"/>
      <c r="H24" s="378"/>
      <c r="I24" s="1055"/>
      <c r="J24" s="395"/>
      <c r="K24" s="395"/>
      <c r="L24" s="1061" t="s">
        <v>613</v>
      </c>
      <c r="M24" s="2339"/>
      <c r="N24" s="2149"/>
    </row>
    <row r="25" spans="1:14" ht="20.100000000000001" customHeight="1">
      <c r="A25" s="2140"/>
      <c r="B25" s="2362"/>
      <c r="C25" s="2362"/>
      <c r="D25" s="1014"/>
      <c r="E25" s="404" t="s">
        <v>572</v>
      </c>
      <c r="F25" s="405" t="s">
        <v>573</v>
      </c>
      <c r="G25" s="411"/>
      <c r="H25" s="880"/>
      <c r="I25" s="1057"/>
      <c r="J25" s="894"/>
      <c r="K25" s="894"/>
      <c r="L25" s="1060" t="s">
        <v>129</v>
      </c>
      <c r="M25" s="2339"/>
      <c r="N25" s="2149"/>
    </row>
    <row r="26" spans="1:14" ht="20.100000000000001" customHeight="1">
      <c r="A26" s="2140"/>
      <c r="B26" s="2362"/>
      <c r="C26" s="2362"/>
      <c r="D26" s="1024"/>
      <c r="E26" s="704" t="s">
        <v>574</v>
      </c>
      <c r="F26" s="375" t="s">
        <v>575</v>
      </c>
      <c r="G26" s="377"/>
      <c r="H26" s="378"/>
      <c r="I26" s="1055"/>
      <c r="J26" s="395"/>
      <c r="K26" s="395"/>
      <c r="L26" s="1061" t="s">
        <v>128</v>
      </c>
      <c r="M26" s="2339"/>
      <c r="N26" s="2149"/>
    </row>
    <row r="27" spans="1:14" ht="20.100000000000001" customHeight="1">
      <c r="A27" s="2140"/>
      <c r="B27" s="2362"/>
      <c r="C27" s="2362"/>
      <c r="D27" s="1024"/>
      <c r="E27" s="1029" t="s">
        <v>576</v>
      </c>
      <c r="F27" s="375" t="s">
        <v>577</v>
      </c>
      <c r="G27" s="377"/>
      <c r="H27" s="378"/>
      <c r="I27" s="1055"/>
      <c r="J27" s="395"/>
      <c r="K27" s="395"/>
      <c r="L27" s="1061" t="s">
        <v>105</v>
      </c>
      <c r="M27" s="2339"/>
      <c r="N27" s="2149"/>
    </row>
    <row r="28" spans="1:14" ht="20.100000000000001" customHeight="1">
      <c r="A28" s="2140"/>
      <c r="B28" s="2362"/>
      <c r="C28" s="2362"/>
      <c r="D28" s="1024"/>
      <c r="E28" s="704" t="s">
        <v>578</v>
      </c>
      <c r="F28" s="375" t="s">
        <v>579</v>
      </c>
      <c r="G28" s="377"/>
      <c r="H28" s="378"/>
      <c r="I28" s="1055"/>
      <c r="J28" s="395"/>
      <c r="K28" s="395"/>
      <c r="L28" s="1061" t="s">
        <v>614</v>
      </c>
      <c r="M28" s="2339"/>
      <c r="N28" s="2149"/>
    </row>
    <row r="29" spans="1:14" ht="20.100000000000001" customHeight="1">
      <c r="A29" s="2140"/>
      <c r="B29" s="2362"/>
      <c r="C29" s="2362"/>
      <c r="D29" s="1024"/>
      <c r="E29" s="704" t="s">
        <v>580</v>
      </c>
      <c r="F29" s="375" t="s">
        <v>581</v>
      </c>
      <c r="G29" s="377"/>
      <c r="H29" s="378"/>
      <c r="I29" s="1055"/>
      <c r="J29" s="395"/>
      <c r="K29" s="395" t="s">
        <v>582</v>
      </c>
      <c r="L29" s="1062" t="s">
        <v>1031</v>
      </c>
      <c r="M29" s="2339"/>
      <c r="N29" s="2149"/>
    </row>
    <row r="30" spans="1:14" ht="20.100000000000001" customHeight="1">
      <c r="A30" s="2141"/>
      <c r="B30" s="2363"/>
      <c r="C30" s="2363"/>
      <c r="D30" s="1025"/>
      <c r="E30" s="1124" t="s">
        <v>583</v>
      </c>
      <c r="F30" s="382" t="s">
        <v>584</v>
      </c>
      <c r="G30" s="384"/>
      <c r="H30" s="385"/>
      <c r="I30" s="1125"/>
      <c r="J30" s="1126"/>
      <c r="K30" s="1126"/>
      <c r="L30" s="1127" t="s">
        <v>1269</v>
      </c>
      <c r="M30" s="2340"/>
      <c r="N30" s="2149"/>
    </row>
    <row r="31" spans="1:14" ht="20.100000000000001" hidden="1" customHeight="1">
      <c r="A31" s="1105"/>
      <c r="B31" s="1128"/>
      <c r="C31" s="1129"/>
      <c r="D31" s="1017"/>
      <c r="E31" s="1119" t="s">
        <v>585</v>
      </c>
      <c r="F31" s="1120" t="s">
        <v>586</v>
      </c>
      <c r="G31" s="1121" t="s">
        <v>231</v>
      </c>
      <c r="H31" s="1020"/>
      <c r="I31" s="1020"/>
      <c r="J31" s="1122"/>
      <c r="K31" s="1122"/>
      <c r="L31" s="1123" t="s">
        <v>94</v>
      </c>
      <c r="M31" s="1132"/>
      <c r="N31" s="1134"/>
    </row>
    <row r="32" spans="1:14" ht="20.100000000000001" hidden="1" customHeight="1">
      <c r="A32" s="1105"/>
      <c r="B32" s="1128"/>
      <c r="C32" s="1130"/>
      <c r="D32" s="2408"/>
      <c r="E32" s="2411" t="s">
        <v>587</v>
      </c>
      <c r="F32" s="881"/>
      <c r="G32" s="883"/>
      <c r="H32" s="2412"/>
      <c r="I32" s="1018"/>
      <c r="J32" s="2412"/>
      <c r="K32" s="2412"/>
      <c r="L32" s="2444" t="s">
        <v>623</v>
      </c>
      <c r="M32" s="1131"/>
      <c r="N32" s="1134"/>
    </row>
    <row r="33" spans="1:14" ht="20.100000000000001" hidden="1" customHeight="1">
      <c r="A33" s="1105"/>
      <c r="B33" s="1128"/>
      <c r="C33" s="1130"/>
      <c r="D33" s="2409"/>
      <c r="E33" s="2411"/>
      <c r="F33" s="884" t="s">
        <v>382</v>
      </c>
      <c r="G33" s="886"/>
      <c r="H33" s="2413"/>
      <c r="I33" s="1019"/>
      <c r="J33" s="2413"/>
      <c r="K33" s="2413"/>
      <c r="L33" s="2445"/>
      <c r="M33" s="1131"/>
      <c r="N33" s="1134"/>
    </row>
    <row r="34" spans="1:14" ht="20.100000000000001" hidden="1" customHeight="1">
      <c r="A34" s="1105"/>
      <c r="B34" s="1128"/>
      <c r="C34" s="1130"/>
      <c r="D34" s="2410"/>
      <c r="E34" s="2411"/>
      <c r="F34" s="887"/>
      <c r="G34" s="889"/>
      <c r="H34" s="2414"/>
      <c r="I34" s="1020"/>
      <c r="J34" s="2414"/>
      <c r="K34" s="2414"/>
      <c r="L34" s="2447"/>
      <c r="M34" s="1131"/>
      <c r="N34" s="1134"/>
    </row>
    <row r="35" spans="1:14" ht="20.100000000000001" hidden="1" customHeight="1">
      <c r="A35" s="1105"/>
      <c r="B35" s="1128"/>
      <c r="C35" s="1130"/>
      <c r="D35" s="2408"/>
      <c r="E35" s="2411" t="s">
        <v>588</v>
      </c>
      <c r="F35" s="890"/>
      <c r="G35" s="883"/>
      <c r="H35" s="2404"/>
      <c r="I35" s="1010"/>
      <c r="J35" s="2404"/>
      <c r="K35" s="2404"/>
      <c r="L35" s="2444" t="s">
        <v>624</v>
      </c>
      <c r="M35" s="1131"/>
      <c r="N35" s="1134"/>
    </row>
    <row r="36" spans="1:14" ht="20.100000000000001" hidden="1" customHeight="1">
      <c r="A36" s="1105"/>
      <c r="B36" s="1128"/>
      <c r="C36" s="1130"/>
      <c r="D36" s="2409"/>
      <c r="E36" s="2411"/>
      <c r="F36" s="884" t="s">
        <v>382</v>
      </c>
      <c r="G36" s="886"/>
      <c r="H36" s="2405"/>
      <c r="I36" s="1011"/>
      <c r="J36" s="2405"/>
      <c r="K36" s="2405"/>
      <c r="L36" s="2445"/>
      <c r="M36" s="1131"/>
      <c r="N36" s="2149"/>
    </row>
    <row r="37" spans="1:14" ht="20.100000000000001" hidden="1" customHeight="1">
      <c r="A37" s="1106"/>
      <c r="B37" s="1129"/>
      <c r="C37" s="1130"/>
      <c r="D37" s="2415"/>
      <c r="E37" s="2424"/>
      <c r="F37" s="891"/>
      <c r="G37" s="893"/>
      <c r="H37" s="2406"/>
      <c r="I37" s="1021"/>
      <c r="J37" s="2406"/>
      <c r="K37" s="2406"/>
      <c r="L37" s="2446"/>
      <c r="M37" s="1131"/>
      <c r="N37" s="1993"/>
    </row>
  </sheetData>
  <sortState ref="E4:F13">
    <sortCondition ref="F24:F33"/>
  </sortState>
  <mergeCells count="32">
    <mergeCell ref="B18:B30"/>
    <mergeCell ref="A18:A30"/>
    <mergeCell ref="M18:M30"/>
    <mergeCell ref="J32:J34"/>
    <mergeCell ref="K32:K34"/>
    <mergeCell ref="L32:L34"/>
    <mergeCell ref="D32:D34"/>
    <mergeCell ref="E32:E34"/>
    <mergeCell ref="H32:H34"/>
    <mergeCell ref="L35:L37"/>
    <mergeCell ref="C18:C30"/>
    <mergeCell ref="D35:D37"/>
    <mergeCell ref="E35:E37"/>
    <mergeCell ref="H35:H37"/>
    <mergeCell ref="J35:J37"/>
    <mergeCell ref="K35:K37"/>
    <mergeCell ref="N8:N17"/>
    <mergeCell ref="N18:N30"/>
    <mergeCell ref="N36:N37"/>
    <mergeCell ref="A1:N1"/>
    <mergeCell ref="C8:C17"/>
    <mergeCell ref="B8:B17"/>
    <mergeCell ref="A2:A3"/>
    <mergeCell ref="B2:E3"/>
    <mergeCell ref="G2:K2"/>
    <mergeCell ref="G3:K3"/>
    <mergeCell ref="A4:A5"/>
    <mergeCell ref="B4:E5"/>
    <mergeCell ref="G4:K4"/>
    <mergeCell ref="G5:K5"/>
    <mergeCell ref="F6:G6"/>
    <mergeCell ref="A8:A17"/>
  </mergeCells>
  <phoneticPr fontId="14"/>
  <hyperlinks>
    <hyperlink ref="A1:N1" location="TEMPLATE!A1" display="ボール入りインナーレース"/>
  </hyperlinks>
  <pageMargins left="0.25" right="0.25" top="0.75" bottom="0.75" header="0.3" footer="0.3"/>
  <pageSetup paperSize="9" scale="56"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N18"/>
  <sheetViews>
    <sheetView showGridLines="0" view="pageBreakPreview" zoomScaleNormal="100" zoomScaleSheetLayoutView="100" workbookViewId="0">
      <selection activeCell="G21" sqref="G21"/>
    </sheetView>
  </sheetViews>
  <sheetFormatPr defaultRowHeight="13.8"/>
  <cols>
    <col min="1" max="1" width="14.19921875" bestFit="1" customWidth="1"/>
    <col min="2" max="2" width="20.3984375" bestFit="1" customWidth="1"/>
    <col min="3" max="3" width="5.59765625" customWidth="1"/>
    <col min="4" max="4" width="23.8984375" bestFit="1" customWidth="1"/>
    <col min="5" max="5" width="11.69921875" bestFit="1" customWidth="1"/>
    <col min="6" max="6" width="11.8984375" bestFit="1" customWidth="1"/>
    <col min="7" max="7" width="9.5" customWidth="1"/>
    <col min="8" max="11" width="5.59765625" customWidth="1"/>
    <col min="12" max="12" width="26" bestFit="1" customWidth="1"/>
    <col min="13" max="13" width="8.5" bestFit="1" customWidth="1"/>
    <col min="14" max="14" width="5.5" bestFit="1" customWidth="1"/>
  </cols>
  <sheetData>
    <row r="1" spans="1:14">
      <c r="A1" s="835" t="s">
        <v>172</v>
      </c>
      <c r="B1" s="835"/>
      <c r="C1" s="835"/>
      <c r="D1" s="835"/>
      <c r="E1" s="835"/>
      <c r="F1" s="835"/>
      <c r="G1" s="835"/>
      <c r="H1" s="835"/>
      <c r="I1" s="835"/>
      <c r="J1" s="835"/>
      <c r="K1" s="835"/>
      <c r="L1" s="835"/>
      <c r="M1" s="835"/>
      <c r="N1" s="835"/>
    </row>
    <row r="2" spans="1:14" ht="30" customHeight="1">
      <c r="A2" s="2396" t="s">
        <v>5</v>
      </c>
      <c r="B2" s="2452"/>
      <c r="C2" s="2453"/>
      <c r="D2" s="2441"/>
      <c r="E2" s="2093" t="s">
        <v>268</v>
      </c>
      <c r="F2" s="2094"/>
      <c r="G2" s="2089"/>
      <c r="H2" s="2090"/>
      <c r="I2" s="2090"/>
      <c r="J2" s="2090"/>
      <c r="K2" s="2090"/>
      <c r="L2" s="837" t="s">
        <v>1187</v>
      </c>
      <c r="M2" s="904"/>
      <c r="N2" s="920"/>
    </row>
    <row r="3" spans="1:14" ht="30" customHeight="1">
      <c r="A3" s="2396"/>
      <c r="B3" s="2454"/>
      <c r="C3" s="2455"/>
      <c r="D3" s="2456"/>
      <c r="E3" s="2006" t="s">
        <v>1249</v>
      </c>
      <c r="F3" s="2006"/>
      <c r="G3" s="2089"/>
      <c r="H3" s="2090"/>
      <c r="I3" s="2090"/>
      <c r="J3" s="2090"/>
      <c r="K3" s="2090"/>
      <c r="L3" s="1099"/>
      <c r="M3" s="35"/>
      <c r="N3" s="921"/>
    </row>
    <row r="4" spans="1:14" ht="30" customHeight="1">
      <c r="A4" s="2396" t="s">
        <v>38</v>
      </c>
      <c r="B4" s="2452"/>
      <c r="C4" s="2453"/>
      <c r="D4" s="2441"/>
      <c r="E4" s="2007" t="s">
        <v>1250</v>
      </c>
      <c r="F4" s="2007"/>
      <c r="G4" s="2089"/>
      <c r="H4" s="2090"/>
      <c r="I4" s="2090"/>
      <c r="J4" s="2090"/>
      <c r="K4" s="2090"/>
      <c r="L4" s="1099"/>
      <c r="M4" s="35"/>
      <c r="N4" s="921"/>
    </row>
    <row r="5" spans="1:14" ht="30" customHeight="1">
      <c r="A5" s="2396"/>
      <c r="B5" s="2454"/>
      <c r="C5" s="2455"/>
      <c r="D5" s="2456"/>
      <c r="E5" s="2008" t="s">
        <v>269</v>
      </c>
      <c r="F5" s="2008"/>
      <c r="G5" s="2089"/>
      <c r="H5" s="2090"/>
      <c r="I5" s="2090"/>
      <c r="J5" s="2090"/>
      <c r="K5" s="2090"/>
      <c r="L5" s="1100"/>
      <c r="M5" s="905"/>
      <c r="N5" s="922"/>
    </row>
    <row r="6" spans="1:14" ht="60" customHeight="1">
      <c r="A6" s="1107" t="s">
        <v>1227</v>
      </c>
      <c r="B6" s="1000" t="s">
        <v>6</v>
      </c>
      <c r="C6" s="1037" t="s">
        <v>1251</v>
      </c>
      <c r="D6" s="82" t="s">
        <v>64</v>
      </c>
      <c r="E6" s="2001" t="s">
        <v>1</v>
      </c>
      <c r="F6" s="2002"/>
      <c r="G6" s="2003"/>
      <c r="H6" s="1038" t="s">
        <v>66</v>
      </c>
      <c r="I6" s="1038" t="s">
        <v>1247</v>
      </c>
      <c r="J6" s="1039" t="s">
        <v>1248</v>
      </c>
      <c r="K6" s="1040" t="s">
        <v>2</v>
      </c>
      <c r="L6" s="999" t="s">
        <v>1256</v>
      </c>
      <c r="M6" s="999" t="s">
        <v>1257</v>
      </c>
      <c r="N6" s="1133" t="s">
        <v>183</v>
      </c>
    </row>
    <row r="7" spans="1:14" s="6" customFormat="1" ht="20.100000000000001" customHeight="1">
      <c r="A7" s="2138" t="s">
        <v>1281</v>
      </c>
      <c r="B7" s="2451" t="s">
        <v>736</v>
      </c>
      <c r="C7" s="506"/>
      <c r="D7" s="125" t="s">
        <v>737</v>
      </c>
      <c r="E7" s="518" t="s">
        <v>738</v>
      </c>
      <c r="F7" s="617"/>
      <c r="G7" s="522"/>
      <c r="H7" s="262"/>
      <c r="I7" s="1003"/>
      <c r="J7" s="262"/>
      <c r="K7" s="262"/>
      <c r="L7" s="507"/>
      <c r="M7" s="508"/>
      <c r="N7" s="257"/>
    </row>
    <row r="8" spans="1:14" s="6" customFormat="1" ht="20.100000000000001" customHeight="1">
      <c r="A8" s="2138"/>
      <c r="B8" s="2253"/>
      <c r="C8" s="509"/>
      <c r="D8" s="178" t="s">
        <v>739</v>
      </c>
      <c r="E8" s="519" t="s">
        <v>740</v>
      </c>
      <c r="F8" s="618"/>
      <c r="G8" s="523"/>
      <c r="H8" s="266"/>
      <c r="I8" s="1004"/>
      <c r="J8" s="266"/>
      <c r="K8" s="266"/>
      <c r="L8" s="510"/>
      <c r="M8" s="511"/>
      <c r="N8" s="255"/>
    </row>
    <row r="9" spans="1:14" s="6" customFormat="1" ht="20.100000000000001" customHeight="1">
      <c r="A9" s="2138"/>
      <c r="B9" s="2254"/>
      <c r="C9" s="512"/>
      <c r="D9" s="173" t="s">
        <v>741</v>
      </c>
      <c r="E9" s="520" t="s">
        <v>742</v>
      </c>
      <c r="F9" s="619"/>
      <c r="G9" s="524"/>
      <c r="H9" s="268"/>
      <c r="I9" s="1005"/>
      <c r="J9" s="268"/>
      <c r="K9" s="268"/>
      <c r="L9" s="513"/>
      <c r="M9" s="514"/>
      <c r="N9" s="256"/>
    </row>
    <row r="10" spans="1:14" s="6" customFormat="1" ht="20.100000000000001" customHeight="1">
      <c r="A10" s="2138" t="s">
        <v>1282</v>
      </c>
      <c r="B10" s="2451" t="s">
        <v>743</v>
      </c>
      <c r="C10" s="506"/>
      <c r="D10" s="2448" t="s">
        <v>132</v>
      </c>
      <c r="E10" s="526"/>
      <c r="F10" s="351"/>
      <c r="G10" s="527"/>
      <c r="H10" s="262"/>
      <c r="I10" s="1003"/>
      <c r="J10" s="262"/>
      <c r="K10" s="262"/>
      <c r="L10" s="507"/>
      <c r="M10" s="508"/>
      <c r="N10" s="257"/>
    </row>
    <row r="11" spans="1:14" s="6" customFormat="1" ht="20.100000000000001" customHeight="1">
      <c r="A11" s="2138"/>
      <c r="B11" s="2253"/>
      <c r="C11" s="509"/>
      <c r="D11" s="2449"/>
      <c r="E11" s="528"/>
      <c r="F11" s="354"/>
      <c r="G11" s="529"/>
      <c r="H11" s="266"/>
      <c r="I11" s="1004"/>
      <c r="J11" s="266"/>
      <c r="K11" s="266"/>
      <c r="L11" s="510"/>
      <c r="M11" s="511"/>
      <c r="N11" s="255"/>
    </row>
    <row r="12" spans="1:14" s="6" customFormat="1" ht="20.100000000000001" customHeight="1">
      <c r="A12" s="2138"/>
      <c r="B12" s="2253"/>
      <c r="C12" s="512"/>
      <c r="D12" s="2450"/>
      <c r="E12" s="530"/>
      <c r="F12" s="357"/>
      <c r="G12" s="531"/>
      <c r="H12" s="268"/>
      <c r="I12" s="1005"/>
      <c r="J12" s="268"/>
      <c r="K12" s="268"/>
      <c r="L12" s="513"/>
      <c r="M12" s="514"/>
      <c r="N12" s="256"/>
    </row>
    <row r="13" spans="1:14" s="6" customFormat="1" ht="20.100000000000001" customHeight="1">
      <c r="A13" s="1049" t="s">
        <v>1280</v>
      </c>
      <c r="B13" s="118" t="s">
        <v>744</v>
      </c>
      <c r="C13" s="516"/>
      <c r="D13" s="118" t="s">
        <v>745</v>
      </c>
      <c r="E13" s="521" t="s">
        <v>746</v>
      </c>
      <c r="F13" s="740"/>
      <c r="G13" s="525"/>
      <c r="H13" s="360"/>
      <c r="I13" s="1015"/>
      <c r="J13" s="360"/>
      <c r="K13" s="360"/>
      <c r="L13" s="517" t="s">
        <v>131</v>
      </c>
      <c r="M13" s="448"/>
      <c r="N13" s="532"/>
    </row>
    <row r="14" spans="1:14" s="6" customFormat="1" ht="20.100000000000001" customHeight="1">
      <c r="A14" s="2134">
        <v>1061</v>
      </c>
      <c r="B14" s="2252" t="s">
        <v>708</v>
      </c>
      <c r="C14" s="506"/>
      <c r="D14" s="125" t="s">
        <v>605</v>
      </c>
      <c r="E14" s="518" t="s">
        <v>747</v>
      </c>
      <c r="F14" s="617"/>
      <c r="G14" s="522"/>
      <c r="H14" s="262"/>
      <c r="I14" s="1003"/>
      <c r="J14" s="262"/>
      <c r="K14" s="262"/>
      <c r="L14" s="507"/>
      <c r="M14" s="508"/>
      <c r="N14" s="257"/>
    </row>
    <row r="15" spans="1:14" s="6" customFormat="1" ht="20.100000000000001" customHeight="1">
      <c r="A15" s="2134"/>
      <c r="B15" s="2253"/>
      <c r="C15" s="509"/>
      <c r="D15" s="178" t="s">
        <v>748</v>
      </c>
      <c r="E15" s="519" t="s">
        <v>749</v>
      </c>
      <c r="F15" s="618"/>
      <c r="G15" s="523"/>
      <c r="H15" s="266"/>
      <c r="I15" s="1004"/>
      <c r="J15" s="266"/>
      <c r="K15" s="266"/>
      <c r="L15" s="510"/>
      <c r="M15" s="511"/>
      <c r="N15" s="255"/>
    </row>
    <row r="16" spans="1:14" s="6" customFormat="1" ht="20.100000000000001" customHeight="1">
      <c r="A16" s="2134"/>
      <c r="B16" s="2254"/>
      <c r="C16" s="512"/>
      <c r="D16" s="173" t="s">
        <v>750</v>
      </c>
      <c r="E16" s="520" t="s">
        <v>751</v>
      </c>
      <c r="F16" s="619"/>
      <c r="G16" s="524"/>
      <c r="H16" s="268"/>
      <c r="I16" s="1005"/>
      <c r="J16" s="268"/>
      <c r="K16" s="268"/>
      <c r="L16" s="278" t="str">
        <f>"DD"&amp;F16</f>
        <v>DD</v>
      </c>
      <c r="M16" s="514"/>
      <c r="N16" s="256"/>
    </row>
    <row r="17" spans="1:14" s="6" customFormat="1" ht="20.100000000000001" customHeight="1">
      <c r="A17" s="2134">
        <v>1161</v>
      </c>
      <c r="B17" s="2252" t="s">
        <v>414</v>
      </c>
      <c r="C17" s="506"/>
      <c r="D17" s="125" t="s">
        <v>605</v>
      </c>
      <c r="E17" s="518" t="s">
        <v>752</v>
      </c>
      <c r="F17" s="617"/>
      <c r="G17" s="522"/>
      <c r="H17" s="262"/>
      <c r="I17" s="1003"/>
      <c r="J17" s="262"/>
      <c r="K17" s="262"/>
      <c r="L17" s="276" t="s">
        <v>131</v>
      </c>
      <c r="M17" s="508"/>
      <c r="N17" s="257"/>
    </row>
    <row r="18" spans="1:14" s="6" customFormat="1" ht="20.100000000000001" customHeight="1">
      <c r="A18" s="2134"/>
      <c r="B18" s="2254"/>
      <c r="C18" s="512"/>
      <c r="D18" s="173" t="s">
        <v>750</v>
      </c>
      <c r="E18" s="520" t="s">
        <v>751</v>
      </c>
      <c r="F18" s="619"/>
      <c r="G18" s="524"/>
      <c r="H18" s="268"/>
      <c r="I18" s="1005"/>
      <c r="J18" s="268"/>
      <c r="K18" s="268"/>
      <c r="L18" s="278" t="str">
        <f>"DD"&amp;F18</f>
        <v>DD</v>
      </c>
      <c r="M18" s="514"/>
      <c r="N18" s="256"/>
    </row>
  </sheetData>
  <mergeCells count="22">
    <mergeCell ref="A17:A18"/>
    <mergeCell ref="B2:D3"/>
    <mergeCell ref="B4:D5"/>
    <mergeCell ref="A7:A9"/>
    <mergeCell ref="A10:A12"/>
    <mergeCell ref="A14:A16"/>
    <mergeCell ref="B14:B16"/>
    <mergeCell ref="B17:B18"/>
    <mergeCell ref="A2:A3"/>
    <mergeCell ref="A4:A5"/>
    <mergeCell ref="E2:F2"/>
    <mergeCell ref="G2:K2"/>
    <mergeCell ref="E3:F3"/>
    <mergeCell ref="G3:K3"/>
    <mergeCell ref="E4:F4"/>
    <mergeCell ref="G4:K4"/>
    <mergeCell ref="E5:F5"/>
    <mergeCell ref="G5:K5"/>
    <mergeCell ref="E6:G6"/>
    <mergeCell ref="D10:D12"/>
    <mergeCell ref="B7:B9"/>
    <mergeCell ref="B10:B12"/>
  </mergeCells>
  <phoneticPr fontId="14"/>
  <hyperlinks>
    <hyperlink ref="A1:N1" location="TEMPLATE!A1" display="レシプロ－ボール"/>
  </hyperlinks>
  <pageMargins left="0.70866141732283472" right="0.70866141732283472" top="0.74803149606299213" bottom="0.74803149606299213" header="0.31496062992125984" footer="0.31496062992125984"/>
  <pageSetup paperSize="9" scale="77"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92D050"/>
    <pageSetUpPr fitToPage="1"/>
  </sheetPr>
  <dimension ref="A1:P52"/>
  <sheetViews>
    <sheetView showGridLines="0" view="pageBreakPreview" zoomScale="70" zoomScaleNormal="100" zoomScaleSheetLayoutView="70" workbookViewId="0"/>
  </sheetViews>
  <sheetFormatPr defaultColWidth="9" defaultRowHeight="13.2"/>
  <cols>
    <col min="1" max="1" width="14.5" style="1031" bestFit="1" customWidth="1"/>
    <col min="2" max="2" width="14.8984375" style="6" bestFit="1" customWidth="1"/>
    <col min="3" max="3" width="28.19921875" style="6" bestFit="1" customWidth="1"/>
    <col min="4" max="4" width="5.59765625" style="6" customWidth="1"/>
    <col min="5" max="5" width="24.59765625" style="6" bestFit="1" customWidth="1"/>
    <col min="6" max="6" width="14" style="6" customWidth="1"/>
    <col min="7" max="7" width="8.5" style="608" customWidth="1"/>
    <col min="8" max="8" width="5.59765625" style="552" customWidth="1"/>
    <col min="9" max="9" width="5.59765625" style="604" customWidth="1"/>
    <col min="10" max="12" width="5.59765625" style="6" customWidth="1"/>
    <col min="13" max="13" width="16.8984375" style="6" customWidth="1"/>
    <col min="14" max="14" width="52.09765625" style="608" customWidth="1"/>
    <col min="15" max="15" width="9.5" style="6" customWidth="1"/>
    <col min="16" max="16" width="41" style="260" bestFit="1" customWidth="1"/>
    <col min="17" max="16384" width="9" style="6"/>
  </cols>
  <sheetData>
    <row r="1" spans="1:16">
      <c r="A1" s="1139" t="s">
        <v>1067</v>
      </c>
      <c r="B1" s="100"/>
      <c r="C1" s="100"/>
      <c r="D1" s="100"/>
      <c r="E1" s="100"/>
      <c r="F1" s="100"/>
      <c r="G1" s="100"/>
      <c r="H1" s="100"/>
      <c r="I1" s="100"/>
      <c r="J1" s="100"/>
      <c r="K1" s="100"/>
      <c r="L1" s="100"/>
      <c r="M1" s="100"/>
      <c r="N1" s="1375"/>
      <c r="O1" s="100"/>
      <c r="P1" s="100"/>
    </row>
    <row r="2" spans="1:16" ht="30" customHeight="1">
      <c r="A2" s="2013" t="s">
        <v>5</v>
      </c>
      <c r="B2" s="1993"/>
      <c r="C2" s="1993"/>
      <c r="D2" s="1993"/>
      <c r="E2" s="1993"/>
      <c r="F2" s="2006" t="s">
        <v>1391</v>
      </c>
      <c r="G2" s="2006"/>
      <c r="H2" s="2009"/>
      <c r="I2" s="2009"/>
      <c r="J2" s="2009"/>
      <c r="K2" s="2009"/>
      <c r="L2" s="2009"/>
      <c r="M2" s="904" t="s">
        <v>1187</v>
      </c>
      <c r="N2" s="1568" t="s">
        <v>1393</v>
      </c>
      <c r="O2" s="1405"/>
      <c r="P2" s="1001"/>
    </row>
    <row r="3" spans="1:16" ht="30" customHeight="1">
      <c r="A3" s="2014"/>
      <c r="B3" s="1993"/>
      <c r="C3" s="1993"/>
      <c r="D3" s="1993"/>
      <c r="E3" s="1993"/>
      <c r="F3" s="2006" t="s">
        <v>1371</v>
      </c>
      <c r="G3" s="2006"/>
      <c r="H3" s="2009"/>
      <c r="I3" s="2009"/>
      <c r="J3" s="2009"/>
      <c r="K3" s="2009"/>
      <c r="L3" s="2009"/>
      <c r="M3" s="35"/>
      <c r="N3" s="1186"/>
      <c r="O3" s="839"/>
      <c r="P3" s="1001"/>
    </row>
    <row r="4" spans="1:16" ht="30" customHeight="1">
      <c r="A4" s="2013" t="s">
        <v>38</v>
      </c>
      <c r="B4" s="1993"/>
      <c r="C4" s="1993"/>
      <c r="D4" s="1993"/>
      <c r="E4" s="1993"/>
      <c r="F4" s="2007" t="s">
        <v>1392</v>
      </c>
      <c r="G4" s="2007"/>
      <c r="H4" s="2009"/>
      <c r="I4" s="2009"/>
      <c r="J4" s="2009"/>
      <c r="K4" s="2009"/>
      <c r="L4" s="2009"/>
      <c r="M4" s="35"/>
      <c r="N4" s="1186"/>
      <c r="O4" s="839"/>
      <c r="P4" s="1001"/>
    </row>
    <row r="5" spans="1:16" ht="30" customHeight="1">
      <c r="A5" s="2014"/>
      <c r="B5" s="1993"/>
      <c r="C5" s="1993"/>
      <c r="D5" s="1993"/>
      <c r="E5" s="1993"/>
      <c r="F5" s="2008" t="s">
        <v>1372</v>
      </c>
      <c r="G5" s="2008"/>
      <c r="H5" s="2009"/>
      <c r="I5" s="2009"/>
      <c r="J5" s="2009"/>
      <c r="K5" s="2009"/>
      <c r="L5" s="2009"/>
      <c r="M5" s="35"/>
      <c r="N5" s="1186"/>
      <c r="O5" s="839"/>
      <c r="P5" s="1001"/>
    </row>
    <row r="6" spans="1:16" ht="60" customHeight="1">
      <c r="A6" s="908" t="s">
        <v>1227</v>
      </c>
      <c r="B6" s="2004" t="s">
        <v>6</v>
      </c>
      <c r="C6" s="2005"/>
      <c r="D6" s="1323" t="s">
        <v>1407</v>
      </c>
      <c r="E6" s="82" t="s">
        <v>64</v>
      </c>
      <c r="F6" s="2001" t="s">
        <v>1</v>
      </c>
      <c r="G6" s="2002"/>
      <c r="H6" s="2003"/>
      <c r="I6" s="1038" t="s">
        <v>66</v>
      </c>
      <c r="J6" s="1038" t="s">
        <v>1376</v>
      </c>
      <c r="K6" s="1372" t="s">
        <v>1377</v>
      </c>
      <c r="L6" s="1372" t="s">
        <v>1375</v>
      </c>
      <c r="M6" s="1069" t="s">
        <v>1378</v>
      </c>
      <c r="N6" s="1069" t="s">
        <v>1387</v>
      </c>
      <c r="O6" s="1322" t="s">
        <v>1379</v>
      </c>
      <c r="P6" s="1001"/>
    </row>
    <row r="7" spans="1:16" s="5" customFormat="1" ht="23.4" customHeight="1">
      <c r="A7" s="1418">
        <v>2511</v>
      </c>
      <c r="B7" s="2515" t="s">
        <v>97</v>
      </c>
      <c r="C7" s="2516"/>
      <c r="D7" s="1418"/>
      <c r="E7" s="1418" t="s">
        <v>755</v>
      </c>
      <c r="F7" s="605" t="s">
        <v>92</v>
      </c>
      <c r="G7" s="553"/>
      <c r="H7" s="586"/>
      <c r="I7" s="1418"/>
      <c r="J7" s="1418"/>
      <c r="K7" s="1418"/>
      <c r="L7" s="533"/>
      <c r="M7" s="1418"/>
      <c r="N7" s="1593" t="s">
        <v>1444</v>
      </c>
      <c r="O7" s="1614"/>
    </row>
    <row r="8" spans="1:16" s="5" customFormat="1" ht="23.4" customHeight="1">
      <c r="A8" s="1418">
        <v>2561</v>
      </c>
      <c r="B8" s="2515" t="s">
        <v>695</v>
      </c>
      <c r="C8" s="2516"/>
      <c r="D8" s="1380"/>
      <c r="E8" s="1380" t="s">
        <v>605</v>
      </c>
      <c r="F8" s="606" t="s">
        <v>756</v>
      </c>
      <c r="G8" s="554"/>
      <c r="H8" s="587"/>
      <c r="I8" s="1380"/>
      <c r="J8" s="1380"/>
      <c r="K8" s="1380"/>
      <c r="L8" s="1418"/>
      <c r="M8" s="1380"/>
      <c r="N8" s="1600"/>
      <c r="O8" s="92" t="str">
        <f>HYPERLINK(VLOOKUP(F8,LINK,2,FALSE),VLOOKUP(F8,LINK,3,FALSE))</f>
        <v>EXCEL</v>
      </c>
    </row>
    <row r="9" spans="1:16" ht="23.4" customHeight="1">
      <c r="A9" s="2521" t="s">
        <v>1095</v>
      </c>
      <c r="B9" s="2492" t="s">
        <v>39</v>
      </c>
      <c r="C9" s="2493"/>
      <c r="D9" s="534"/>
      <c r="E9" s="535" t="s">
        <v>40</v>
      </c>
      <c r="F9" s="555" t="s">
        <v>107</v>
      </c>
      <c r="G9" s="556"/>
      <c r="H9" s="588"/>
      <c r="I9" s="536"/>
      <c r="J9" s="536"/>
      <c r="K9" s="536"/>
      <c r="L9" s="537"/>
      <c r="M9" s="1601" t="str">
        <f>"SD"&amp;G9</f>
        <v>SD</v>
      </c>
      <c r="N9" s="2480" t="s">
        <v>1426</v>
      </c>
      <c r="O9" s="2478"/>
      <c r="P9" s="6"/>
    </row>
    <row r="10" spans="1:16" ht="23.4" customHeight="1">
      <c r="A10" s="2522"/>
      <c r="B10" s="2494"/>
      <c r="C10" s="2495"/>
      <c r="D10" s="538"/>
      <c r="E10" s="539" t="s">
        <v>41</v>
      </c>
      <c r="F10" s="557" t="s">
        <v>108</v>
      </c>
      <c r="G10" s="558"/>
      <c r="H10" s="589"/>
      <c r="I10" s="540"/>
      <c r="J10" s="540"/>
      <c r="K10" s="540"/>
      <c r="L10" s="541"/>
      <c r="M10" s="1602" t="str">
        <f>"DP"&amp;G10</f>
        <v>DP</v>
      </c>
      <c r="N10" s="2481"/>
      <c r="O10" s="2479"/>
      <c r="P10" s="6"/>
    </row>
    <row r="11" spans="1:16" ht="23.4" customHeight="1">
      <c r="A11" s="2522"/>
      <c r="B11" s="2496"/>
      <c r="C11" s="2497"/>
      <c r="D11" s="542"/>
      <c r="E11" s="543" t="s">
        <v>42</v>
      </c>
      <c r="F11" s="559" t="s">
        <v>63</v>
      </c>
      <c r="G11" s="560"/>
      <c r="H11" s="590"/>
      <c r="I11" s="544"/>
      <c r="J11" s="544"/>
      <c r="K11" s="544"/>
      <c r="L11" s="545"/>
      <c r="M11" s="1603" t="str">
        <f>"GP"&amp;G11</f>
        <v>GP</v>
      </c>
      <c r="N11" s="2482"/>
      <c r="O11" s="2479"/>
      <c r="P11" s="6"/>
    </row>
    <row r="12" spans="1:16" ht="36.9" customHeight="1">
      <c r="A12" s="2364">
        <v>2071</v>
      </c>
      <c r="B12" s="2531" t="s">
        <v>1641</v>
      </c>
      <c r="C12" s="2534" t="s">
        <v>110</v>
      </c>
      <c r="D12" s="546"/>
      <c r="E12" s="609" t="s">
        <v>818</v>
      </c>
      <c r="F12" s="607" t="s">
        <v>109</v>
      </c>
      <c r="G12" s="561"/>
      <c r="H12" s="591"/>
      <c r="I12" s="547"/>
      <c r="J12" s="547"/>
      <c r="K12" s="547"/>
      <c r="L12" s="547"/>
      <c r="M12" s="1604"/>
      <c r="N12" s="1605"/>
      <c r="O12" s="998" t="str">
        <f>HYPERLINK(VLOOKUP(F12,LINK,2,FALSE),VLOOKUP(F12,LINK,3,FALSE))</f>
        <v>EXCEL</v>
      </c>
      <c r="P12" s="6"/>
    </row>
    <row r="13" spans="1:16" ht="23.4" customHeight="1">
      <c r="A13" s="2365"/>
      <c r="B13" s="2532"/>
      <c r="C13" s="2535"/>
      <c r="D13" s="534"/>
      <c r="E13" s="535" t="s">
        <v>43</v>
      </c>
      <c r="F13" s="555" t="s">
        <v>111</v>
      </c>
      <c r="G13" s="556"/>
      <c r="H13" s="588"/>
      <c r="I13" s="536"/>
      <c r="J13" s="536"/>
      <c r="K13" s="536"/>
      <c r="L13" s="536"/>
      <c r="M13" s="2498" t="s">
        <v>1468</v>
      </c>
      <c r="N13" s="1606"/>
      <c r="O13" s="2018" t="str">
        <f>HYPERLINK(VLOOKUP(F13,LINK,2,FALSE),VLOOKUP(F13,LINK,3,FALSE))</f>
        <v>EXCEL</v>
      </c>
      <c r="P13" s="37" t="s">
        <v>150</v>
      </c>
    </row>
    <row r="14" spans="1:16" ht="23.4" customHeight="1">
      <c r="A14" s="2365"/>
      <c r="B14" s="2532"/>
      <c r="C14" s="2535"/>
      <c r="D14" s="538"/>
      <c r="E14" s="539" t="s">
        <v>44</v>
      </c>
      <c r="F14" s="557" t="s">
        <v>112</v>
      </c>
      <c r="G14" s="558"/>
      <c r="H14" s="589"/>
      <c r="I14" s="540"/>
      <c r="J14" s="540"/>
      <c r="K14" s="540"/>
      <c r="L14" s="540"/>
      <c r="M14" s="2499"/>
      <c r="N14" s="1607"/>
      <c r="O14" s="2019"/>
      <c r="P14" s="37" t="s">
        <v>150</v>
      </c>
    </row>
    <row r="15" spans="1:16" ht="23.4" customHeight="1">
      <c r="A15" s="2365"/>
      <c r="B15" s="2532"/>
      <c r="C15" s="2535"/>
      <c r="D15" s="538"/>
      <c r="E15" s="539" t="s">
        <v>45</v>
      </c>
      <c r="F15" s="557" t="s">
        <v>113</v>
      </c>
      <c r="G15" s="558"/>
      <c r="H15" s="589"/>
      <c r="I15" s="540"/>
      <c r="J15" s="540"/>
      <c r="K15" s="540"/>
      <c r="L15" s="540"/>
      <c r="M15" s="2500"/>
      <c r="N15" s="1607"/>
      <c r="O15" s="2019"/>
      <c r="P15" s="37" t="s">
        <v>150</v>
      </c>
    </row>
    <row r="16" spans="1:16" ht="23.4" customHeight="1">
      <c r="A16" s="2365"/>
      <c r="B16" s="2532"/>
      <c r="C16" s="2535"/>
      <c r="D16" s="538"/>
      <c r="E16" s="539" t="s">
        <v>46</v>
      </c>
      <c r="F16" s="557" t="s">
        <v>114</v>
      </c>
      <c r="G16" s="558"/>
      <c r="H16" s="589"/>
      <c r="I16" s="540"/>
      <c r="J16" s="540"/>
      <c r="K16" s="540"/>
      <c r="L16" s="540"/>
      <c r="M16" s="1602"/>
      <c r="N16" s="1607"/>
      <c r="O16" s="2019"/>
      <c r="P16" s="37" t="s">
        <v>150</v>
      </c>
    </row>
    <row r="17" spans="1:16" ht="23.4" hidden="1" customHeight="1">
      <c r="A17" s="2365"/>
      <c r="B17" s="2532"/>
      <c r="C17" s="2535"/>
      <c r="D17" s="550"/>
      <c r="E17" s="2508" t="s">
        <v>47</v>
      </c>
      <c r="F17" s="1410"/>
      <c r="G17" s="574" t="s">
        <v>799</v>
      </c>
      <c r="H17" s="592"/>
      <c r="I17" s="2504"/>
      <c r="J17" s="2518"/>
      <c r="K17" s="2518"/>
      <c r="L17" s="2504"/>
      <c r="M17" s="2506"/>
      <c r="N17" s="2468" t="s">
        <v>1469</v>
      </c>
      <c r="O17" s="2019"/>
      <c r="P17" s="6"/>
    </row>
    <row r="18" spans="1:16" ht="23.4" hidden="1" customHeight="1">
      <c r="A18" s="2365"/>
      <c r="B18" s="2532"/>
      <c r="C18" s="2535"/>
      <c r="D18" s="575"/>
      <c r="E18" s="2509"/>
      <c r="F18" s="1411" t="s">
        <v>803</v>
      </c>
      <c r="G18" s="576" t="s">
        <v>800</v>
      </c>
      <c r="H18" s="593"/>
      <c r="I18" s="2439"/>
      <c r="J18" s="2519"/>
      <c r="K18" s="2519"/>
      <c r="L18" s="2439"/>
      <c r="M18" s="2359"/>
      <c r="N18" s="2469"/>
      <c r="O18" s="2019"/>
      <c r="P18" s="6"/>
    </row>
    <row r="19" spans="1:16" ht="23.4" hidden="1" customHeight="1">
      <c r="A19" s="2365"/>
      <c r="B19" s="2532"/>
      <c r="C19" s="2535"/>
      <c r="D19" s="579"/>
      <c r="E19" s="2510"/>
      <c r="F19" s="1413"/>
      <c r="G19" s="580" t="s">
        <v>801</v>
      </c>
      <c r="H19" s="594"/>
      <c r="I19" s="2505"/>
      <c r="J19" s="2520"/>
      <c r="K19" s="2520"/>
      <c r="L19" s="2505"/>
      <c r="M19" s="2507"/>
      <c r="N19" s="2517"/>
      <c r="O19" s="2019"/>
      <c r="P19" s="6"/>
    </row>
    <row r="20" spans="1:16" ht="23.4" hidden="1" customHeight="1">
      <c r="A20" s="2365"/>
      <c r="B20" s="2532"/>
      <c r="C20" s="2535"/>
      <c r="D20" s="550"/>
      <c r="E20" s="2508" t="s">
        <v>48</v>
      </c>
      <c r="F20" s="2511" t="s">
        <v>808</v>
      </c>
      <c r="G20" s="574" t="s">
        <v>804</v>
      </c>
      <c r="H20" s="592"/>
      <c r="I20" s="2504"/>
      <c r="J20" s="2518"/>
      <c r="K20" s="2518"/>
      <c r="L20" s="2504"/>
      <c r="M20" s="2506"/>
      <c r="N20" s="2468" t="s">
        <v>1470</v>
      </c>
      <c r="O20" s="2019"/>
      <c r="P20" s="6"/>
    </row>
    <row r="21" spans="1:16" ht="23.4" hidden="1" customHeight="1">
      <c r="A21" s="2365"/>
      <c r="B21" s="2532"/>
      <c r="C21" s="2535"/>
      <c r="D21" s="575"/>
      <c r="E21" s="2509"/>
      <c r="F21" s="2512"/>
      <c r="G21" s="576" t="s">
        <v>805</v>
      </c>
      <c r="H21" s="593"/>
      <c r="I21" s="2439"/>
      <c r="J21" s="2519"/>
      <c r="K21" s="2519"/>
      <c r="L21" s="2439"/>
      <c r="M21" s="2359"/>
      <c r="N21" s="2469"/>
      <c r="O21" s="2019"/>
      <c r="P21" s="6"/>
    </row>
    <row r="22" spans="1:16" ht="23.4" hidden="1" customHeight="1">
      <c r="A22" s="2365"/>
      <c r="B22" s="2532"/>
      <c r="C22" s="2535"/>
      <c r="D22" s="575"/>
      <c r="E22" s="2509"/>
      <c r="F22" s="2512"/>
      <c r="G22" s="576" t="s">
        <v>806</v>
      </c>
      <c r="H22" s="593"/>
      <c r="I22" s="2439"/>
      <c r="J22" s="2519"/>
      <c r="K22" s="2519"/>
      <c r="L22" s="2439"/>
      <c r="M22" s="2359"/>
      <c r="N22" s="2469"/>
      <c r="O22" s="2019"/>
      <c r="P22" s="6"/>
    </row>
    <row r="23" spans="1:16" ht="23.4" hidden="1" customHeight="1">
      <c r="A23" s="2365"/>
      <c r="B23" s="2532"/>
      <c r="C23" s="2536"/>
      <c r="D23" s="577"/>
      <c r="E23" s="2514"/>
      <c r="F23" s="2513"/>
      <c r="G23" s="578" t="s">
        <v>807</v>
      </c>
      <c r="H23" s="595"/>
      <c r="I23" s="2163"/>
      <c r="J23" s="2528"/>
      <c r="K23" s="2528"/>
      <c r="L23" s="2163"/>
      <c r="M23" s="2360"/>
      <c r="N23" s="2470"/>
      <c r="O23" s="2020"/>
      <c r="P23" s="6"/>
    </row>
    <row r="24" spans="1:16" ht="23.4" customHeight="1">
      <c r="A24" s="2365"/>
      <c r="B24" s="2532"/>
      <c r="C24" s="2483" t="s">
        <v>1472</v>
      </c>
      <c r="D24" s="534"/>
      <c r="E24" s="535" t="s">
        <v>757</v>
      </c>
      <c r="F24" s="555" t="s">
        <v>758</v>
      </c>
      <c r="G24" s="556"/>
      <c r="H24" s="588"/>
      <c r="I24" s="536"/>
      <c r="J24" s="536"/>
      <c r="K24" s="536"/>
      <c r="L24" s="536"/>
      <c r="M24" s="534"/>
      <c r="N24" s="1608"/>
      <c r="O24" s="2489" t="str">
        <f>HYPERLINK(VLOOKUP(F24,LINK,2,FALSE),VLOOKUP(F24,LINK,3,FALSE))</f>
        <v>EXCEL</v>
      </c>
      <c r="P24" s="37" t="s">
        <v>150</v>
      </c>
    </row>
    <row r="25" spans="1:16" ht="23.4" customHeight="1">
      <c r="A25" s="2365"/>
      <c r="B25" s="2532"/>
      <c r="C25" s="2484"/>
      <c r="D25" s="538"/>
      <c r="E25" s="539" t="s">
        <v>759</v>
      </c>
      <c r="F25" s="557" t="s">
        <v>760</v>
      </c>
      <c r="G25" s="558"/>
      <c r="H25" s="589"/>
      <c r="I25" s="540"/>
      <c r="J25" s="540"/>
      <c r="K25" s="540"/>
      <c r="L25" s="540"/>
      <c r="M25" s="538"/>
      <c r="N25" s="1609"/>
      <c r="O25" s="2490"/>
      <c r="P25" s="37" t="s">
        <v>150</v>
      </c>
    </row>
    <row r="26" spans="1:16" ht="23.4" customHeight="1">
      <c r="A26" s="2365"/>
      <c r="B26" s="2532"/>
      <c r="C26" s="2484"/>
      <c r="D26" s="538"/>
      <c r="E26" s="539" t="s">
        <v>761</v>
      </c>
      <c r="F26" s="562" t="s">
        <v>814</v>
      </c>
      <c r="G26" s="563"/>
      <c r="H26" s="596" t="s">
        <v>812</v>
      </c>
      <c r="I26" s="540"/>
      <c r="J26" s="540"/>
      <c r="K26" s="540"/>
      <c r="L26" s="540"/>
      <c r="M26" s="538"/>
      <c r="N26" s="1599"/>
      <c r="O26" s="2490"/>
      <c r="P26" s="37" t="s">
        <v>150</v>
      </c>
    </row>
    <row r="27" spans="1:16" ht="23.4" customHeight="1">
      <c r="A27" s="2365"/>
      <c r="B27" s="2532"/>
      <c r="C27" s="2484"/>
      <c r="D27" s="538"/>
      <c r="E27" s="539" t="s">
        <v>762</v>
      </c>
      <c r="F27" s="562" t="s">
        <v>814</v>
      </c>
      <c r="G27" s="563"/>
      <c r="H27" s="596" t="s">
        <v>813</v>
      </c>
      <c r="I27" s="540"/>
      <c r="J27" s="540"/>
      <c r="K27" s="540"/>
      <c r="L27" s="540"/>
      <c r="M27" s="538"/>
      <c r="N27" s="1599"/>
      <c r="O27" s="2490"/>
      <c r="P27" s="37" t="s">
        <v>150</v>
      </c>
    </row>
    <row r="28" spans="1:16" ht="23.4" customHeight="1">
      <c r="A28" s="2365"/>
      <c r="B28" s="2532"/>
      <c r="C28" s="2484"/>
      <c r="D28" s="538"/>
      <c r="E28" s="539" t="s">
        <v>93</v>
      </c>
      <c r="F28" s="557" t="s">
        <v>815</v>
      </c>
      <c r="G28" s="558"/>
      <c r="H28" s="589" t="s">
        <v>810</v>
      </c>
      <c r="I28" s="540"/>
      <c r="J28" s="540"/>
      <c r="K28" s="540"/>
      <c r="L28" s="540"/>
      <c r="M28" s="538"/>
      <c r="N28" s="1599"/>
      <c r="O28" s="2490"/>
      <c r="P28" s="37" t="s">
        <v>120</v>
      </c>
    </row>
    <row r="29" spans="1:16" ht="23.4" hidden="1" customHeight="1">
      <c r="A29" s="2365"/>
      <c r="B29" s="2532"/>
      <c r="C29" s="2484"/>
      <c r="D29" s="538"/>
      <c r="E29" s="539" t="s">
        <v>91</v>
      </c>
      <c r="F29" s="557" t="s">
        <v>815</v>
      </c>
      <c r="G29" s="558"/>
      <c r="H29" s="589" t="s">
        <v>812</v>
      </c>
      <c r="I29" s="540"/>
      <c r="J29" s="541"/>
      <c r="K29" s="541"/>
      <c r="L29" s="541"/>
      <c r="M29" s="538"/>
      <c r="N29" s="1599"/>
      <c r="O29" s="2490"/>
      <c r="P29" s="6"/>
    </row>
    <row r="30" spans="1:16" ht="23.4" hidden="1" customHeight="1">
      <c r="A30" s="2365"/>
      <c r="B30" s="2532"/>
      <c r="C30" s="2484"/>
      <c r="D30" s="538"/>
      <c r="E30" s="539" t="s">
        <v>504</v>
      </c>
      <c r="F30" s="557" t="s">
        <v>815</v>
      </c>
      <c r="G30" s="558"/>
      <c r="H30" s="589" t="s">
        <v>813</v>
      </c>
      <c r="I30" s="540"/>
      <c r="J30" s="541"/>
      <c r="K30" s="541"/>
      <c r="L30" s="541"/>
      <c r="M30" s="538"/>
      <c r="N30" s="1599"/>
      <c r="O30" s="2490"/>
      <c r="P30" s="6"/>
    </row>
    <row r="31" spans="1:16" ht="23.4" hidden="1" customHeight="1">
      <c r="A31" s="2365"/>
      <c r="B31" s="2532"/>
      <c r="C31" s="2484"/>
      <c r="D31" s="548"/>
      <c r="E31" s="539" t="s">
        <v>763</v>
      </c>
      <c r="F31" s="557" t="s">
        <v>816</v>
      </c>
      <c r="G31" s="558"/>
      <c r="H31" s="589" t="s">
        <v>817</v>
      </c>
      <c r="I31" s="541"/>
      <c r="J31" s="541"/>
      <c r="K31" s="541"/>
      <c r="L31" s="541"/>
      <c r="M31" s="538"/>
      <c r="N31" s="1599" t="s">
        <v>1477</v>
      </c>
      <c r="O31" s="2490"/>
      <c r="P31" s="6"/>
    </row>
    <row r="32" spans="1:16" ht="23.4" hidden="1" customHeight="1">
      <c r="A32" s="2365"/>
      <c r="B32" s="2532"/>
      <c r="C32" s="2484"/>
      <c r="D32" s="548"/>
      <c r="E32" s="539" t="s">
        <v>764</v>
      </c>
      <c r="F32" s="557" t="s">
        <v>816</v>
      </c>
      <c r="G32" s="558"/>
      <c r="H32" s="589" t="s">
        <v>817</v>
      </c>
      <c r="I32" s="541"/>
      <c r="J32" s="541"/>
      <c r="K32" s="541"/>
      <c r="L32" s="541"/>
      <c r="M32" s="538"/>
      <c r="N32" s="1599" t="s">
        <v>1477</v>
      </c>
      <c r="O32" s="2490"/>
      <c r="P32" s="6"/>
    </row>
    <row r="33" spans="1:16" ht="23.4" customHeight="1">
      <c r="A33" s="2365"/>
      <c r="B33" s="2532"/>
      <c r="C33" s="2485"/>
      <c r="D33" s="542"/>
      <c r="E33" s="543" t="s">
        <v>765</v>
      </c>
      <c r="F33" s="559" t="s">
        <v>766</v>
      </c>
      <c r="G33" s="560"/>
      <c r="H33" s="590"/>
      <c r="I33" s="549"/>
      <c r="J33" s="544"/>
      <c r="K33" s="549"/>
      <c r="L33" s="549"/>
      <c r="M33" s="1603"/>
      <c r="N33" s="1610"/>
      <c r="O33" s="2490"/>
      <c r="P33" s="37" t="s">
        <v>120</v>
      </c>
    </row>
    <row r="34" spans="1:16" ht="23.4" customHeight="1">
      <c r="A34" s="2365"/>
      <c r="B34" s="2532"/>
      <c r="C34" s="2486" t="s">
        <v>1493</v>
      </c>
      <c r="D34" s="1569"/>
      <c r="E34" s="1570" t="s">
        <v>767</v>
      </c>
      <c r="F34" s="1571" t="s">
        <v>768</v>
      </c>
      <c r="G34" s="1572"/>
      <c r="H34" s="1573"/>
      <c r="I34" s="1574"/>
      <c r="J34" s="1575"/>
      <c r="K34" s="1574"/>
      <c r="L34" s="1574"/>
      <c r="M34" s="2501" t="s">
        <v>1471</v>
      </c>
      <c r="N34" s="2465" t="s">
        <v>1473</v>
      </c>
      <c r="O34" s="2491" t="str">
        <f>HYPERLINK(VLOOKUP(F34,LINK,2,FALSE),VLOOKUP(F34,LINK,3,FALSE))</f>
        <v>EXCEL</v>
      </c>
      <c r="P34" s="37"/>
    </row>
    <row r="35" spans="1:16" ht="23.4" customHeight="1">
      <c r="A35" s="2365"/>
      <c r="B35" s="2532"/>
      <c r="C35" s="2487"/>
      <c r="D35" s="1576"/>
      <c r="E35" s="1577" t="s">
        <v>769</v>
      </c>
      <c r="F35" s="1578" t="s">
        <v>770</v>
      </c>
      <c r="G35" s="1579"/>
      <c r="H35" s="1580"/>
      <c r="I35" s="1581"/>
      <c r="J35" s="1582"/>
      <c r="K35" s="1581"/>
      <c r="L35" s="1581"/>
      <c r="M35" s="2502"/>
      <c r="N35" s="2466"/>
      <c r="O35" s="2491"/>
      <c r="P35" s="37"/>
    </row>
    <row r="36" spans="1:16" ht="23.4" customHeight="1">
      <c r="A36" s="2365"/>
      <c r="B36" s="2532"/>
      <c r="C36" s="2487"/>
      <c r="D36" s="1576"/>
      <c r="E36" s="1577" t="s">
        <v>771</v>
      </c>
      <c r="F36" s="1583" t="s">
        <v>768</v>
      </c>
      <c r="G36" s="1579"/>
      <c r="H36" s="1580"/>
      <c r="I36" s="1581"/>
      <c r="J36" s="1582"/>
      <c r="K36" s="1581"/>
      <c r="L36" s="1581"/>
      <c r="M36" s="2502"/>
      <c r="N36" s="2466"/>
      <c r="O36" s="2491"/>
      <c r="P36" s="37"/>
    </row>
    <row r="37" spans="1:16" ht="23.4" customHeight="1">
      <c r="A37" s="2365"/>
      <c r="B37" s="2532"/>
      <c r="C37" s="2488"/>
      <c r="D37" s="1584"/>
      <c r="E37" s="1585" t="s">
        <v>772</v>
      </c>
      <c r="F37" s="1586" t="s">
        <v>770</v>
      </c>
      <c r="G37" s="1587"/>
      <c r="H37" s="1588"/>
      <c r="I37" s="1589"/>
      <c r="J37" s="1590"/>
      <c r="K37" s="1589"/>
      <c r="L37" s="1589"/>
      <c r="M37" s="2503"/>
      <c r="N37" s="2467"/>
      <c r="O37" s="2491"/>
      <c r="P37" s="37"/>
    </row>
    <row r="38" spans="1:16" ht="34.5" customHeight="1">
      <c r="A38" s="2366"/>
      <c r="B38" s="2533"/>
      <c r="C38" s="1877" t="s">
        <v>1636</v>
      </c>
      <c r="D38" s="1881"/>
      <c r="E38" s="1885" t="s">
        <v>1637</v>
      </c>
      <c r="F38" s="1884" t="s">
        <v>1638</v>
      </c>
      <c r="G38" s="2529" t="s">
        <v>1640</v>
      </c>
      <c r="H38" s="2530"/>
      <c r="I38" s="1882"/>
      <c r="J38" s="1883"/>
      <c r="K38" s="1883"/>
      <c r="L38" s="1882"/>
      <c r="M38" s="1878"/>
      <c r="N38" s="1887" t="s">
        <v>1647</v>
      </c>
      <c r="O38" s="1642"/>
      <c r="P38" s="6"/>
    </row>
    <row r="39" spans="1:16" ht="23.4" customHeight="1">
      <c r="A39" s="2364">
        <v>2411</v>
      </c>
      <c r="B39" s="2492" t="s">
        <v>53</v>
      </c>
      <c r="C39" s="2493"/>
      <c r="D39" s="581"/>
      <c r="E39" s="2525" t="s">
        <v>54</v>
      </c>
      <c r="F39" s="2523" t="s">
        <v>811</v>
      </c>
      <c r="G39" s="582" t="s">
        <v>809</v>
      </c>
      <c r="H39" s="597" t="s">
        <v>810</v>
      </c>
      <c r="I39" s="583"/>
      <c r="J39" s="583"/>
      <c r="K39" s="583"/>
      <c r="L39" s="583"/>
      <c r="M39" s="2463"/>
      <c r="N39" s="2526" t="s">
        <v>1479</v>
      </c>
      <c r="O39" s="2095" t="s">
        <v>1240</v>
      </c>
      <c r="P39" s="6"/>
    </row>
    <row r="40" spans="1:16" ht="23.4" customHeight="1">
      <c r="A40" s="2365"/>
      <c r="B40" s="2494"/>
      <c r="C40" s="2495"/>
      <c r="D40" s="579"/>
      <c r="E40" s="2510"/>
      <c r="F40" s="2524"/>
      <c r="G40" s="584" t="s">
        <v>806</v>
      </c>
      <c r="H40" s="598" t="s">
        <v>810</v>
      </c>
      <c r="I40" s="585"/>
      <c r="J40" s="585"/>
      <c r="K40" s="585"/>
      <c r="L40" s="585"/>
      <c r="M40" s="2464"/>
      <c r="N40" s="2527"/>
      <c r="O40" s="2461"/>
      <c r="P40" s="6"/>
    </row>
    <row r="41" spans="1:16" ht="23.4" customHeight="1">
      <c r="A41" s="2365"/>
      <c r="B41" s="2494"/>
      <c r="C41" s="2495"/>
      <c r="D41" s="550"/>
      <c r="E41" s="1409" t="s">
        <v>55</v>
      </c>
      <c r="F41" s="564" t="s">
        <v>773</v>
      </c>
      <c r="G41" s="565"/>
      <c r="H41" s="599"/>
      <c r="I41" s="551"/>
      <c r="J41" s="551"/>
      <c r="K41" s="551"/>
      <c r="L41" s="551"/>
      <c r="M41" s="1611"/>
      <c r="N41" s="1594" t="s">
        <v>1476</v>
      </c>
      <c r="O41" s="2462"/>
      <c r="P41" s="6"/>
    </row>
    <row r="42" spans="1:16" ht="23.4" customHeight="1">
      <c r="A42" s="2365"/>
      <c r="B42" s="2494"/>
      <c r="C42" s="2495"/>
      <c r="D42" s="286"/>
      <c r="E42" s="1412" t="s">
        <v>101</v>
      </c>
      <c r="F42" s="566" t="s">
        <v>774</v>
      </c>
      <c r="G42" s="567"/>
      <c r="H42" s="600"/>
      <c r="I42" s="1415"/>
      <c r="J42" s="1415"/>
      <c r="K42" s="1415"/>
      <c r="L42" s="1415"/>
      <c r="M42" s="1597"/>
      <c r="N42" s="1613" t="s">
        <v>1480</v>
      </c>
      <c r="O42" s="2461"/>
      <c r="P42" s="6"/>
    </row>
    <row r="43" spans="1:16" ht="23.4" customHeight="1">
      <c r="A43" s="2366"/>
      <c r="B43" s="2496"/>
      <c r="C43" s="2497"/>
      <c r="D43" s="542"/>
      <c r="E43" s="543" t="s">
        <v>775</v>
      </c>
      <c r="F43" s="559" t="s">
        <v>776</v>
      </c>
      <c r="G43" s="560"/>
      <c r="H43" s="590"/>
      <c r="I43" s="544"/>
      <c r="J43" s="544"/>
      <c r="K43" s="544"/>
      <c r="L43" s="544"/>
      <c r="M43" s="1603"/>
      <c r="N43" s="1595" t="s">
        <v>1481</v>
      </c>
      <c r="O43" s="2096"/>
      <c r="P43" s="6"/>
    </row>
    <row r="44" spans="1:16" ht="23.4" customHeight="1">
      <c r="A44" s="2364">
        <v>3161</v>
      </c>
      <c r="B44" s="2206" t="s">
        <v>1283</v>
      </c>
      <c r="C44" s="2213"/>
      <c r="D44" s="279"/>
      <c r="E44" s="1035" t="s">
        <v>777</v>
      </c>
      <c r="F44" s="568" t="s">
        <v>778</v>
      </c>
      <c r="G44" s="569"/>
      <c r="H44" s="601"/>
      <c r="I44" s="1381"/>
      <c r="J44" s="1381"/>
      <c r="K44" s="1381"/>
      <c r="L44" s="1381"/>
      <c r="M44" s="281"/>
      <c r="N44" s="281" t="str">
        <f>"WJ"&amp;H44</f>
        <v>WJ</v>
      </c>
      <c r="O44" s="2149" t="str">
        <f>HYPERLINK(VLOOKUP(F44,LINK,2,FALSE),VLOOKUP(F44,LINK,3,FALSE))</f>
        <v>EXCEL</v>
      </c>
      <c r="P44" s="2457" t="s">
        <v>130</v>
      </c>
    </row>
    <row r="45" spans="1:16" ht="23.4" customHeight="1">
      <c r="A45" s="2365"/>
      <c r="B45" s="2472"/>
      <c r="C45" s="2473"/>
      <c r="D45" s="282"/>
      <c r="E45" s="515" t="s">
        <v>779</v>
      </c>
      <c r="F45" s="570" t="s">
        <v>780</v>
      </c>
      <c r="G45" s="571"/>
      <c r="H45" s="602"/>
      <c r="I45" s="1382"/>
      <c r="J45" s="1382"/>
      <c r="K45" s="1382"/>
      <c r="L45" s="1382"/>
      <c r="M45" s="1596"/>
      <c r="N45" s="1596" t="str">
        <f>"WW"&amp;H45</f>
        <v>WW</v>
      </c>
      <c r="O45" s="2149"/>
      <c r="P45" s="2457"/>
    </row>
    <row r="46" spans="1:16" ht="23.4" customHeight="1">
      <c r="A46" s="2366"/>
      <c r="B46" s="2472"/>
      <c r="C46" s="2473"/>
      <c r="D46" s="286"/>
      <c r="E46" s="1412" t="s">
        <v>779</v>
      </c>
      <c r="F46" s="1136" t="s">
        <v>780</v>
      </c>
      <c r="G46" s="1137"/>
      <c r="H46" s="1138"/>
      <c r="I46" s="1415"/>
      <c r="J46" s="1415"/>
      <c r="K46" s="1415"/>
      <c r="L46" s="1415"/>
      <c r="M46" s="1597"/>
      <c r="N46" s="1597" t="str">
        <f>"WW"&amp;H46</f>
        <v>WW</v>
      </c>
      <c r="O46" s="2149"/>
      <c r="P46" s="2457"/>
    </row>
    <row r="47" spans="1:16" ht="23.4" customHeight="1">
      <c r="A47" s="2475">
        <v>1011</v>
      </c>
      <c r="B47" s="2234" t="s">
        <v>23</v>
      </c>
      <c r="C47" s="2234"/>
      <c r="D47" s="279"/>
      <c r="E47" s="1035" t="s">
        <v>158</v>
      </c>
      <c r="F47" s="2184" t="s">
        <v>159</v>
      </c>
      <c r="G47" s="2190"/>
      <c r="H47" s="2191"/>
      <c r="I47" s="279"/>
      <c r="J47" s="279"/>
      <c r="K47" s="279"/>
      <c r="L47" s="279"/>
      <c r="M47" s="287"/>
      <c r="N47" s="287"/>
      <c r="O47" s="2224" t="str">
        <f>HYPERLINK(VLOOKUP(F47,LINK,2,FALSE),VLOOKUP(F47,LINK,3,FALSE))</f>
        <v>EXCEL</v>
      </c>
      <c r="P47" s="6"/>
    </row>
    <row r="48" spans="1:16" ht="23.4" customHeight="1">
      <c r="A48" s="2476"/>
      <c r="B48" s="2235"/>
      <c r="C48" s="2235"/>
      <c r="D48" s="282"/>
      <c r="E48" s="515" t="s">
        <v>24</v>
      </c>
      <c r="F48" s="2192" t="s">
        <v>503</v>
      </c>
      <c r="G48" s="2193"/>
      <c r="H48" s="2194"/>
      <c r="I48" s="282"/>
      <c r="J48" s="282"/>
      <c r="K48" s="282"/>
      <c r="L48" s="282"/>
      <c r="M48" s="284"/>
      <c r="N48" s="284"/>
      <c r="O48" s="2165"/>
      <c r="P48" s="37" t="s">
        <v>1123</v>
      </c>
    </row>
    <row r="49" spans="1:16" ht="38.1" customHeight="1">
      <c r="A49" s="2476"/>
      <c r="B49" s="2235"/>
      <c r="C49" s="2235"/>
      <c r="D49" s="1552"/>
      <c r="E49" s="1553" t="s">
        <v>504</v>
      </c>
      <c r="F49" s="2226" t="s">
        <v>1455</v>
      </c>
      <c r="G49" s="2227"/>
      <c r="H49" s="2227"/>
      <c r="I49" s="1552"/>
      <c r="J49" s="1552"/>
      <c r="K49" s="1552"/>
      <c r="L49" s="1552"/>
      <c r="M49" s="282"/>
      <c r="N49" s="2459" t="s">
        <v>1631</v>
      </c>
      <c r="O49" s="2165"/>
      <c r="P49" s="6"/>
    </row>
    <row r="50" spans="1:16" ht="23.4" customHeight="1">
      <c r="A50" s="2477"/>
      <c r="B50" s="2236"/>
      <c r="C50" s="2236"/>
      <c r="D50" s="1555"/>
      <c r="E50" s="1556" t="s">
        <v>1453</v>
      </c>
      <c r="F50" s="2230" t="s">
        <v>1454</v>
      </c>
      <c r="G50" s="2230"/>
      <c r="H50" s="2230"/>
      <c r="I50" s="1549"/>
      <c r="J50" s="1549"/>
      <c r="K50" s="1549"/>
      <c r="L50" s="1549"/>
      <c r="M50" s="1555"/>
      <c r="N50" s="2460"/>
      <c r="O50" s="2225"/>
      <c r="P50" s="6"/>
    </row>
    <row r="51" spans="1:16" ht="23.4" customHeight="1">
      <c r="A51" s="1417" t="s">
        <v>1324</v>
      </c>
      <c r="B51" s="2474" t="s">
        <v>1211</v>
      </c>
      <c r="C51" s="2221"/>
      <c r="D51" s="1398"/>
      <c r="E51" s="1408" t="s">
        <v>1325</v>
      </c>
      <c r="F51" s="2458" t="s">
        <v>1474</v>
      </c>
      <c r="G51" s="2458"/>
      <c r="H51" s="2458"/>
      <c r="I51" s="1397"/>
      <c r="J51" s="1397"/>
      <c r="K51" s="1397"/>
      <c r="L51" s="1397"/>
      <c r="M51" s="1612"/>
      <c r="N51" s="1598" t="s">
        <v>1475</v>
      </c>
      <c r="O51" s="1378" t="s">
        <v>1478</v>
      </c>
      <c r="P51" s="6"/>
    </row>
    <row r="52" spans="1:16" ht="27.75" customHeight="1">
      <c r="A52" s="2471"/>
      <c r="B52" s="2471"/>
      <c r="C52" s="2471"/>
      <c r="D52" s="2471"/>
      <c r="E52" s="2471"/>
      <c r="F52" s="2471"/>
      <c r="G52" s="2471"/>
      <c r="H52" s="2471"/>
      <c r="I52" s="2471"/>
      <c r="J52" s="2471"/>
      <c r="K52" s="2471"/>
      <c r="L52" s="2471"/>
      <c r="M52" s="2471"/>
      <c r="N52" s="2471"/>
      <c r="O52" s="14"/>
      <c r="P52" s="6"/>
    </row>
  </sheetData>
  <mergeCells count="70">
    <mergeCell ref="A9:A11"/>
    <mergeCell ref="F39:F40"/>
    <mergeCell ref="E39:E40"/>
    <mergeCell ref="N39:N40"/>
    <mergeCell ref="B39:C43"/>
    <mergeCell ref="J20:J23"/>
    <mergeCell ref="K20:K23"/>
    <mergeCell ref="L20:L23"/>
    <mergeCell ref="M20:M23"/>
    <mergeCell ref="J17:J19"/>
    <mergeCell ref="G38:H38"/>
    <mergeCell ref="B12:B38"/>
    <mergeCell ref="A12:A38"/>
    <mergeCell ref="C12:C23"/>
    <mergeCell ref="A39:A43"/>
    <mergeCell ref="B7:C7"/>
    <mergeCell ref="B8:C8"/>
    <mergeCell ref="B6:C6"/>
    <mergeCell ref="N17:N19"/>
    <mergeCell ref="F6:H6"/>
    <mergeCell ref="K17:K19"/>
    <mergeCell ref="L17:L19"/>
    <mergeCell ref="H2:L2"/>
    <mergeCell ref="F3:G3"/>
    <mergeCell ref="H3:L3"/>
    <mergeCell ref="A4:A5"/>
    <mergeCell ref="B4:E5"/>
    <mergeCell ref="F4:G4"/>
    <mergeCell ref="H4:L4"/>
    <mergeCell ref="F5:G5"/>
    <mergeCell ref="H5:L5"/>
    <mergeCell ref="A2:A3"/>
    <mergeCell ref="B2:E3"/>
    <mergeCell ref="F2:G2"/>
    <mergeCell ref="O9:O11"/>
    <mergeCell ref="N9:N11"/>
    <mergeCell ref="C24:C33"/>
    <mergeCell ref="C34:C37"/>
    <mergeCell ref="O24:O33"/>
    <mergeCell ref="O34:O37"/>
    <mergeCell ref="O13:O23"/>
    <mergeCell ref="B9:C11"/>
    <mergeCell ref="M13:M15"/>
    <mergeCell ref="M34:M37"/>
    <mergeCell ref="I17:I19"/>
    <mergeCell ref="I20:I23"/>
    <mergeCell ref="M17:M19"/>
    <mergeCell ref="E17:E19"/>
    <mergeCell ref="F20:F23"/>
    <mergeCell ref="E20:E23"/>
    <mergeCell ref="A52:N52"/>
    <mergeCell ref="O44:O46"/>
    <mergeCell ref="B44:C46"/>
    <mergeCell ref="B51:C51"/>
    <mergeCell ref="A47:A50"/>
    <mergeCell ref="B47:C50"/>
    <mergeCell ref="F47:H47"/>
    <mergeCell ref="O47:O50"/>
    <mergeCell ref="A44:A46"/>
    <mergeCell ref="O39:O41"/>
    <mergeCell ref="O42:O43"/>
    <mergeCell ref="M39:M40"/>
    <mergeCell ref="N34:N37"/>
    <mergeCell ref="N20:N23"/>
    <mergeCell ref="P44:P46"/>
    <mergeCell ref="F51:H51"/>
    <mergeCell ref="F48:H48"/>
    <mergeCell ref="F49:H49"/>
    <mergeCell ref="N49:N50"/>
    <mergeCell ref="F50:H50"/>
  </mergeCells>
  <phoneticPr fontId="14"/>
  <hyperlinks>
    <hyperlink ref="A1:P1" location="TEMPLATE!A1" display="OD&lt;20 (J-WAVE)"/>
  </hyperlinks>
  <pageMargins left="0" right="0" top="0" bottom="0" header="0.31496062992125984" footer="0.31496062992125984"/>
  <pageSetup paperSize="9" scale="52"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92D050"/>
    <pageSetUpPr fitToPage="1"/>
  </sheetPr>
  <dimension ref="A1:S61"/>
  <sheetViews>
    <sheetView showGridLines="0" view="pageBreakPreview" zoomScale="70" zoomScaleNormal="100" zoomScaleSheetLayoutView="70" workbookViewId="0">
      <selection activeCell="B2" sqref="B2:E3"/>
    </sheetView>
  </sheetViews>
  <sheetFormatPr defaultColWidth="9" defaultRowHeight="13.2"/>
  <cols>
    <col min="1" max="1" width="13.09765625" style="6" bestFit="1" customWidth="1"/>
    <col min="2" max="2" width="21.3984375" style="6" bestFit="1" customWidth="1"/>
    <col min="3" max="3" width="9.5" style="6" bestFit="1" customWidth="1"/>
    <col min="4" max="4" width="5.59765625" style="6" customWidth="1"/>
    <col min="5" max="5" width="33.09765625" style="6" bestFit="1" customWidth="1"/>
    <col min="6" max="6" width="12.59765625" style="6" bestFit="1" customWidth="1"/>
    <col min="7" max="7" width="8.59765625" style="6" customWidth="1"/>
    <col min="8" max="8" width="5.59765625" style="608" customWidth="1"/>
    <col min="9" max="9" width="5.59765625" style="552" customWidth="1"/>
    <col min="10" max="10" width="5.59765625" style="604" customWidth="1"/>
    <col min="11" max="12" width="5.59765625" style="6" customWidth="1"/>
    <col min="13" max="13" width="17.59765625" style="6" customWidth="1"/>
    <col min="14" max="14" width="54.8984375" style="608" customWidth="1"/>
    <col min="15" max="15" width="9.8984375" style="6" customWidth="1"/>
    <col min="16" max="16" width="6.69921875" style="6" bestFit="1" customWidth="1"/>
    <col min="17" max="17" width="6.8984375" style="105" bestFit="1" customWidth="1"/>
    <col min="18" max="19" width="6.5" style="6" bestFit="1" customWidth="1"/>
    <col min="20" max="20" width="13.3984375" style="6" bestFit="1" customWidth="1"/>
    <col min="21" max="21" width="33.5" style="6" bestFit="1" customWidth="1"/>
    <col min="22" max="16384" width="9" style="6"/>
  </cols>
  <sheetData>
    <row r="1" spans="1:19">
      <c r="A1" s="835" t="s">
        <v>164</v>
      </c>
      <c r="B1" s="835"/>
      <c r="C1" s="835"/>
      <c r="D1" s="835"/>
      <c r="E1" s="835"/>
      <c r="F1" s="835"/>
      <c r="G1" s="835"/>
      <c r="H1" s="835"/>
      <c r="I1" s="835"/>
      <c r="J1" s="835"/>
      <c r="K1" s="835"/>
      <c r="L1" s="835"/>
      <c r="M1" s="835"/>
      <c r="N1" s="1374"/>
      <c r="O1" s="835"/>
      <c r="P1" s="835"/>
      <c r="Q1" s="100"/>
    </row>
    <row r="2" spans="1:19" ht="30" customHeight="1">
      <c r="A2" s="2013" t="s">
        <v>5</v>
      </c>
      <c r="B2" s="1993"/>
      <c r="C2" s="1993"/>
      <c r="D2" s="1993"/>
      <c r="E2" s="1993"/>
      <c r="F2" s="2006" t="s">
        <v>1391</v>
      </c>
      <c r="G2" s="2006"/>
      <c r="H2" s="2009"/>
      <c r="I2" s="2009"/>
      <c r="J2" s="2009"/>
      <c r="K2" s="2009"/>
      <c r="L2" s="2009"/>
      <c r="M2" s="904" t="s">
        <v>1187</v>
      </c>
      <c r="N2" s="1626" t="s">
        <v>1393</v>
      </c>
      <c r="O2" s="1405"/>
      <c r="P2" s="1001"/>
      <c r="Q2" s="6"/>
    </row>
    <row r="3" spans="1:19" ht="30" customHeight="1">
      <c r="A3" s="2014"/>
      <c r="B3" s="1993"/>
      <c r="C3" s="1993"/>
      <c r="D3" s="1993"/>
      <c r="E3" s="1993"/>
      <c r="F3" s="2006" t="s">
        <v>1371</v>
      </c>
      <c r="G3" s="2006"/>
      <c r="H3" s="2009"/>
      <c r="I3" s="2009"/>
      <c r="J3" s="2009"/>
      <c r="K3" s="2009"/>
      <c r="L3" s="2009"/>
      <c r="M3" s="35"/>
      <c r="N3" s="1186"/>
      <c r="O3" s="839"/>
      <c r="P3" s="1001"/>
      <c r="Q3" s="6"/>
    </row>
    <row r="4" spans="1:19" ht="30" customHeight="1">
      <c r="A4" s="2013" t="s">
        <v>38</v>
      </c>
      <c r="B4" s="1993"/>
      <c r="C4" s="1993"/>
      <c r="D4" s="1993"/>
      <c r="E4" s="1993"/>
      <c r="F4" s="2007" t="s">
        <v>1392</v>
      </c>
      <c r="G4" s="2007"/>
      <c r="H4" s="2009"/>
      <c r="I4" s="2009"/>
      <c r="J4" s="2009"/>
      <c r="K4" s="2009"/>
      <c r="L4" s="2009"/>
      <c r="M4" s="35"/>
      <c r="N4" s="1186"/>
      <c r="O4" s="839"/>
      <c r="P4" s="1001"/>
      <c r="Q4" s="6"/>
    </row>
    <row r="5" spans="1:19" ht="30" customHeight="1">
      <c r="A5" s="2014"/>
      <c r="B5" s="1993"/>
      <c r="C5" s="1993"/>
      <c r="D5" s="1993"/>
      <c r="E5" s="1993"/>
      <c r="F5" s="2008" t="s">
        <v>1372</v>
      </c>
      <c r="G5" s="2008"/>
      <c r="H5" s="2009"/>
      <c r="I5" s="2009"/>
      <c r="J5" s="2009"/>
      <c r="K5" s="2009"/>
      <c r="L5" s="2009"/>
      <c r="M5" s="35"/>
      <c r="N5" s="1186"/>
      <c r="O5" s="839"/>
      <c r="P5" s="1001"/>
      <c r="Q5" s="6"/>
    </row>
    <row r="6" spans="1:19" ht="60" customHeight="1">
      <c r="A6" s="908" t="s">
        <v>1227</v>
      </c>
      <c r="B6" s="2004" t="s">
        <v>6</v>
      </c>
      <c r="C6" s="2005"/>
      <c r="D6" s="1323" t="s">
        <v>1407</v>
      </c>
      <c r="E6" s="82" t="s">
        <v>64</v>
      </c>
      <c r="F6" s="2001" t="s">
        <v>1</v>
      </c>
      <c r="G6" s="2002"/>
      <c r="H6" s="2003"/>
      <c r="I6" s="1038" t="s">
        <v>66</v>
      </c>
      <c r="J6" s="1038" t="s">
        <v>1376</v>
      </c>
      <c r="K6" s="1372" t="s">
        <v>1377</v>
      </c>
      <c r="L6" s="1372" t="s">
        <v>1375</v>
      </c>
      <c r="M6" s="1069" t="s">
        <v>1378</v>
      </c>
      <c r="N6" s="1069" t="s">
        <v>1387</v>
      </c>
      <c r="O6" s="1322" t="s">
        <v>1379</v>
      </c>
      <c r="P6" s="1001"/>
      <c r="Q6" s="6"/>
    </row>
    <row r="7" spans="1:19" s="5" customFormat="1" ht="23.4" customHeight="1">
      <c r="A7" s="1417" t="s">
        <v>1093</v>
      </c>
      <c r="B7" s="2515" t="s">
        <v>830</v>
      </c>
      <c r="C7" s="2516"/>
      <c r="D7" s="1418"/>
      <c r="E7" s="1418" t="s">
        <v>831</v>
      </c>
      <c r="F7" s="605" t="s">
        <v>781</v>
      </c>
      <c r="G7" s="553"/>
      <c r="H7" s="586"/>
      <c r="I7" s="1418"/>
      <c r="J7" s="1418"/>
      <c r="K7" s="1418"/>
      <c r="L7" s="533"/>
      <c r="M7" s="1418"/>
      <c r="N7" s="1621" t="s">
        <v>1483</v>
      </c>
      <c r="O7" s="1614"/>
    </row>
    <row r="8" spans="1:19" s="5" customFormat="1" ht="23.4" customHeight="1">
      <c r="A8" s="1417" t="s">
        <v>1094</v>
      </c>
      <c r="B8" s="2515" t="s">
        <v>832</v>
      </c>
      <c r="C8" s="2516"/>
      <c r="D8" s="1380"/>
      <c r="E8" s="1380" t="s">
        <v>833</v>
      </c>
      <c r="F8" s="606" t="s">
        <v>834</v>
      </c>
      <c r="G8" s="616"/>
      <c r="H8" s="587"/>
      <c r="I8" s="1380"/>
      <c r="J8" s="1380"/>
      <c r="K8" s="1380"/>
      <c r="L8" s="1418"/>
      <c r="M8" s="1380"/>
      <c r="N8" s="1622"/>
      <c r="O8" s="92" t="str">
        <f>HYPERLINK(VLOOKUP(F8,LINK,2,FALSE),VLOOKUP(F8,LINK,3,FALSE))</f>
        <v>EXCEL</v>
      </c>
    </row>
    <row r="9" spans="1:19" ht="23.4" customHeight="1">
      <c r="A9" s="2521" t="s">
        <v>1095</v>
      </c>
      <c r="B9" s="2212" t="s">
        <v>39</v>
      </c>
      <c r="C9" s="2213"/>
      <c r="D9" s="279"/>
      <c r="E9" s="1035" t="s">
        <v>40</v>
      </c>
      <c r="F9" s="263" t="s">
        <v>835</v>
      </c>
      <c r="G9" s="617"/>
      <c r="H9" s="352"/>
      <c r="I9" s="1381"/>
      <c r="J9" s="1381"/>
      <c r="K9" s="1381"/>
      <c r="L9" s="280"/>
      <c r="M9" s="1601" t="str">
        <f>"SD"&amp;G9</f>
        <v>SD</v>
      </c>
      <c r="N9" s="2571" t="s">
        <v>1482</v>
      </c>
      <c r="O9" s="2478"/>
      <c r="Q9" s="6"/>
    </row>
    <row r="10" spans="1:19" ht="23.4" customHeight="1">
      <c r="A10" s="2522"/>
      <c r="B10" s="2472"/>
      <c r="C10" s="2473"/>
      <c r="D10" s="282"/>
      <c r="E10" s="515" t="s">
        <v>41</v>
      </c>
      <c r="F10" s="267" t="s">
        <v>836</v>
      </c>
      <c r="G10" s="618"/>
      <c r="H10" s="355"/>
      <c r="I10" s="1382"/>
      <c r="J10" s="1382"/>
      <c r="K10" s="1382"/>
      <c r="L10" s="611"/>
      <c r="M10" s="1602" t="str">
        <f>"DP"&amp;G10</f>
        <v>DP</v>
      </c>
      <c r="N10" s="2572"/>
      <c r="O10" s="2479"/>
      <c r="Q10" s="6"/>
    </row>
    <row r="11" spans="1:19" ht="23.4" customHeight="1">
      <c r="A11" s="2522"/>
      <c r="B11" s="2591"/>
      <c r="C11" s="2592"/>
      <c r="D11" s="505"/>
      <c r="E11" s="1422" t="s">
        <v>42</v>
      </c>
      <c r="F11" s="269" t="s">
        <v>837</v>
      </c>
      <c r="G11" s="619"/>
      <c r="H11" s="358"/>
      <c r="I11" s="1383"/>
      <c r="J11" s="1383"/>
      <c r="K11" s="1383"/>
      <c r="L11" s="612"/>
      <c r="M11" s="1603" t="str">
        <f>"GP"&amp;G11</f>
        <v>GP</v>
      </c>
      <c r="N11" s="2573"/>
      <c r="O11" s="2479"/>
      <c r="Q11" s="6"/>
    </row>
    <row r="12" spans="1:19" ht="36.9" customHeight="1">
      <c r="A12" s="2539" t="s">
        <v>1118</v>
      </c>
      <c r="B12" s="2451" t="s">
        <v>1608</v>
      </c>
      <c r="C12" s="2537" t="s">
        <v>1101</v>
      </c>
      <c r="D12" s="1398"/>
      <c r="E12" s="1407" t="s">
        <v>868</v>
      </c>
      <c r="F12" s="626" t="s">
        <v>838</v>
      </c>
      <c r="G12" s="620"/>
      <c r="H12" s="627"/>
      <c r="I12" s="1397"/>
      <c r="J12" s="1397"/>
      <c r="K12" s="1397"/>
      <c r="L12" s="1397"/>
      <c r="M12" s="1612"/>
      <c r="N12" s="1492"/>
      <c r="O12" s="1378" t="s">
        <v>1239</v>
      </c>
      <c r="Q12" s="6"/>
      <c r="S12" s="2575" t="s">
        <v>154</v>
      </c>
    </row>
    <row r="13" spans="1:19" ht="23.4" customHeight="1">
      <c r="A13" s="2540"/>
      <c r="B13" s="2596"/>
      <c r="C13" s="2538"/>
      <c r="D13" s="279"/>
      <c r="E13" s="1035" t="s">
        <v>43</v>
      </c>
      <c r="F13" s="2603" t="s">
        <v>839</v>
      </c>
      <c r="G13" s="2185"/>
      <c r="H13" s="2186"/>
      <c r="I13" s="1381"/>
      <c r="J13" s="1381"/>
      <c r="K13" s="1381"/>
      <c r="L13" s="1381"/>
      <c r="M13" s="2584" t="s">
        <v>1484</v>
      </c>
      <c r="N13" s="1618"/>
      <c r="O13" s="2067" t="str">
        <f>HYPERLINK(VLOOKUP(F13,LINK,2,FALSE),VLOOKUP(F13,LINK,3,FALSE))</f>
        <v>EXCEL</v>
      </c>
      <c r="P13" s="37" t="s">
        <v>135</v>
      </c>
      <c r="Q13" s="37" t="s">
        <v>136</v>
      </c>
      <c r="S13" s="2576"/>
    </row>
    <row r="14" spans="1:19" ht="23.4" customHeight="1">
      <c r="A14" s="2540"/>
      <c r="B14" s="2596"/>
      <c r="C14" s="2538"/>
      <c r="D14" s="282"/>
      <c r="E14" s="515" t="s">
        <v>44</v>
      </c>
      <c r="F14" s="2192" t="s">
        <v>840</v>
      </c>
      <c r="G14" s="2193"/>
      <c r="H14" s="2194"/>
      <c r="I14" s="1382"/>
      <c r="J14" s="1382"/>
      <c r="K14" s="1382"/>
      <c r="L14" s="1382"/>
      <c r="M14" s="2585"/>
      <c r="N14" s="1619"/>
      <c r="O14" s="2029"/>
      <c r="P14" s="37" t="s">
        <v>135</v>
      </c>
      <c r="Q14" s="37" t="s">
        <v>136</v>
      </c>
      <c r="S14" s="2576"/>
    </row>
    <row r="15" spans="1:19" ht="23.4" customHeight="1">
      <c r="A15" s="2540"/>
      <c r="B15" s="2596"/>
      <c r="C15" s="2538"/>
      <c r="D15" s="282"/>
      <c r="E15" s="515" t="s">
        <v>45</v>
      </c>
      <c r="F15" s="2192" t="s">
        <v>841</v>
      </c>
      <c r="G15" s="2193"/>
      <c r="H15" s="2194"/>
      <c r="I15" s="1382"/>
      <c r="J15" s="1382"/>
      <c r="K15" s="1382"/>
      <c r="L15" s="1382"/>
      <c r="M15" s="2585"/>
      <c r="N15" s="1619"/>
      <c r="O15" s="2029"/>
      <c r="P15" s="37" t="s">
        <v>135</v>
      </c>
      <c r="Q15" s="37" t="s">
        <v>136</v>
      </c>
      <c r="S15" s="2576"/>
    </row>
    <row r="16" spans="1:19" ht="23.4" customHeight="1">
      <c r="A16" s="2540"/>
      <c r="B16" s="2596"/>
      <c r="C16" s="2538"/>
      <c r="D16" s="282"/>
      <c r="E16" s="515" t="s">
        <v>46</v>
      </c>
      <c r="F16" s="2604" t="s">
        <v>842</v>
      </c>
      <c r="G16" s="2605"/>
      <c r="H16" s="2606"/>
      <c r="I16" s="1382"/>
      <c r="J16" s="1382"/>
      <c r="K16" s="1382"/>
      <c r="L16" s="1382"/>
      <c r="M16" s="1619"/>
      <c r="N16" s="1619"/>
      <c r="O16" s="2029"/>
      <c r="Q16" s="6"/>
      <c r="S16" s="2576"/>
    </row>
    <row r="17" spans="1:19" ht="23.4" hidden="1" customHeight="1">
      <c r="A17" s="2540"/>
      <c r="B17" s="2596"/>
      <c r="C17" s="2538"/>
      <c r="D17" s="538"/>
      <c r="E17" s="2562" t="s">
        <v>47</v>
      </c>
      <c r="F17" s="1410"/>
      <c r="G17" s="574" t="s">
        <v>799</v>
      </c>
      <c r="H17" s="592"/>
      <c r="I17" s="2567"/>
      <c r="J17" s="2569"/>
      <c r="K17" s="2569"/>
      <c r="L17" s="2386"/>
      <c r="M17" s="2564"/>
      <c r="N17" s="2563" t="s">
        <v>1469</v>
      </c>
      <c r="O17" s="2029"/>
      <c r="Q17" s="6"/>
      <c r="S17" s="2576"/>
    </row>
    <row r="18" spans="1:19" ht="23.4" hidden="1" customHeight="1">
      <c r="A18" s="2540"/>
      <c r="B18" s="2596"/>
      <c r="C18" s="2538"/>
      <c r="D18" s="538"/>
      <c r="E18" s="2562"/>
      <c r="F18" s="1411" t="s">
        <v>803</v>
      </c>
      <c r="G18" s="576" t="s">
        <v>800</v>
      </c>
      <c r="H18" s="593"/>
      <c r="I18" s="2567"/>
      <c r="J18" s="2569"/>
      <c r="K18" s="2569"/>
      <c r="L18" s="2386"/>
      <c r="M18" s="2564"/>
      <c r="N18" s="2563"/>
      <c r="O18" s="2029"/>
      <c r="Q18" s="6"/>
      <c r="S18" s="2576"/>
    </row>
    <row r="19" spans="1:19" ht="23.4" hidden="1" customHeight="1">
      <c r="A19" s="2540"/>
      <c r="B19" s="2596"/>
      <c r="C19" s="2538"/>
      <c r="D19" s="538"/>
      <c r="E19" s="2562"/>
      <c r="F19" s="1413"/>
      <c r="G19" s="580" t="s">
        <v>801</v>
      </c>
      <c r="H19" s="594"/>
      <c r="I19" s="2567"/>
      <c r="J19" s="2569"/>
      <c r="K19" s="2569"/>
      <c r="L19" s="2386"/>
      <c r="M19" s="2564"/>
      <c r="N19" s="2563"/>
      <c r="O19" s="2029"/>
      <c r="Q19" s="6"/>
      <c r="S19" s="2576"/>
    </row>
    <row r="20" spans="1:19" ht="23.4" hidden="1" customHeight="1">
      <c r="A20" s="2540"/>
      <c r="B20" s="2596"/>
      <c r="C20" s="2538"/>
      <c r="D20" s="538"/>
      <c r="E20" s="2562" t="s">
        <v>48</v>
      </c>
      <c r="F20" s="2512" t="s">
        <v>808</v>
      </c>
      <c r="G20" s="576" t="s">
        <v>804</v>
      </c>
      <c r="H20" s="593"/>
      <c r="I20" s="2567"/>
      <c r="J20" s="2569"/>
      <c r="K20" s="2569"/>
      <c r="L20" s="2386"/>
      <c r="M20" s="2564"/>
      <c r="N20" s="2563" t="s">
        <v>1470</v>
      </c>
      <c r="O20" s="2029"/>
      <c r="Q20" s="6"/>
      <c r="S20" s="2576"/>
    </row>
    <row r="21" spans="1:19" ht="23.4" hidden="1" customHeight="1">
      <c r="A21" s="2540"/>
      <c r="B21" s="2596"/>
      <c r="C21" s="2538"/>
      <c r="D21" s="538"/>
      <c r="E21" s="2562"/>
      <c r="F21" s="2512"/>
      <c r="G21" s="576" t="s">
        <v>805</v>
      </c>
      <c r="H21" s="593"/>
      <c r="I21" s="2567"/>
      <c r="J21" s="2569"/>
      <c r="K21" s="2569"/>
      <c r="L21" s="2386"/>
      <c r="M21" s="2564"/>
      <c r="N21" s="2563"/>
      <c r="O21" s="2029"/>
      <c r="Q21" s="6"/>
      <c r="S21" s="2576"/>
    </row>
    <row r="22" spans="1:19" ht="23.4" hidden="1" customHeight="1">
      <c r="A22" s="2540"/>
      <c r="B22" s="2596"/>
      <c r="C22" s="2538"/>
      <c r="D22" s="538"/>
      <c r="E22" s="2562"/>
      <c r="F22" s="2512"/>
      <c r="G22" s="576" t="s">
        <v>806</v>
      </c>
      <c r="H22" s="593"/>
      <c r="I22" s="2567"/>
      <c r="J22" s="2569"/>
      <c r="K22" s="2569"/>
      <c r="L22" s="2386"/>
      <c r="M22" s="2564"/>
      <c r="N22" s="2563"/>
      <c r="O22" s="2029"/>
      <c r="Q22" s="6"/>
      <c r="S22" s="2576"/>
    </row>
    <row r="23" spans="1:19" ht="23.4" hidden="1" customHeight="1">
      <c r="A23" s="2540"/>
      <c r="B23" s="2596"/>
      <c r="C23" s="2593"/>
      <c r="D23" s="542"/>
      <c r="E23" s="2565"/>
      <c r="F23" s="2513"/>
      <c r="G23" s="578" t="s">
        <v>807</v>
      </c>
      <c r="H23" s="595"/>
      <c r="I23" s="2568"/>
      <c r="J23" s="2570"/>
      <c r="K23" s="2570"/>
      <c r="L23" s="2158"/>
      <c r="M23" s="2578"/>
      <c r="N23" s="2566"/>
      <c r="O23" s="2030"/>
      <c r="Q23" s="6"/>
      <c r="S23" s="2576"/>
    </row>
    <row r="24" spans="1:19" ht="23.4" customHeight="1">
      <c r="A24" s="2540"/>
      <c r="B24" s="2596"/>
      <c r="C24" s="2537" t="s">
        <v>1102</v>
      </c>
      <c r="D24" s="279"/>
      <c r="E24" s="1035" t="s">
        <v>49</v>
      </c>
      <c r="F24" s="263" t="s">
        <v>843</v>
      </c>
      <c r="G24" s="617"/>
      <c r="H24" s="352"/>
      <c r="I24" s="1381"/>
      <c r="J24" s="1381"/>
      <c r="K24" s="1381"/>
      <c r="L24" s="1381"/>
      <c r="M24" s="2588" t="s">
        <v>1485</v>
      </c>
      <c r="N24" s="1627" t="s">
        <v>1629</v>
      </c>
      <c r="O24" s="2577" t="str">
        <f>HYPERLINK(VLOOKUP(F24,LINK,2,FALSE),VLOOKUP(F24,LINK,3,FALSE))</f>
        <v>EXCEL</v>
      </c>
      <c r="P24" s="37" t="s">
        <v>135</v>
      </c>
      <c r="Q24" s="37" t="s">
        <v>136</v>
      </c>
      <c r="S24" s="2576"/>
    </row>
    <row r="25" spans="1:19" ht="23.4" customHeight="1">
      <c r="A25" s="2540"/>
      <c r="B25" s="2596"/>
      <c r="C25" s="2538"/>
      <c r="D25" s="282"/>
      <c r="E25" s="515" t="s">
        <v>50</v>
      </c>
      <c r="F25" s="267" t="s">
        <v>844</v>
      </c>
      <c r="G25" s="618"/>
      <c r="H25" s="355"/>
      <c r="I25" s="1382"/>
      <c r="J25" s="1382"/>
      <c r="K25" s="1382"/>
      <c r="L25" s="1382"/>
      <c r="M25" s="2589"/>
      <c r="N25" s="1628"/>
      <c r="O25" s="2577"/>
      <c r="P25" s="37" t="s">
        <v>135</v>
      </c>
      <c r="Q25" s="37" t="s">
        <v>136</v>
      </c>
      <c r="S25" s="2576"/>
    </row>
    <row r="26" spans="1:19" ht="23.4" customHeight="1">
      <c r="A26" s="2540"/>
      <c r="B26" s="2596"/>
      <c r="C26" s="2538"/>
      <c r="D26" s="282"/>
      <c r="E26" s="515" t="s">
        <v>51</v>
      </c>
      <c r="F26" s="267" t="s">
        <v>845</v>
      </c>
      <c r="G26" s="618"/>
      <c r="H26" s="355"/>
      <c r="I26" s="1382"/>
      <c r="J26" s="1382"/>
      <c r="K26" s="1382"/>
      <c r="L26" s="1382"/>
      <c r="M26" s="2590"/>
      <c r="N26" s="1628"/>
      <c r="O26" s="2577"/>
      <c r="P26" s="37" t="s">
        <v>135</v>
      </c>
      <c r="Q26" s="37" t="s">
        <v>136</v>
      </c>
      <c r="S26" s="2576"/>
    </row>
    <row r="27" spans="1:19" ht="23.4" customHeight="1">
      <c r="A27" s="2540"/>
      <c r="B27" s="2596"/>
      <c r="C27" s="2538"/>
      <c r="D27" s="282"/>
      <c r="E27" s="515" t="s">
        <v>782</v>
      </c>
      <c r="F27" s="269" t="s">
        <v>860</v>
      </c>
      <c r="G27" s="619"/>
      <c r="H27" s="358" t="s">
        <v>856</v>
      </c>
      <c r="I27" s="1382"/>
      <c r="J27" s="1382"/>
      <c r="K27" s="1382"/>
      <c r="L27" s="1382"/>
      <c r="M27" s="282"/>
      <c r="N27" s="1623"/>
      <c r="O27" s="2577"/>
      <c r="Q27" s="37" t="s">
        <v>137</v>
      </c>
      <c r="R27" s="2579" t="s">
        <v>139</v>
      </c>
      <c r="S27" s="2576"/>
    </row>
    <row r="28" spans="1:19" ht="23.4" hidden="1" customHeight="1">
      <c r="A28" s="2540"/>
      <c r="B28" s="2596"/>
      <c r="C28" s="2538"/>
      <c r="D28" s="282"/>
      <c r="E28" s="515" t="s">
        <v>783</v>
      </c>
      <c r="F28" s="622" t="s">
        <v>861</v>
      </c>
      <c r="G28" s="623"/>
      <c r="H28" s="628" t="s">
        <v>857</v>
      </c>
      <c r="I28" s="1382"/>
      <c r="J28" s="611"/>
      <c r="K28" s="611"/>
      <c r="L28" s="1382"/>
      <c r="M28" s="515"/>
      <c r="N28" s="1624"/>
      <c r="O28" s="2577"/>
      <c r="Q28" s="6"/>
      <c r="R28" s="2579"/>
      <c r="S28" s="2576"/>
    </row>
    <row r="29" spans="1:19" ht="23.4" hidden="1" customHeight="1">
      <c r="A29" s="2540"/>
      <c r="B29" s="2596"/>
      <c r="C29" s="2538"/>
      <c r="D29" s="282"/>
      <c r="E29" s="515" t="s">
        <v>784</v>
      </c>
      <c r="F29" s="267" t="s">
        <v>861</v>
      </c>
      <c r="G29" s="618"/>
      <c r="H29" s="355" t="s">
        <v>858</v>
      </c>
      <c r="I29" s="1382"/>
      <c r="J29" s="611"/>
      <c r="K29" s="611"/>
      <c r="L29" s="1382"/>
      <c r="M29" s="515"/>
      <c r="N29" s="1624"/>
      <c r="O29" s="2577"/>
      <c r="Q29" s="6"/>
      <c r="R29" s="2579"/>
      <c r="S29" s="2576"/>
    </row>
    <row r="30" spans="1:19" ht="23.4" hidden="1" customHeight="1">
      <c r="A30" s="2540"/>
      <c r="B30" s="2596"/>
      <c r="C30" s="2538"/>
      <c r="D30" s="282"/>
      <c r="E30" s="515" t="s">
        <v>791</v>
      </c>
      <c r="F30" s="267" t="s">
        <v>862</v>
      </c>
      <c r="G30" s="618"/>
      <c r="H30" s="355" t="s">
        <v>859</v>
      </c>
      <c r="I30" s="1382"/>
      <c r="J30" s="611"/>
      <c r="K30" s="611"/>
      <c r="L30" s="1382"/>
      <c r="M30" s="515"/>
      <c r="N30" s="1624"/>
      <c r="O30" s="2577"/>
      <c r="Q30" s="6"/>
      <c r="R30" s="39"/>
      <c r="S30" s="2576"/>
    </row>
    <row r="31" spans="1:19" ht="23.4" hidden="1" customHeight="1">
      <c r="A31" s="2540"/>
      <c r="B31" s="2596"/>
      <c r="C31" s="2538"/>
      <c r="D31" s="283"/>
      <c r="E31" s="515" t="s">
        <v>846</v>
      </c>
      <c r="F31" s="267" t="s">
        <v>816</v>
      </c>
      <c r="G31" s="618"/>
      <c r="H31" s="355" t="s">
        <v>859</v>
      </c>
      <c r="I31" s="611"/>
      <c r="J31" s="611"/>
      <c r="K31" s="611"/>
      <c r="L31" s="611"/>
      <c r="M31" s="515"/>
      <c r="N31" s="1624"/>
      <c r="O31" s="2577"/>
      <c r="Q31" s="6"/>
      <c r="S31" s="2576"/>
    </row>
    <row r="32" spans="1:19" ht="23.4" hidden="1" customHeight="1">
      <c r="A32" s="2540"/>
      <c r="B32" s="2596"/>
      <c r="C32" s="2538"/>
      <c r="D32" s="283"/>
      <c r="E32" s="515" t="s">
        <v>847</v>
      </c>
      <c r="F32" s="267" t="s">
        <v>816</v>
      </c>
      <c r="G32" s="618"/>
      <c r="H32" s="355" t="s">
        <v>859</v>
      </c>
      <c r="I32" s="611"/>
      <c r="J32" s="611"/>
      <c r="K32" s="611"/>
      <c r="L32" s="611"/>
      <c r="M32" s="515"/>
      <c r="N32" s="1624"/>
      <c r="O32" s="2577"/>
      <c r="Q32" s="6"/>
      <c r="S32" s="2576"/>
    </row>
    <row r="33" spans="1:19" ht="23.4" hidden="1" customHeight="1">
      <c r="A33" s="2540"/>
      <c r="B33" s="2596"/>
      <c r="C33" s="2538"/>
      <c r="D33" s="2556"/>
      <c r="E33" s="2543" t="s">
        <v>47</v>
      </c>
      <c r="F33" s="2511" t="s">
        <v>863</v>
      </c>
      <c r="G33" s="574" t="s">
        <v>849</v>
      </c>
      <c r="H33" s="592"/>
      <c r="I33" s="2504"/>
      <c r="J33" s="2518"/>
      <c r="K33" s="2518"/>
      <c r="L33" s="2551"/>
      <c r="M33" s="2506"/>
      <c r="N33" s="2546" t="s">
        <v>1487</v>
      </c>
      <c r="O33" s="2577"/>
      <c r="Q33" s="37" t="s">
        <v>136</v>
      </c>
      <c r="S33" s="2576"/>
    </row>
    <row r="34" spans="1:19" ht="23.4" hidden="1" customHeight="1">
      <c r="A34" s="2540"/>
      <c r="B34" s="2596"/>
      <c r="C34" s="2538"/>
      <c r="D34" s="2557"/>
      <c r="E34" s="2253"/>
      <c r="F34" s="2512"/>
      <c r="G34" s="576" t="s">
        <v>851</v>
      </c>
      <c r="H34" s="593"/>
      <c r="I34" s="2439"/>
      <c r="J34" s="2519"/>
      <c r="K34" s="2519"/>
      <c r="L34" s="2552"/>
      <c r="M34" s="2359"/>
      <c r="N34" s="2547"/>
      <c r="O34" s="2577"/>
      <c r="Q34" s="37"/>
      <c r="S34" s="2576"/>
    </row>
    <row r="35" spans="1:19" ht="23.4" hidden="1" customHeight="1">
      <c r="A35" s="2540"/>
      <c r="B35" s="2596"/>
      <c r="C35" s="2538"/>
      <c r="D35" s="2557"/>
      <c r="E35" s="2253"/>
      <c r="F35" s="2512"/>
      <c r="G35" s="576" t="s">
        <v>853</v>
      </c>
      <c r="H35" s="593"/>
      <c r="I35" s="2439"/>
      <c r="J35" s="2519"/>
      <c r="K35" s="2519"/>
      <c r="L35" s="2552"/>
      <c r="M35" s="2359"/>
      <c r="N35" s="2547"/>
      <c r="O35" s="2577"/>
      <c r="Q35" s="37"/>
      <c r="S35" s="2576"/>
    </row>
    <row r="36" spans="1:19" ht="23.4" hidden="1" customHeight="1">
      <c r="A36" s="2540"/>
      <c r="B36" s="2596"/>
      <c r="C36" s="2538"/>
      <c r="D36" s="2574"/>
      <c r="E36" s="2544"/>
      <c r="F36" s="2545"/>
      <c r="G36" s="580" t="s">
        <v>852</v>
      </c>
      <c r="H36" s="594"/>
      <c r="I36" s="2505"/>
      <c r="J36" s="2520"/>
      <c r="K36" s="2520"/>
      <c r="L36" s="2553"/>
      <c r="M36" s="2507"/>
      <c r="N36" s="2548"/>
      <c r="O36" s="2577"/>
      <c r="Q36" s="37"/>
      <c r="S36" s="2576"/>
    </row>
    <row r="37" spans="1:19" ht="23.4" hidden="1" customHeight="1">
      <c r="A37" s="2540"/>
      <c r="B37" s="2596"/>
      <c r="C37" s="2538"/>
      <c r="D37" s="283"/>
      <c r="E37" s="515" t="s">
        <v>52</v>
      </c>
      <c r="F37" s="267" t="s">
        <v>855</v>
      </c>
      <c r="G37" s="618" t="s">
        <v>851</v>
      </c>
      <c r="H37" s="355"/>
      <c r="I37" s="611"/>
      <c r="J37" s="611"/>
      <c r="K37" s="611"/>
      <c r="L37" s="611"/>
      <c r="M37" s="1596"/>
      <c r="N37" s="1625"/>
      <c r="O37" s="2577"/>
      <c r="Q37" s="37" t="s">
        <v>136</v>
      </c>
      <c r="S37" s="2576"/>
    </row>
    <row r="38" spans="1:19" ht="23.4" hidden="1" customHeight="1">
      <c r="A38" s="2540"/>
      <c r="B38" s="2596"/>
      <c r="C38" s="2538"/>
      <c r="D38" s="2556"/>
      <c r="E38" s="2543" t="s">
        <v>48</v>
      </c>
      <c r="F38" s="2549" t="s">
        <v>854</v>
      </c>
      <c r="G38" s="621" t="s">
        <v>850</v>
      </c>
      <c r="H38" s="592"/>
      <c r="I38" s="2601"/>
      <c r="J38" s="2554"/>
      <c r="K38" s="2554"/>
      <c r="L38" s="2551"/>
      <c r="M38" s="2583"/>
      <c r="N38" s="2586" t="s">
        <v>1486</v>
      </c>
      <c r="O38" s="2577"/>
      <c r="Q38" s="37" t="s">
        <v>138</v>
      </c>
      <c r="S38" s="2576"/>
    </row>
    <row r="39" spans="1:19" ht="23.4" hidden="1" customHeight="1">
      <c r="A39" s="2540"/>
      <c r="B39" s="2596"/>
      <c r="C39" s="2538"/>
      <c r="D39" s="2557"/>
      <c r="E39" s="2155"/>
      <c r="F39" s="2550"/>
      <c r="G39" s="621" t="s">
        <v>851</v>
      </c>
      <c r="H39" s="593"/>
      <c r="I39" s="2602"/>
      <c r="J39" s="2555"/>
      <c r="K39" s="2555"/>
      <c r="L39" s="2552"/>
      <c r="M39" s="2155"/>
      <c r="N39" s="2587"/>
      <c r="O39" s="2577"/>
      <c r="Q39" s="37"/>
      <c r="S39" s="81"/>
    </row>
    <row r="40" spans="1:19" ht="23.4" hidden="1" customHeight="1">
      <c r="A40" s="2540"/>
      <c r="B40" s="2596"/>
      <c r="C40" s="2538"/>
      <c r="D40" s="2557"/>
      <c r="E40" s="2155"/>
      <c r="F40" s="2550"/>
      <c r="G40" s="621" t="s">
        <v>852</v>
      </c>
      <c r="H40" s="593"/>
      <c r="I40" s="2602"/>
      <c r="J40" s="2555"/>
      <c r="K40" s="2555"/>
      <c r="L40" s="2552"/>
      <c r="M40" s="2155"/>
      <c r="N40" s="2587"/>
      <c r="O40" s="2577"/>
      <c r="Q40" s="37"/>
      <c r="S40" s="81"/>
    </row>
    <row r="41" spans="1:19" ht="23.4" hidden="1" customHeight="1">
      <c r="A41" s="2540"/>
      <c r="B41" s="2596"/>
      <c r="C41" s="2538"/>
      <c r="D41" s="2558"/>
      <c r="E41" s="2155"/>
      <c r="F41" s="2550"/>
      <c r="G41" s="621" t="s">
        <v>853</v>
      </c>
      <c r="H41" s="593"/>
      <c r="I41" s="2602"/>
      <c r="J41" s="2555"/>
      <c r="K41" s="2555"/>
      <c r="L41" s="2552"/>
      <c r="M41" s="2155"/>
      <c r="N41" s="2587"/>
      <c r="O41" s="2577"/>
      <c r="Q41" s="37"/>
      <c r="S41" s="81"/>
    </row>
    <row r="42" spans="1:19" ht="23.4" customHeight="1">
      <c r="A42" s="2540"/>
      <c r="B42" s="2596"/>
      <c r="C42" s="2486" t="s">
        <v>1493</v>
      </c>
      <c r="D42" s="1569"/>
      <c r="E42" s="1570" t="s">
        <v>785</v>
      </c>
      <c r="F42" s="1571" t="s">
        <v>786</v>
      </c>
      <c r="G42" s="1572"/>
      <c r="H42" s="1615"/>
      <c r="I42" s="1574"/>
      <c r="J42" s="1575"/>
      <c r="K42" s="1575"/>
      <c r="L42" s="1574"/>
      <c r="M42" s="2501" t="s">
        <v>1471</v>
      </c>
      <c r="N42" s="2580" t="s">
        <v>1473</v>
      </c>
      <c r="O42" s="2491" t="s">
        <v>1239</v>
      </c>
      <c r="P42" s="37"/>
      <c r="Q42" s="6"/>
    </row>
    <row r="43" spans="1:19" ht="23.4" customHeight="1">
      <c r="A43" s="2540"/>
      <c r="B43" s="2596"/>
      <c r="C43" s="2487"/>
      <c r="D43" s="1576"/>
      <c r="E43" s="1577" t="s">
        <v>787</v>
      </c>
      <c r="F43" s="1578" t="s">
        <v>788</v>
      </c>
      <c r="G43" s="1579"/>
      <c r="H43" s="1616"/>
      <c r="I43" s="1581"/>
      <c r="J43" s="1582"/>
      <c r="K43" s="1582"/>
      <c r="L43" s="1581"/>
      <c r="M43" s="2502"/>
      <c r="N43" s="2581"/>
      <c r="O43" s="2491"/>
      <c r="P43" s="37"/>
      <c r="Q43" s="6"/>
    </row>
    <row r="44" spans="1:19" ht="23.4" customHeight="1">
      <c r="A44" s="2540"/>
      <c r="B44" s="2596"/>
      <c r="C44" s="2487"/>
      <c r="D44" s="1576"/>
      <c r="E44" s="1577" t="s">
        <v>789</v>
      </c>
      <c r="F44" s="1583" t="s">
        <v>786</v>
      </c>
      <c r="G44" s="1579"/>
      <c r="H44" s="1616"/>
      <c r="I44" s="1581"/>
      <c r="J44" s="1582"/>
      <c r="K44" s="1582"/>
      <c r="L44" s="1581"/>
      <c r="M44" s="2502"/>
      <c r="N44" s="2581"/>
      <c r="O44" s="2491"/>
      <c r="P44" s="37"/>
      <c r="Q44" s="6"/>
    </row>
    <row r="45" spans="1:19" ht="23.4" customHeight="1">
      <c r="A45" s="2540"/>
      <c r="B45" s="2596"/>
      <c r="C45" s="2488"/>
      <c r="D45" s="1584"/>
      <c r="E45" s="1585" t="s">
        <v>790</v>
      </c>
      <c r="F45" s="1586" t="s">
        <v>788</v>
      </c>
      <c r="G45" s="1587"/>
      <c r="H45" s="1617"/>
      <c r="I45" s="1589"/>
      <c r="J45" s="1590"/>
      <c r="K45" s="1590"/>
      <c r="L45" s="1589"/>
      <c r="M45" s="2503"/>
      <c r="N45" s="2582"/>
      <c r="O45" s="2491"/>
      <c r="P45" s="37"/>
      <c r="Q45" s="6"/>
    </row>
    <row r="46" spans="1:19" ht="34.5" customHeight="1">
      <c r="A46" s="2541"/>
      <c r="B46" s="2039"/>
      <c r="C46" s="1877" t="s">
        <v>1636</v>
      </c>
      <c r="D46" s="1881"/>
      <c r="E46" s="1885" t="s">
        <v>1637</v>
      </c>
      <c r="F46" s="1884" t="s">
        <v>1638</v>
      </c>
      <c r="G46" s="2529" t="s">
        <v>1640</v>
      </c>
      <c r="H46" s="2530"/>
      <c r="I46" s="1882"/>
      <c r="J46" s="1883"/>
      <c r="K46" s="1883"/>
      <c r="L46" s="1882"/>
      <c r="M46" s="1878"/>
      <c r="N46" s="1887" t="s">
        <v>1647</v>
      </c>
      <c r="O46" s="1642"/>
      <c r="Q46" s="6"/>
    </row>
    <row r="47" spans="1:19" ht="23.4" customHeight="1">
      <c r="A47" s="2594" t="s">
        <v>1096</v>
      </c>
      <c r="B47" s="2206" t="s">
        <v>1242</v>
      </c>
      <c r="C47" s="2213"/>
      <c r="D47" s="625"/>
      <c r="E47" s="2525" t="s">
        <v>54</v>
      </c>
      <c r="F47" s="2523" t="s">
        <v>811</v>
      </c>
      <c r="G47" s="582" t="s">
        <v>850</v>
      </c>
      <c r="H47" s="597" t="s">
        <v>856</v>
      </c>
      <c r="I47" s="583"/>
      <c r="J47" s="583"/>
      <c r="K47" s="583"/>
      <c r="L47" s="583"/>
      <c r="M47" s="2599"/>
      <c r="N47" s="2597" t="s">
        <v>1488</v>
      </c>
      <c r="O47" s="2095" t="s">
        <v>1239</v>
      </c>
      <c r="Q47" s="6"/>
    </row>
    <row r="48" spans="1:19" ht="23.4" customHeight="1">
      <c r="A48" s="2594"/>
      <c r="B48" s="2472"/>
      <c r="C48" s="2473"/>
      <c r="D48" s="288"/>
      <c r="E48" s="2510"/>
      <c r="F48" s="2524"/>
      <c r="G48" s="584" t="s">
        <v>851</v>
      </c>
      <c r="H48" s="598" t="s">
        <v>856</v>
      </c>
      <c r="I48" s="585"/>
      <c r="J48" s="585"/>
      <c r="K48" s="585"/>
      <c r="L48" s="585"/>
      <c r="M48" s="2600"/>
      <c r="N48" s="2598"/>
      <c r="O48" s="2461"/>
      <c r="Q48" s="6"/>
    </row>
    <row r="49" spans="1:17" ht="23.4" customHeight="1">
      <c r="A49" s="2594"/>
      <c r="B49" s="2472"/>
      <c r="C49" s="2473"/>
      <c r="D49" s="282"/>
      <c r="E49" s="515" t="s">
        <v>55</v>
      </c>
      <c r="F49" s="267" t="s">
        <v>848</v>
      </c>
      <c r="G49" s="618"/>
      <c r="H49" s="355"/>
      <c r="I49" s="1382"/>
      <c r="J49" s="1382"/>
      <c r="K49" s="1382"/>
      <c r="L49" s="1382"/>
      <c r="M49" s="1611"/>
      <c r="N49" s="1594" t="s">
        <v>1476</v>
      </c>
      <c r="O49" s="2461"/>
      <c r="Q49" s="6"/>
    </row>
    <row r="50" spans="1:17" ht="23.4" customHeight="1">
      <c r="A50" s="2594"/>
      <c r="B50" s="2472"/>
      <c r="C50" s="2473"/>
      <c r="D50" s="286"/>
      <c r="E50" s="1412" t="s">
        <v>791</v>
      </c>
      <c r="F50" s="566" t="s">
        <v>792</v>
      </c>
      <c r="G50" s="567"/>
      <c r="H50" s="600"/>
      <c r="I50" s="1415"/>
      <c r="J50" s="1415"/>
      <c r="K50" s="1415"/>
      <c r="L50" s="1415"/>
      <c r="M50" s="1597"/>
      <c r="N50" s="1613" t="s">
        <v>1480</v>
      </c>
      <c r="O50" s="2559"/>
      <c r="Q50" s="6"/>
    </row>
    <row r="51" spans="1:17" ht="23.4" customHeight="1">
      <c r="A51" s="2594"/>
      <c r="B51" s="2591"/>
      <c r="C51" s="2592"/>
      <c r="D51" s="505"/>
      <c r="E51" s="1422" t="s">
        <v>793</v>
      </c>
      <c r="F51" s="269" t="s">
        <v>794</v>
      </c>
      <c r="G51" s="619"/>
      <c r="H51" s="358"/>
      <c r="I51" s="1383"/>
      <c r="J51" s="1383"/>
      <c r="K51" s="1383"/>
      <c r="L51" s="1383"/>
      <c r="M51" s="1620"/>
      <c r="N51" s="1595" t="s">
        <v>1481</v>
      </c>
      <c r="O51" s="2560"/>
      <c r="Q51" s="6"/>
    </row>
    <row r="52" spans="1:17" ht="23.4" customHeight="1">
      <c r="A52" s="2595" t="s">
        <v>1097</v>
      </c>
      <c r="B52" s="2474" t="s">
        <v>1283</v>
      </c>
      <c r="C52" s="2221"/>
      <c r="D52" s="279"/>
      <c r="E52" s="1035" t="s">
        <v>795</v>
      </c>
      <c r="F52" s="568" t="s">
        <v>796</v>
      </c>
      <c r="G52" s="569"/>
      <c r="H52" s="601"/>
      <c r="I52" s="1381"/>
      <c r="J52" s="1381"/>
      <c r="K52" s="1381"/>
      <c r="L52" s="1381"/>
      <c r="M52" s="281"/>
      <c r="N52" s="281" t="str">
        <f>"WJ"&amp;H52</f>
        <v>WJ</v>
      </c>
      <c r="O52" s="2018" t="str">
        <f>HYPERLINK(VLOOKUP(F52,LINK,2,FALSE),VLOOKUP(F52,LINK,3,FALSE))</f>
        <v>EXCEL</v>
      </c>
      <c r="P52" s="6" t="s">
        <v>1489</v>
      </c>
      <c r="Q52" s="6"/>
    </row>
    <row r="53" spans="1:17" ht="23.4" customHeight="1">
      <c r="A53" s="2595"/>
      <c r="B53" s="2221"/>
      <c r="C53" s="2221"/>
      <c r="D53" s="282"/>
      <c r="E53" s="515" t="s">
        <v>797</v>
      </c>
      <c r="F53" s="570" t="s">
        <v>798</v>
      </c>
      <c r="G53" s="571"/>
      <c r="H53" s="602"/>
      <c r="I53" s="1382"/>
      <c r="J53" s="1382"/>
      <c r="K53" s="1382"/>
      <c r="L53" s="1382"/>
      <c r="M53" s="1596"/>
      <c r="N53" s="1596" t="str">
        <f>"WW"&amp;H53</f>
        <v>WW</v>
      </c>
      <c r="O53" s="2019"/>
      <c r="P53" s="6" t="s">
        <v>1490</v>
      </c>
      <c r="Q53" s="6"/>
    </row>
    <row r="54" spans="1:17" ht="23.4" customHeight="1">
      <c r="A54" s="2595"/>
      <c r="B54" s="2221"/>
      <c r="C54" s="2221"/>
      <c r="D54" s="505"/>
      <c r="E54" s="1422" t="s">
        <v>797</v>
      </c>
      <c r="F54" s="572" t="s">
        <v>798</v>
      </c>
      <c r="G54" s="573"/>
      <c r="H54" s="603"/>
      <c r="I54" s="1383"/>
      <c r="J54" s="1383"/>
      <c r="K54" s="1383"/>
      <c r="L54" s="1383"/>
      <c r="M54" s="1620"/>
      <c r="N54" s="1620" t="str">
        <f>"WW"&amp;H54</f>
        <v>WW</v>
      </c>
      <c r="O54" s="2019"/>
      <c r="P54" s="6" t="s">
        <v>1491</v>
      </c>
      <c r="Q54" s="6"/>
    </row>
    <row r="55" spans="1:17" ht="23.4" customHeight="1">
      <c r="A55" s="2475">
        <v>1011</v>
      </c>
      <c r="B55" s="2234" t="s">
        <v>23</v>
      </c>
      <c r="C55" s="2234"/>
      <c r="D55" s="279"/>
      <c r="E55" s="1035" t="s">
        <v>158</v>
      </c>
      <c r="F55" s="2184" t="s">
        <v>159</v>
      </c>
      <c r="G55" s="2190"/>
      <c r="H55" s="2191"/>
      <c r="I55" s="279"/>
      <c r="J55" s="279"/>
      <c r="K55" s="279"/>
      <c r="L55" s="279"/>
      <c r="M55" s="287"/>
      <c r="N55" s="287"/>
      <c r="O55" s="2224" t="str">
        <f>HYPERLINK(VLOOKUP(F55,LINK,2,FALSE),VLOOKUP(F55,LINK,3,FALSE))</f>
        <v>EXCEL</v>
      </c>
      <c r="P55" s="6" t="s">
        <v>1492</v>
      </c>
      <c r="Q55" s="6"/>
    </row>
    <row r="56" spans="1:17" ht="23.4" customHeight="1">
      <c r="A56" s="2476"/>
      <c r="B56" s="2235"/>
      <c r="C56" s="2235"/>
      <c r="D56" s="282"/>
      <c r="E56" s="515" t="s">
        <v>24</v>
      </c>
      <c r="F56" s="2192" t="s">
        <v>503</v>
      </c>
      <c r="G56" s="2193"/>
      <c r="H56" s="2194"/>
      <c r="I56" s="282"/>
      <c r="J56" s="282"/>
      <c r="K56" s="282"/>
      <c r="L56" s="282"/>
      <c r="M56" s="284"/>
      <c r="N56" s="284"/>
      <c r="O56" s="2165"/>
      <c r="P56" s="37" t="s">
        <v>1120</v>
      </c>
      <c r="Q56" s="6"/>
    </row>
    <row r="57" spans="1:17" ht="35.4" customHeight="1">
      <c r="A57" s="2476"/>
      <c r="B57" s="2235"/>
      <c r="C57" s="2235"/>
      <c r="D57" s="1552"/>
      <c r="E57" s="1553" t="s">
        <v>504</v>
      </c>
      <c r="F57" s="2226" t="s">
        <v>1455</v>
      </c>
      <c r="G57" s="2227"/>
      <c r="H57" s="2227"/>
      <c r="I57" s="1552"/>
      <c r="J57" s="1552"/>
      <c r="K57" s="1552"/>
      <c r="L57" s="1552"/>
      <c r="M57" s="282"/>
      <c r="N57" s="2459" t="s">
        <v>1632</v>
      </c>
      <c r="O57" s="2165"/>
      <c r="P57" s="37"/>
      <c r="Q57" s="6"/>
    </row>
    <row r="58" spans="1:17" s="608" customFormat="1" ht="23.4" customHeight="1">
      <c r="A58" s="2477"/>
      <c r="B58" s="2236"/>
      <c r="C58" s="2236"/>
      <c r="D58" s="1555"/>
      <c r="E58" s="1556" t="s">
        <v>1453</v>
      </c>
      <c r="F58" s="2230" t="s">
        <v>1454</v>
      </c>
      <c r="G58" s="2230"/>
      <c r="H58" s="2230"/>
      <c r="I58" s="1549"/>
      <c r="J58" s="1549"/>
      <c r="K58" s="1549"/>
      <c r="L58" s="1549"/>
      <c r="M58" s="1555"/>
      <c r="N58" s="2460"/>
      <c r="O58" s="2225"/>
    </row>
    <row r="59" spans="1:17" ht="23.4" customHeight="1">
      <c r="A59" s="1417" t="s">
        <v>1324</v>
      </c>
      <c r="B59" s="2474" t="s">
        <v>1211</v>
      </c>
      <c r="C59" s="2221"/>
      <c r="D59" s="1398"/>
      <c r="E59" s="1408" t="s">
        <v>1325</v>
      </c>
      <c r="F59" s="2458" t="s">
        <v>1474</v>
      </c>
      <c r="G59" s="2458"/>
      <c r="H59" s="2458"/>
      <c r="I59" s="1397"/>
      <c r="J59" s="1397"/>
      <c r="K59" s="1397"/>
      <c r="L59" s="1397"/>
      <c r="M59" s="1612"/>
      <c r="N59" s="1598" t="s">
        <v>1475</v>
      </c>
      <c r="O59" s="1378" t="s">
        <v>1478</v>
      </c>
      <c r="Q59" s="6"/>
    </row>
    <row r="60" spans="1:17" ht="21" customHeight="1">
      <c r="A60" s="1238"/>
      <c r="B60" s="2561"/>
      <c r="C60" s="2561"/>
      <c r="D60" s="2561"/>
      <c r="E60" s="2561"/>
      <c r="F60" s="2561"/>
      <c r="G60" s="2561"/>
      <c r="H60" s="2561"/>
      <c r="I60" s="2561"/>
      <c r="J60" s="2561"/>
      <c r="K60" s="2561"/>
      <c r="L60" s="2561"/>
      <c r="M60" s="2561"/>
      <c r="N60" s="2561"/>
      <c r="O60" s="2561"/>
      <c r="Q60" s="6"/>
    </row>
    <row r="61" spans="1:17" ht="21" customHeight="1">
      <c r="A61" s="975"/>
      <c r="B61" s="2542"/>
      <c r="C61" s="2542"/>
      <c r="D61" s="2542"/>
      <c r="E61" s="2542"/>
      <c r="F61" s="2542"/>
      <c r="G61" s="2542"/>
      <c r="H61" s="2542"/>
      <c r="I61" s="2542"/>
      <c r="J61" s="2542"/>
      <c r="K61" s="2542"/>
      <c r="L61" s="2542"/>
      <c r="M61" s="2542"/>
      <c r="N61" s="2542"/>
      <c r="O61" s="2542"/>
      <c r="Q61" s="6"/>
    </row>
  </sheetData>
  <mergeCells count="95">
    <mergeCell ref="F3:G3"/>
    <mergeCell ref="H3:L3"/>
    <mergeCell ref="F4:G4"/>
    <mergeCell ref="H4:L4"/>
    <mergeCell ref="N47:N48"/>
    <mergeCell ref="F5:G5"/>
    <mergeCell ref="H5:L5"/>
    <mergeCell ref="F6:H6"/>
    <mergeCell ref="K20:K23"/>
    <mergeCell ref="M47:M48"/>
    <mergeCell ref="I38:I41"/>
    <mergeCell ref="G46:H46"/>
    <mergeCell ref="F13:H13"/>
    <mergeCell ref="F14:H14"/>
    <mergeCell ref="F15:H15"/>
    <mergeCell ref="F16:H16"/>
    <mergeCell ref="A4:A5"/>
    <mergeCell ref="A2:A3"/>
    <mergeCell ref="B47:C51"/>
    <mergeCell ref="B52:C54"/>
    <mergeCell ref="C12:C23"/>
    <mergeCell ref="C42:C45"/>
    <mergeCell ref="A9:A11"/>
    <mergeCell ref="B6:C6"/>
    <mergeCell ref="B2:E3"/>
    <mergeCell ref="B4:E5"/>
    <mergeCell ref="A47:A51"/>
    <mergeCell ref="A52:A54"/>
    <mergeCell ref="B7:C7"/>
    <mergeCell ref="B8:C8"/>
    <mergeCell ref="B9:C11"/>
    <mergeCell ref="B12:B46"/>
    <mergeCell ref="F2:G2"/>
    <mergeCell ref="H2:L2"/>
    <mergeCell ref="S12:S38"/>
    <mergeCell ref="O24:O41"/>
    <mergeCell ref="O42:O45"/>
    <mergeCell ref="O13:O23"/>
    <mergeCell ref="L20:L23"/>
    <mergeCell ref="M20:M23"/>
    <mergeCell ref="R27:R29"/>
    <mergeCell ref="N42:N45"/>
    <mergeCell ref="M38:M41"/>
    <mergeCell ref="M13:M15"/>
    <mergeCell ref="M42:M45"/>
    <mergeCell ref="N38:N41"/>
    <mergeCell ref="L38:L41"/>
    <mergeCell ref="M24:M26"/>
    <mergeCell ref="O9:O11"/>
    <mergeCell ref="O52:O54"/>
    <mergeCell ref="B60:O60"/>
    <mergeCell ref="E17:E19"/>
    <mergeCell ref="N17:N19"/>
    <mergeCell ref="M17:M19"/>
    <mergeCell ref="E20:E23"/>
    <mergeCell ref="N20:N23"/>
    <mergeCell ref="I17:I19"/>
    <mergeCell ref="L17:L19"/>
    <mergeCell ref="I20:I23"/>
    <mergeCell ref="J17:J19"/>
    <mergeCell ref="J20:J23"/>
    <mergeCell ref="N9:N11"/>
    <mergeCell ref="K17:K19"/>
    <mergeCell ref="D33:D36"/>
    <mergeCell ref="B61:O61"/>
    <mergeCell ref="M33:M36"/>
    <mergeCell ref="E33:E36"/>
    <mergeCell ref="F33:F36"/>
    <mergeCell ref="N33:N36"/>
    <mergeCell ref="F38:F41"/>
    <mergeCell ref="L33:L36"/>
    <mergeCell ref="I33:I36"/>
    <mergeCell ref="J33:J36"/>
    <mergeCell ref="J38:J41"/>
    <mergeCell ref="K33:K36"/>
    <mergeCell ref="K38:K41"/>
    <mergeCell ref="D38:D41"/>
    <mergeCell ref="O50:O51"/>
    <mergeCell ref="O47:O49"/>
    <mergeCell ref="E38:E41"/>
    <mergeCell ref="A55:A58"/>
    <mergeCell ref="F20:F23"/>
    <mergeCell ref="F47:F48"/>
    <mergeCell ref="E47:E48"/>
    <mergeCell ref="C24:C41"/>
    <mergeCell ref="B55:C58"/>
    <mergeCell ref="A12:A46"/>
    <mergeCell ref="B59:C59"/>
    <mergeCell ref="F59:H59"/>
    <mergeCell ref="O55:O58"/>
    <mergeCell ref="F56:H56"/>
    <mergeCell ref="F57:H57"/>
    <mergeCell ref="N57:N58"/>
    <mergeCell ref="F58:H58"/>
    <mergeCell ref="F55:H55"/>
  </mergeCells>
  <phoneticPr fontId="2"/>
  <hyperlinks>
    <hyperlink ref="O42" r:id="rId1" display="E"/>
    <hyperlink ref="A1:Q1" location="TEMPLATE!A1" display="DT/組切削のみ"/>
  </hyperlinks>
  <pageMargins left="0.51181102362204722" right="0.70866141732283472" top="0" bottom="0" header="0.31496062992125984" footer="0.31496062992125984"/>
  <pageSetup paperSize="9" scale="54" orientation="landscape"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S65"/>
  <sheetViews>
    <sheetView showGridLines="0" view="pageBreakPreview" zoomScale="70" zoomScaleNormal="115" zoomScaleSheetLayoutView="70" workbookViewId="0">
      <selection activeCell="B2" sqref="B2:E3"/>
    </sheetView>
  </sheetViews>
  <sheetFormatPr defaultColWidth="9" defaultRowHeight="13.2"/>
  <cols>
    <col min="1" max="1" width="9.5" style="6" bestFit="1" customWidth="1"/>
    <col min="2" max="2" width="28.19921875" style="6" bestFit="1" customWidth="1"/>
    <col min="3" max="3" width="8.5" style="6" bestFit="1" customWidth="1"/>
    <col min="4" max="4" width="5.59765625" style="6" customWidth="1"/>
    <col min="5" max="5" width="22.19921875" style="6" bestFit="1" customWidth="1"/>
    <col min="6" max="6" width="12.59765625" style="6" bestFit="1" customWidth="1"/>
    <col min="7" max="7" width="7.5" style="6" customWidth="1"/>
    <col min="8" max="8" width="5.59765625" style="6" customWidth="1"/>
    <col min="9" max="10" width="5.59765625" style="552" customWidth="1"/>
    <col min="11" max="12" width="5.59765625" style="6" customWidth="1"/>
    <col min="13" max="13" width="17.19921875" style="6" customWidth="1"/>
    <col min="14" max="14" width="62.8984375" style="6" customWidth="1"/>
    <col min="15" max="15" width="6.69921875" style="6" bestFit="1" customWidth="1"/>
    <col min="16" max="16" width="33" style="6" bestFit="1" customWidth="1"/>
    <col min="17" max="17" width="6.8984375" style="6" bestFit="1" customWidth="1"/>
    <col min="18" max="18" width="6.5" style="6" bestFit="1" customWidth="1"/>
    <col min="19" max="19" width="33.8984375" style="6" bestFit="1" customWidth="1"/>
    <col min="20" max="16384" width="9" style="6"/>
  </cols>
  <sheetData>
    <row r="1" spans="1:17">
      <c r="A1" s="835" t="s">
        <v>1068</v>
      </c>
      <c r="B1" s="835"/>
      <c r="C1" s="835"/>
      <c r="D1" s="835"/>
      <c r="E1" s="835"/>
      <c r="F1" s="835"/>
      <c r="G1" s="835"/>
      <c r="H1" s="835"/>
      <c r="I1" s="835"/>
      <c r="J1" s="835"/>
      <c r="K1" s="835"/>
      <c r="L1" s="835"/>
      <c r="M1" s="835"/>
      <c r="N1" s="835"/>
      <c r="O1" s="835"/>
      <c r="P1" s="835"/>
      <c r="Q1" s="835"/>
    </row>
    <row r="2" spans="1:17" ht="30" customHeight="1">
      <c r="A2" s="2282" t="s">
        <v>5</v>
      </c>
      <c r="B2" s="2144"/>
      <c r="C2" s="2144"/>
      <c r="D2" s="2144"/>
      <c r="E2" s="2144"/>
      <c r="F2" s="2006" t="s">
        <v>1391</v>
      </c>
      <c r="G2" s="2006"/>
      <c r="H2" s="2017"/>
      <c r="I2" s="2017"/>
      <c r="J2" s="2017"/>
      <c r="K2" s="2017"/>
      <c r="L2" s="2017"/>
      <c r="M2" s="1629" t="s">
        <v>1187</v>
      </c>
      <c r="N2" s="1421" t="s">
        <v>1393</v>
      </c>
      <c r="O2" s="1405"/>
    </row>
    <row r="3" spans="1:17" ht="30" customHeight="1">
      <c r="A3" s="2283"/>
      <c r="B3" s="2144"/>
      <c r="C3" s="2144"/>
      <c r="D3" s="2144"/>
      <c r="E3" s="2144"/>
      <c r="F3" s="2006" t="s">
        <v>1371</v>
      </c>
      <c r="G3" s="2006"/>
      <c r="H3" s="2017"/>
      <c r="I3" s="2017"/>
      <c r="J3" s="2017"/>
      <c r="K3" s="2017"/>
      <c r="L3" s="2017"/>
      <c r="M3" s="1630"/>
      <c r="N3" s="1399"/>
      <c r="O3" s="839"/>
    </row>
    <row r="4" spans="1:17" ht="30" customHeight="1">
      <c r="A4" s="2282" t="s">
        <v>38</v>
      </c>
      <c r="B4" s="2144"/>
      <c r="C4" s="2144"/>
      <c r="D4" s="2144"/>
      <c r="E4" s="2144"/>
      <c r="F4" s="2007" t="s">
        <v>1392</v>
      </c>
      <c r="G4" s="2007"/>
      <c r="H4" s="2017"/>
      <c r="I4" s="2017"/>
      <c r="J4" s="2017"/>
      <c r="K4" s="2017"/>
      <c r="L4" s="2017"/>
      <c r="M4" s="1630"/>
      <c r="N4" s="1399"/>
      <c r="O4" s="839"/>
    </row>
    <row r="5" spans="1:17" ht="30" customHeight="1">
      <c r="A5" s="2283"/>
      <c r="B5" s="2144"/>
      <c r="C5" s="2144"/>
      <c r="D5" s="2144"/>
      <c r="E5" s="2144"/>
      <c r="F5" s="2008" t="s">
        <v>1372</v>
      </c>
      <c r="G5" s="2008"/>
      <c r="H5" s="2017"/>
      <c r="I5" s="2017"/>
      <c r="J5" s="2017"/>
      <c r="K5" s="2017"/>
      <c r="L5" s="2017"/>
      <c r="M5" s="1630"/>
      <c r="N5" s="1399"/>
      <c r="O5" s="839"/>
    </row>
    <row r="6" spans="1:17" ht="60" customHeight="1">
      <c r="A6" s="1631" t="s">
        <v>1227</v>
      </c>
      <c r="B6" s="2284" t="s">
        <v>6</v>
      </c>
      <c r="C6" s="2285"/>
      <c r="D6" s="1632" t="s">
        <v>1407</v>
      </c>
      <c r="E6" s="1633" t="s">
        <v>64</v>
      </c>
      <c r="F6" s="2279" t="s">
        <v>1</v>
      </c>
      <c r="G6" s="2280"/>
      <c r="H6" s="2281"/>
      <c r="I6" s="1634" t="s">
        <v>66</v>
      </c>
      <c r="J6" s="1634" t="s">
        <v>1376</v>
      </c>
      <c r="K6" s="1635" t="s">
        <v>1377</v>
      </c>
      <c r="L6" s="1635" t="s">
        <v>1375</v>
      </c>
      <c r="M6" s="630" t="s">
        <v>1378</v>
      </c>
      <c r="N6" s="630" t="s">
        <v>1387</v>
      </c>
      <c r="O6" s="1322" t="s">
        <v>1379</v>
      </c>
    </row>
    <row r="7" spans="1:17" s="5" customFormat="1" ht="23.4" customHeight="1">
      <c r="A7" s="1417" t="s">
        <v>1093</v>
      </c>
      <c r="B7" s="2515" t="s">
        <v>830</v>
      </c>
      <c r="C7" s="2516"/>
      <c r="D7" s="1418"/>
      <c r="E7" s="1418" t="s">
        <v>98</v>
      </c>
      <c r="F7" s="605" t="s">
        <v>92</v>
      </c>
      <c r="G7" s="553"/>
      <c r="H7" s="586"/>
      <c r="I7" s="1418"/>
      <c r="J7" s="1418"/>
      <c r="K7" s="1418"/>
      <c r="L7" s="533"/>
      <c r="M7" s="1418"/>
      <c r="N7" s="1621" t="s">
        <v>1483</v>
      </c>
      <c r="O7" s="1614"/>
    </row>
    <row r="8" spans="1:17" s="5" customFormat="1" ht="23.4" customHeight="1">
      <c r="A8" s="1417" t="s">
        <v>1094</v>
      </c>
      <c r="B8" s="2515" t="s">
        <v>455</v>
      </c>
      <c r="C8" s="2516"/>
      <c r="D8" s="1380"/>
      <c r="E8" s="1380" t="s">
        <v>456</v>
      </c>
      <c r="F8" s="606" t="s">
        <v>834</v>
      </c>
      <c r="G8" s="616"/>
      <c r="H8" s="587"/>
      <c r="I8" s="1380"/>
      <c r="J8" s="1380"/>
      <c r="K8" s="1380"/>
      <c r="L8" s="1418"/>
      <c r="M8" s="1380"/>
      <c r="N8" s="1622"/>
      <c r="O8" s="92" t="str">
        <f>HYPERLINK(VLOOKUP(F8,LINK,2,FALSE),VLOOKUP(F8,LINK,3,FALSE))</f>
        <v>EXCEL</v>
      </c>
    </row>
    <row r="9" spans="1:17" ht="23.4" customHeight="1">
      <c r="A9" s="2521" t="s">
        <v>1095</v>
      </c>
      <c r="B9" s="2212" t="s">
        <v>39</v>
      </c>
      <c r="C9" s="2213"/>
      <c r="D9" s="279"/>
      <c r="E9" s="1035" t="s">
        <v>40</v>
      </c>
      <c r="F9" s="263" t="s">
        <v>835</v>
      </c>
      <c r="G9" s="617"/>
      <c r="H9" s="352"/>
      <c r="I9" s="1381"/>
      <c r="J9" s="1381"/>
      <c r="K9" s="1381"/>
      <c r="L9" s="280"/>
      <c r="M9" s="1601" t="str">
        <f>"SD"&amp;G9</f>
        <v>SD</v>
      </c>
      <c r="N9" s="2571" t="s">
        <v>1482</v>
      </c>
      <c r="O9" s="2478"/>
    </row>
    <row r="10" spans="1:17" ht="23.4" customHeight="1">
      <c r="A10" s="2522"/>
      <c r="B10" s="2472"/>
      <c r="C10" s="2473"/>
      <c r="D10" s="282"/>
      <c r="E10" s="515" t="s">
        <v>41</v>
      </c>
      <c r="F10" s="267" t="s">
        <v>836</v>
      </c>
      <c r="G10" s="618"/>
      <c r="H10" s="355"/>
      <c r="I10" s="1382"/>
      <c r="J10" s="1382"/>
      <c r="K10" s="1382"/>
      <c r="L10" s="611"/>
      <c r="M10" s="1602" t="str">
        <f>"DP"&amp;G10</f>
        <v>DP</v>
      </c>
      <c r="N10" s="2572"/>
      <c r="O10" s="2479"/>
    </row>
    <row r="11" spans="1:17" ht="23.4" customHeight="1">
      <c r="A11" s="2522"/>
      <c r="B11" s="2591"/>
      <c r="C11" s="2592"/>
      <c r="D11" s="505"/>
      <c r="E11" s="1422" t="s">
        <v>42</v>
      </c>
      <c r="F11" s="269" t="s">
        <v>837</v>
      </c>
      <c r="G11" s="619"/>
      <c r="H11" s="358"/>
      <c r="I11" s="1383"/>
      <c r="J11" s="1383"/>
      <c r="K11" s="1383"/>
      <c r="L11" s="612"/>
      <c r="M11" s="1603" t="str">
        <f>"GP"&amp;G11</f>
        <v>GP</v>
      </c>
      <c r="N11" s="2573"/>
      <c r="O11" s="2479"/>
    </row>
    <row r="12" spans="1:17" ht="42" customHeight="1">
      <c r="A12" s="2595" t="s">
        <v>1092</v>
      </c>
      <c r="B12" s="2451" t="s">
        <v>1284</v>
      </c>
      <c r="C12" s="2537" t="s">
        <v>1103</v>
      </c>
      <c r="D12" s="1398"/>
      <c r="E12" s="1407" t="s">
        <v>868</v>
      </c>
      <c r="F12" s="626" t="s">
        <v>838</v>
      </c>
      <c r="G12" s="620"/>
      <c r="H12" s="627"/>
      <c r="I12" s="1397"/>
      <c r="J12" s="1397"/>
      <c r="K12" s="1397"/>
      <c r="L12" s="1397"/>
      <c r="M12" s="1612"/>
      <c r="N12" s="1398"/>
      <c r="O12" s="1378" t="s">
        <v>1240</v>
      </c>
      <c r="P12" s="1142" t="s">
        <v>103</v>
      </c>
      <c r="Q12" s="2611" t="s">
        <v>152</v>
      </c>
    </row>
    <row r="13" spans="1:17" ht="23.4" customHeight="1">
      <c r="A13" s="2595"/>
      <c r="B13" s="2596"/>
      <c r="C13" s="2538"/>
      <c r="D13" s="279"/>
      <c r="E13" s="1035" t="s">
        <v>43</v>
      </c>
      <c r="F13" s="263" t="s">
        <v>839</v>
      </c>
      <c r="G13" s="617"/>
      <c r="H13" s="352"/>
      <c r="I13" s="1381"/>
      <c r="J13" s="1381"/>
      <c r="K13" s="1381"/>
      <c r="L13" s="1381"/>
      <c r="M13" s="2613" t="s">
        <v>1468</v>
      </c>
      <c r="N13" s="279"/>
      <c r="O13" s="2018" t="str">
        <f>HYPERLINK(VLOOKUP(F13,LINK,2,FALSE),VLOOKUP(F13,LINK,3,FALSE))</f>
        <v>EXCEL</v>
      </c>
      <c r="P13" s="1143" t="s">
        <v>103</v>
      </c>
      <c r="Q13" s="2612"/>
    </row>
    <row r="14" spans="1:17" ht="23.4" customHeight="1">
      <c r="A14" s="2595"/>
      <c r="B14" s="2596"/>
      <c r="C14" s="2538"/>
      <c r="D14" s="282"/>
      <c r="E14" s="515" t="s">
        <v>44</v>
      </c>
      <c r="F14" s="267" t="s">
        <v>840</v>
      </c>
      <c r="G14" s="618"/>
      <c r="H14" s="355"/>
      <c r="I14" s="1382"/>
      <c r="J14" s="1382"/>
      <c r="K14" s="1382"/>
      <c r="L14" s="1382"/>
      <c r="M14" s="2614"/>
      <c r="N14" s="282"/>
      <c r="O14" s="2019"/>
      <c r="P14" s="1143" t="s">
        <v>103</v>
      </c>
      <c r="Q14" s="2612"/>
    </row>
    <row r="15" spans="1:17" ht="23.4" customHeight="1">
      <c r="A15" s="2595"/>
      <c r="B15" s="2596"/>
      <c r="C15" s="2538"/>
      <c r="D15" s="282"/>
      <c r="E15" s="515" t="s">
        <v>45</v>
      </c>
      <c r="F15" s="267" t="s">
        <v>841</v>
      </c>
      <c r="G15" s="618"/>
      <c r="H15" s="355"/>
      <c r="I15" s="1382"/>
      <c r="J15" s="1382"/>
      <c r="K15" s="1382"/>
      <c r="L15" s="1382"/>
      <c r="M15" s="2615"/>
      <c r="N15" s="282"/>
      <c r="O15" s="2019"/>
      <c r="P15" s="1143" t="s">
        <v>103</v>
      </c>
      <c r="Q15" s="2612"/>
    </row>
    <row r="16" spans="1:17" ht="23.4" customHeight="1">
      <c r="A16" s="2595"/>
      <c r="B16" s="2596"/>
      <c r="C16" s="2538"/>
      <c r="D16" s="282"/>
      <c r="E16" s="515" t="s">
        <v>46</v>
      </c>
      <c r="F16" s="267" t="s">
        <v>842</v>
      </c>
      <c r="G16" s="618"/>
      <c r="H16" s="355"/>
      <c r="I16" s="1382"/>
      <c r="J16" s="1382"/>
      <c r="K16" s="1382"/>
      <c r="L16" s="1382"/>
      <c r="M16" s="1596"/>
      <c r="N16" s="282"/>
      <c r="O16" s="2019"/>
      <c r="P16" s="1143" t="s">
        <v>103</v>
      </c>
      <c r="Q16" s="2612"/>
    </row>
    <row r="17" spans="1:17" ht="23.4" hidden="1" customHeight="1">
      <c r="A17" s="2595"/>
      <c r="B17" s="2596"/>
      <c r="C17" s="2538"/>
      <c r="D17" s="286"/>
      <c r="E17" s="2543" t="s">
        <v>47</v>
      </c>
      <c r="F17" s="2511" t="s">
        <v>802</v>
      </c>
      <c r="G17" s="574" t="s">
        <v>864</v>
      </c>
      <c r="H17" s="592"/>
      <c r="I17" s="2504"/>
      <c r="J17" s="2518"/>
      <c r="K17" s="2518"/>
      <c r="L17" s="2504"/>
      <c r="M17" s="2468"/>
      <c r="N17" s="2468" t="s">
        <v>1494</v>
      </c>
      <c r="O17" s="2019"/>
      <c r="P17" s="1143" t="s">
        <v>103</v>
      </c>
      <c r="Q17" s="2612"/>
    </row>
    <row r="18" spans="1:17" ht="23.4" hidden="1" customHeight="1">
      <c r="A18" s="2595"/>
      <c r="B18" s="2596"/>
      <c r="C18" s="2538"/>
      <c r="D18" s="613"/>
      <c r="E18" s="2253"/>
      <c r="F18" s="2512"/>
      <c r="G18" s="576" t="s">
        <v>853</v>
      </c>
      <c r="H18" s="593"/>
      <c r="I18" s="2439"/>
      <c r="J18" s="2519"/>
      <c r="K18" s="2519"/>
      <c r="L18" s="2439"/>
      <c r="M18" s="2469"/>
      <c r="N18" s="2469"/>
      <c r="O18" s="2019"/>
      <c r="P18" s="1143"/>
      <c r="Q18" s="2612"/>
    </row>
    <row r="19" spans="1:17" ht="23.4" hidden="1" customHeight="1">
      <c r="A19" s="2595"/>
      <c r="B19" s="2596"/>
      <c r="C19" s="2538"/>
      <c r="D19" s="288"/>
      <c r="E19" s="2544"/>
      <c r="F19" s="2545"/>
      <c r="G19" s="580" t="s">
        <v>852</v>
      </c>
      <c r="H19" s="594"/>
      <c r="I19" s="2505"/>
      <c r="J19" s="2520"/>
      <c r="K19" s="2520"/>
      <c r="L19" s="2505"/>
      <c r="M19" s="2517"/>
      <c r="N19" s="2517"/>
      <c r="O19" s="2019"/>
      <c r="P19" s="1143"/>
      <c r="Q19" s="2612"/>
    </row>
    <row r="20" spans="1:17" ht="23.4" hidden="1" customHeight="1">
      <c r="A20" s="2595"/>
      <c r="B20" s="2596"/>
      <c r="C20" s="2538"/>
      <c r="D20" s="286"/>
      <c r="E20" s="2543" t="s">
        <v>48</v>
      </c>
      <c r="F20" s="2511" t="s">
        <v>808</v>
      </c>
      <c r="G20" s="574" t="s">
        <v>865</v>
      </c>
      <c r="H20" s="592"/>
      <c r="I20" s="2504"/>
      <c r="J20" s="2518"/>
      <c r="K20" s="2518"/>
      <c r="L20" s="2504"/>
      <c r="M20" s="2468"/>
      <c r="N20" s="2468" t="s">
        <v>1495</v>
      </c>
      <c r="O20" s="2019"/>
      <c r="P20" s="1143" t="s">
        <v>103</v>
      </c>
      <c r="Q20" s="2612"/>
    </row>
    <row r="21" spans="1:17" ht="23.4" hidden="1" customHeight="1">
      <c r="A21" s="2595"/>
      <c r="B21" s="2596"/>
      <c r="C21" s="2538"/>
      <c r="D21" s="613"/>
      <c r="E21" s="2253"/>
      <c r="F21" s="2512"/>
      <c r="G21" s="576" t="s">
        <v>866</v>
      </c>
      <c r="H21" s="593"/>
      <c r="I21" s="2439"/>
      <c r="J21" s="2519"/>
      <c r="K21" s="2519"/>
      <c r="L21" s="2439"/>
      <c r="M21" s="2469"/>
      <c r="N21" s="2469"/>
      <c r="O21" s="2019"/>
      <c r="P21" s="48"/>
      <c r="Q21" s="259"/>
    </row>
    <row r="22" spans="1:17" ht="23.4" hidden="1" customHeight="1">
      <c r="A22" s="2595"/>
      <c r="B22" s="2596"/>
      <c r="C22" s="2538"/>
      <c r="D22" s="613"/>
      <c r="E22" s="2253"/>
      <c r="F22" s="2512"/>
      <c r="G22" s="576" t="s">
        <v>851</v>
      </c>
      <c r="H22" s="593"/>
      <c r="I22" s="2439"/>
      <c r="J22" s="2519"/>
      <c r="K22" s="2519"/>
      <c r="L22" s="2439"/>
      <c r="M22" s="2469"/>
      <c r="N22" s="2469"/>
      <c r="O22" s="2019"/>
      <c r="P22" s="48"/>
      <c r="Q22" s="259"/>
    </row>
    <row r="23" spans="1:17" ht="23.4" hidden="1" customHeight="1">
      <c r="A23" s="2595"/>
      <c r="B23" s="2596"/>
      <c r="C23" s="2593"/>
      <c r="D23" s="624"/>
      <c r="E23" s="2254"/>
      <c r="F23" s="2513"/>
      <c r="G23" s="578" t="s">
        <v>867</v>
      </c>
      <c r="H23" s="595"/>
      <c r="I23" s="2163"/>
      <c r="J23" s="2528"/>
      <c r="K23" s="2528"/>
      <c r="L23" s="2163"/>
      <c r="M23" s="2470"/>
      <c r="N23" s="2470"/>
      <c r="O23" s="2020"/>
      <c r="P23" s="48"/>
      <c r="Q23" s="259"/>
    </row>
    <row r="24" spans="1:17" ht="23.4" customHeight="1">
      <c r="A24" s="2595"/>
      <c r="B24" s="2596"/>
      <c r="C24" s="2486" t="s">
        <v>1493</v>
      </c>
      <c r="D24" s="1569"/>
      <c r="E24" s="1570" t="s">
        <v>767</v>
      </c>
      <c r="F24" s="1571" t="s">
        <v>768</v>
      </c>
      <c r="G24" s="1572"/>
      <c r="H24" s="1573"/>
      <c r="I24" s="1574"/>
      <c r="J24" s="1575"/>
      <c r="K24" s="1575"/>
      <c r="L24" s="1574"/>
      <c r="M24" s="2501" t="s">
        <v>1471</v>
      </c>
      <c r="N24" s="2580" t="s">
        <v>1473</v>
      </c>
      <c r="O24" s="2491" t="str">
        <f>HYPERLINK(VLOOKUP(F24,LINK,2,FALSE),VLOOKUP(F24,LINK,3,FALSE))</f>
        <v>EXCEL</v>
      </c>
      <c r="P24" s="37"/>
    </row>
    <row r="25" spans="1:17" ht="23.4" customHeight="1">
      <c r="A25" s="2595"/>
      <c r="B25" s="2596"/>
      <c r="C25" s="2487"/>
      <c r="D25" s="1576"/>
      <c r="E25" s="1577" t="s">
        <v>769</v>
      </c>
      <c r="F25" s="1578" t="s">
        <v>770</v>
      </c>
      <c r="G25" s="1579"/>
      <c r="H25" s="1580"/>
      <c r="I25" s="1581"/>
      <c r="J25" s="1582"/>
      <c r="K25" s="1582"/>
      <c r="L25" s="1581"/>
      <c r="M25" s="2502"/>
      <c r="N25" s="2581"/>
      <c r="O25" s="2491"/>
      <c r="P25" s="37"/>
    </row>
    <row r="26" spans="1:17" ht="23.4" customHeight="1">
      <c r="A26" s="2595"/>
      <c r="B26" s="2596"/>
      <c r="C26" s="2487"/>
      <c r="D26" s="1576"/>
      <c r="E26" s="1577" t="s">
        <v>771</v>
      </c>
      <c r="F26" s="1583" t="s">
        <v>768</v>
      </c>
      <c r="G26" s="1579"/>
      <c r="H26" s="1580"/>
      <c r="I26" s="1581"/>
      <c r="J26" s="1582"/>
      <c r="K26" s="1582"/>
      <c r="L26" s="1581"/>
      <c r="M26" s="2502"/>
      <c r="N26" s="2581"/>
      <c r="O26" s="2491"/>
      <c r="P26" s="37"/>
    </row>
    <row r="27" spans="1:17" ht="23.4" customHeight="1">
      <c r="A27" s="2595"/>
      <c r="B27" s="2039"/>
      <c r="C27" s="2488"/>
      <c r="D27" s="1584"/>
      <c r="E27" s="1585" t="s">
        <v>772</v>
      </c>
      <c r="F27" s="1586" t="s">
        <v>770</v>
      </c>
      <c r="G27" s="1587"/>
      <c r="H27" s="1588"/>
      <c r="I27" s="1589"/>
      <c r="J27" s="1590"/>
      <c r="K27" s="1590"/>
      <c r="L27" s="1589"/>
      <c r="M27" s="2503"/>
      <c r="N27" s="2582"/>
      <c r="O27" s="2491"/>
      <c r="P27" s="37"/>
    </row>
    <row r="28" spans="1:17" ht="23.4" customHeight="1">
      <c r="A28" s="2594" t="s">
        <v>1096</v>
      </c>
      <c r="B28" s="2206" t="s">
        <v>1242</v>
      </c>
      <c r="C28" s="2213"/>
      <c r="D28" s="625"/>
      <c r="E28" s="2525" t="s">
        <v>54</v>
      </c>
      <c r="F28" s="2523" t="s">
        <v>811</v>
      </c>
      <c r="G28" s="582" t="s">
        <v>850</v>
      </c>
      <c r="H28" s="597" t="s">
        <v>391</v>
      </c>
      <c r="I28" s="583"/>
      <c r="J28" s="583"/>
      <c r="K28" s="583"/>
      <c r="L28" s="2607"/>
      <c r="M28" s="2599"/>
      <c r="N28" s="2609" t="s">
        <v>1488</v>
      </c>
      <c r="O28" s="2095" t="s">
        <v>1240</v>
      </c>
      <c r="P28" s="1144"/>
    </row>
    <row r="29" spans="1:17" ht="23.4" customHeight="1">
      <c r="A29" s="2594"/>
      <c r="B29" s="2472"/>
      <c r="C29" s="2473"/>
      <c r="D29" s="288"/>
      <c r="E29" s="2510"/>
      <c r="F29" s="2524"/>
      <c r="G29" s="584" t="s">
        <v>851</v>
      </c>
      <c r="H29" s="598" t="s">
        <v>391</v>
      </c>
      <c r="I29" s="585"/>
      <c r="J29" s="585"/>
      <c r="K29" s="585"/>
      <c r="L29" s="2608"/>
      <c r="M29" s="2600"/>
      <c r="N29" s="2610"/>
      <c r="O29" s="2461"/>
      <c r="P29" s="1144"/>
    </row>
    <row r="30" spans="1:17" ht="23.4" customHeight="1">
      <c r="A30" s="2594"/>
      <c r="B30" s="2472"/>
      <c r="C30" s="2473"/>
      <c r="D30" s="282"/>
      <c r="E30" s="515" t="s">
        <v>55</v>
      </c>
      <c r="F30" s="267" t="s">
        <v>848</v>
      </c>
      <c r="G30" s="618"/>
      <c r="H30" s="355"/>
      <c r="I30" s="1382"/>
      <c r="J30" s="1382"/>
      <c r="K30" s="1382"/>
      <c r="L30" s="1382"/>
      <c r="M30" s="1611"/>
      <c r="N30" s="1594" t="s">
        <v>1476</v>
      </c>
      <c r="O30" s="2461"/>
      <c r="P30" s="1144"/>
    </row>
    <row r="31" spans="1:17" ht="23.4" customHeight="1">
      <c r="A31" s="2594"/>
      <c r="B31" s="2472"/>
      <c r="C31" s="2473"/>
      <c r="D31" s="286"/>
      <c r="E31" s="1412" t="s">
        <v>101</v>
      </c>
      <c r="F31" s="566" t="s">
        <v>774</v>
      </c>
      <c r="G31" s="567"/>
      <c r="H31" s="600"/>
      <c r="I31" s="1415"/>
      <c r="J31" s="1415"/>
      <c r="K31" s="1415"/>
      <c r="L31" s="1415"/>
      <c r="M31" s="1597"/>
      <c r="N31" s="1613" t="s">
        <v>1480</v>
      </c>
      <c r="O31" s="2461"/>
      <c r="P31" s="1144"/>
    </row>
    <row r="32" spans="1:17" ht="23.4" customHeight="1">
      <c r="A32" s="2594"/>
      <c r="B32" s="2591"/>
      <c r="C32" s="2592"/>
      <c r="D32" s="505"/>
      <c r="E32" s="1422" t="s">
        <v>775</v>
      </c>
      <c r="F32" s="269" t="s">
        <v>776</v>
      </c>
      <c r="G32" s="619"/>
      <c r="H32" s="358"/>
      <c r="I32" s="1383"/>
      <c r="J32" s="1383"/>
      <c r="K32" s="1383"/>
      <c r="L32" s="1383"/>
      <c r="M32" s="1620"/>
      <c r="N32" s="1595" t="s">
        <v>1481</v>
      </c>
      <c r="O32" s="258"/>
      <c r="P32" s="1145"/>
    </row>
    <row r="33" spans="1:18" ht="23.4" customHeight="1">
      <c r="A33" s="2539" t="s">
        <v>1105</v>
      </c>
      <c r="B33" s="2451" t="s">
        <v>1496</v>
      </c>
      <c r="C33" s="2537" t="s">
        <v>1104</v>
      </c>
      <c r="D33" s="279"/>
      <c r="E33" s="1035" t="s">
        <v>49</v>
      </c>
      <c r="F33" s="263" t="s">
        <v>843</v>
      </c>
      <c r="G33" s="617"/>
      <c r="H33" s="352"/>
      <c r="I33" s="1381"/>
      <c r="J33" s="1381"/>
      <c r="K33" s="1381"/>
      <c r="L33" s="1381"/>
      <c r="M33" s="2588" t="s">
        <v>1485</v>
      </c>
      <c r="N33" s="1627" t="s">
        <v>1635</v>
      </c>
      <c r="O33" s="2577" t="str">
        <f>HYPERLINK(VLOOKUP(F33,LINK,2,FALSE),VLOOKUP(F33,LINK,3,FALSE))</f>
        <v>EXCEL</v>
      </c>
      <c r="P33" s="1142" t="s">
        <v>103</v>
      </c>
      <c r="Q33" s="2611" t="s">
        <v>153</v>
      </c>
    </row>
    <row r="34" spans="1:18" ht="23.4" customHeight="1">
      <c r="A34" s="2540"/>
      <c r="B34" s="2596"/>
      <c r="C34" s="2538"/>
      <c r="D34" s="282"/>
      <c r="E34" s="515" t="s">
        <v>50</v>
      </c>
      <c r="F34" s="1869" t="s">
        <v>844</v>
      </c>
      <c r="G34" s="618"/>
      <c r="H34" s="355"/>
      <c r="I34" s="1382"/>
      <c r="J34" s="1382"/>
      <c r="K34" s="1382"/>
      <c r="L34" s="1382"/>
      <c r="M34" s="2589"/>
      <c r="N34" s="1628"/>
      <c r="O34" s="2577"/>
      <c r="P34" s="1143" t="s">
        <v>103</v>
      </c>
      <c r="Q34" s="2612"/>
    </row>
    <row r="35" spans="1:18" ht="23.4" customHeight="1">
      <c r="A35" s="2540"/>
      <c r="B35" s="2596"/>
      <c r="C35" s="2538"/>
      <c r="D35" s="1870"/>
      <c r="E35" s="1872" t="s">
        <v>49</v>
      </c>
      <c r="F35" s="622" t="s">
        <v>843</v>
      </c>
      <c r="G35" s="618"/>
      <c r="H35" s="355"/>
      <c r="I35" s="1871"/>
      <c r="J35" s="1871"/>
      <c r="K35" s="1871"/>
      <c r="L35" s="1871"/>
      <c r="M35" s="2589"/>
      <c r="N35" s="1628" t="s">
        <v>1628</v>
      </c>
      <c r="O35" s="2577"/>
      <c r="P35" s="1143"/>
      <c r="Q35" s="2612"/>
    </row>
    <row r="36" spans="1:18" ht="23.4" customHeight="1">
      <c r="A36" s="2540"/>
      <c r="B36" s="2596"/>
      <c r="C36" s="2538"/>
      <c r="D36" s="282"/>
      <c r="E36" s="515" t="s">
        <v>51</v>
      </c>
      <c r="F36" s="267" t="s">
        <v>845</v>
      </c>
      <c r="G36" s="618"/>
      <c r="H36" s="355"/>
      <c r="I36" s="1382"/>
      <c r="J36" s="1382"/>
      <c r="K36" s="1382"/>
      <c r="L36" s="1382"/>
      <c r="M36" s="2590"/>
      <c r="N36" s="1628"/>
      <c r="O36" s="2577"/>
      <c r="P36" s="1143" t="s">
        <v>103</v>
      </c>
      <c r="Q36" s="2612"/>
    </row>
    <row r="37" spans="1:18" ht="23.4" customHeight="1">
      <c r="A37" s="2540"/>
      <c r="B37" s="2596"/>
      <c r="C37" s="2538"/>
      <c r="D37" s="282"/>
      <c r="E37" s="515" t="s">
        <v>93</v>
      </c>
      <c r="F37" s="566" t="s">
        <v>860</v>
      </c>
      <c r="G37" s="567"/>
      <c r="H37" s="600" t="s">
        <v>391</v>
      </c>
      <c r="I37" s="1382"/>
      <c r="J37" s="1382"/>
      <c r="K37" s="1382"/>
      <c r="L37" s="1382"/>
      <c r="M37" s="282"/>
      <c r="N37" s="1623"/>
      <c r="O37" s="2577"/>
      <c r="P37" s="1143" t="s">
        <v>103</v>
      </c>
      <c r="Q37" s="2612"/>
      <c r="R37" s="38"/>
    </row>
    <row r="38" spans="1:18" ht="23.4" hidden="1" customHeight="1">
      <c r="A38" s="2540"/>
      <c r="B38" s="2596"/>
      <c r="C38" s="2538"/>
      <c r="D38" s="282"/>
      <c r="E38" s="515" t="s">
        <v>91</v>
      </c>
      <c r="F38" s="267" t="s">
        <v>861</v>
      </c>
      <c r="G38" s="618"/>
      <c r="H38" s="355" t="s">
        <v>392</v>
      </c>
      <c r="I38" s="1382"/>
      <c r="J38" s="611"/>
      <c r="K38" s="611"/>
      <c r="L38" s="1382"/>
      <c r="M38" s="515"/>
      <c r="N38" s="1624"/>
      <c r="O38" s="2577"/>
      <c r="P38" s="1144"/>
      <c r="Q38" s="2612"/>
      <c r="R38" s="38"/>
    </row>
    <row r="39" spans="1:18" ht="23.4" hidden="1" customHeight="1">
      <c r="A39" s="2540"/>
      <c r="B39" s="2596"/>
      <c r="C39" s="2538"/>
      <c r="D39" s="282"/>
      <c r="E39" s="515" t="s">
        <v>504</v>
      </c>
      <c r="F39" s="267" t="s">
        <v>861</v>
      </c>
      <c r="G39" s="618"/>
      <c r="H39" s="355" t="s">
        <v>390</v>
      </c>
      <c r="I39" s="1382"/>
      <c r="J39" s="611"/>
      <c r="K39" s="611"/>
      <c r="L39" s="1382"/>
      <c r="M39" s="515"/>
      <c r="N39" s="1624"/>
      <c r="O39" s="2577"/>
      <c r="P39" s="1144"/>
      <c r="Q39" s="2612"/>
      <c r="R39" s="38"/>
    </row>
    <row r="40" spans="1:18" ht="23.4" hidden="1" customHeight="1">
      <c r="A40" s="2540"/>
      <c r="B40" s="2596"/>
      <c r="C40" s="2538"/>
      <c r="D40" s="282"/>
      <c r="E40" s="515" t="s">
        <v>101</v>
      </c>
      <c r="F40" s="267" t="s">
        <v>862</v>
      </c>
      <c r="G40" s="618"/>
      <c r="H40" s="355" t="s">
        <v>859</v>
      </c>
      <c r="I40" s="1382"/>
      <c r="J40" s="611"/>
      <c r="K40" s="611"/>
      <c r="L40" s="1382"/>
      <c r="M40" s="515"/>
      <c r="N40" s="1624"/>
      <c r="O40" s="2577"/>
      <c r="P40" s="1144"/>
      <c r="Q40" s="2612"/>
      <c r="R40" s="38"/>
    </row>
    <row r="41" spans="1:18" ht="23.4" hidden="1" customHeight="1">
      <c r="A41" s="2540"/>
      <c r="B41" s="2596"/>
      <c r="C41" s="2538"/>
      <c r="D41" s="283"/>
      <c r="E41" s="515" t="s">
        <v>846</v>
      </c>
      <c r="F41" s="267" t="s">
        <v>816</v>
      </c>
      <c r="G41" s="618"/>
      <c r="H41" s="355" t="s">
        <v>859</v>
      </c>
      <c r="I41" s="611"/>
      <c r="J41" s="611"/>
      <c r="K41" s="611"/>
      <c r="L41" s="611"/>
      <c r="M41" s="515"/>
      <c r="N41" s="1624"/>
      <c r="O41" s="2577"/>
      <c r="P41" s="1144"/>
      <c r="Q41" s="2612"/>
    </row>
    <row r="42" spans="1:18" ht="23.4" hidden="1" customHeight="1">
      <c r="A42" s="2540"/>
      <c r="B42" s="2596"/>
      <c r="C42" s="2538"/>
      <c r="D42" s="283"/>
      <c r="E42" s="515" t="s">
        <v>847</v>
      </c>
      <c r="F42" s="267" t="s">
        <v>816</v>
      </c>
      <c r="G42" s="618"/>
      <c r="H42" s="355" t="s">
        <v>859</v>
      </c>
      <c r="I42" s="611"/>
      <c r="J42" s="611"/>
      <c r="K42" s="611"/>
      <c r="L42" s="611"/>
      <c r="M42" s="515"/>
      <c r="N42" s="1624"/>
      <c r="O42" s="2577"/>
      <c r="P42" s="1144"/>
      <c r="Q42" s="2612"/>
    </row>
    <row r="43" spans="1:18" ht="23.4" hidden="1" customHeight="1">
      <c r="A43" s="2540"/>
      <c r="B43" s="2596"/>
      <c r="C43" s="2538"/>
      <c r="D43" s="286"/>
      <c r="E43" s="2543" t="s">
        <v>47</v>
      </c>
      <c r="F43" s="2511" t="s">
        <v>863</v>
      </c>
      <c r="G43" s="574" t="s">
        <v>521</v>
      </c>
      <c r="H43" s="592"/>
      <c r="I43" s="2504"/>
      <c r="J43" s="2518"/>
      <c r="K43" s="2518"/>
      <c r="L43" s="2551"/>
      <c r="M43" s="2506"/>
      <c r="N43" s="2546" t="s">
        <v>1487</v>
      </c>
      <c r="O43" s="2577"/>
      <c r="P43" s="1143" t="s">
        <v>103</v>
      </c>
      <c r="Q43" s="2612"/>
    </row>
    <row r="44" spans="1:18" ht="23.4" hidden="1" customHeight="1">
      <c r="A44" s="2540"/>
      <c r="B44" s="2596"/>
      <c r="C44" s="2538"/>
      <c r="D44" s="613"/>
      <c r="E44" s="2253"/>
      <c r="F44" s="2512"/>
      <c r="G44" s="576" t="s">
        <v>851</v>
      </c>
      <c r="H44" s="593"/>
      <c r="I44" s="2439"/>
      <c r="J44" s="2519"/>
      <c r="K44" s="2519"/>
      <c r="L44" s="2552"/>
      <c r="M44" s="2359"/>
      <c r="N44" s="2547"/>
      <c r="O44" s="2577"/>
      <c r="P44" s="1143"/>
      <c r="Q44" s="2612"/>
    </row>
    <row r="45" spans="1:18" ht="23.4" hidden="1" customHeight="1">
      <c r="A45" s="2540"/>
      <c r="B45" s="2596"/>
      <c r="C45" s="2538"/>
      <c r="D45" s="613"/>
      <c r="E45" s="2253"/>
      <c r="F45" s="2512"/>
      <c r="G45" s="576" t="s">
        <v>853</v>
      </c>
      <c r="H45" s="593"/>
      <c r="I45" s="2439"/>
      <c r="J45" s="2519"/>
      <c r="K45" s="2519"/>
      <c r="L45" s="2552"/>
      <c r="M45" s="2359"/>
      <c r="N45" s="2547"/>
      <c r="O45" s="2577"/>
      <c r="P45" s="1143"/>
      <c r="Q45" s="2612"/>
    </row>
    <row r="46" spans="1:18" ht="23.4" hidden="1" customHeight="1">
      <c r="A46" s="2540"/>
      <c r="B46" s="2596"/>
      <c r="C46" s="2538"/>
      <c r="D46" s="288"/>
      <c r="E46" s="2544"/>
      <c r="F46" s="2545"/>
      <c r="G46" s="580" t="s">
        <v>852</v>
      </c>
      <c r="H46" s="594"/>
      <c r="I46" s="2505"/>
      <c r="J46" s="2520"/>
      <c r="K46" s="2520"/>
      <c r="L46" s="2553"/>
      <c r="M46" s="2507"/>
      <c r="N46" s="2548"/>
      <c r="O46" s="2577"/>
      <c r="P46" s="1143"/>
      <c r="Q46" s="2612"/>
    </row>
    <row r="47" spans="1:18" ht="23.4" hidden="1" customHeight="1">
      <c r="A47" s="2540"/>
      <c r="B47" s="2596"/>
      <c r="C47" s="2538"/>
      <c r="D47" s="282"/>
      <c r="E47" s="515" t="s">
        <v>52</v>
      </c>
      <c r="F47" s="267" t="s">
        <v>855</v>
      </c>
      <c r="G47" s="618" t="s">
        <v>851</v>
      </c>
      <c r="H47" s="355"/>
      <c r="I47" s="611"/>
      <c r="J47" s="611"/>
      <c r="K47" s="611"/>
      <c r="L47" s="611"/>
      <c r="M47" s="1596"/>
      <c r="N47" s="1625"/>
      <c r="O47" s="2577"/>
      <c r="P47" s="1144"/>
      <c r="Q47" s="2612"/>
    </row>
    <row r="48" spans="1:18" ht="23.4" hidden="1" customHeight="1">
      <c r="A48" s="2540"/>
      <c r="B48" s="2596"/>
      <c r="C48" s="2538"/>
      <c r="D48" s="614"/>
      <c r="E48" s="2543" t="s">
        <v>48</v>
      </c>
      <c r="F48" s="2549" t="s">
        <v>854</v>
      </c>
      <c r="G48" s="621" t="s">
        <v>850</v>
      </c>
      <c r="H48" s="592"/>
      <c r="I48" s="2601"/>
      <c r="J48" s="2554"/>
      <c r="K48" s="2554"/>
      <c r="L48" s="2551"/>
      <c r="M48" s="2583"/>
      <c r="N48" s="2586" t="s">
        <v>1486</v>
      </c>
      <c r="O48" s="2577"/>
      <c r="Q48" s="37" t="s">
        <v>138</v>
      </c>
    </row>
    <row r="49" spans="1:19" ht="23.4" hidden="1" customHeight="1">
      <c r="A49" s="2540"/>
      <c r="B49" s="2596"/>
      <c r="C49" s="2538"/>
      <c r="D49" s="615"/>
      <c r="E49" s="2155"/>
      <c r="F49" s="2550"/>
      <c r="G49" s="621" t="s">
        <v>851</v>
      </c>
      <c r="H49" s="593"/>
      <c r="I49" s="2602"/>
      <c r="J49" s="2555"/>
      <c r="K49" s="2555"/>
      <c r="L49" s="2552"/>
      <c r="M49" s="2155"/>
      <c r="N49" s="2587"/>
      <c r="O49" s="2577"/>
      <c r="Q49" s="37"/>
      <c r="S49" s="81"/>
    </row>
    <row r="50" spans="1:19" ht="23.4" hidden="1" customHeight="1">
      <c r="A50" s="2540"/>
      <c r="B50" s="2596"/>
      <c r="C50" s="2538"/>
      <c r="D50" s="615"/>
      <c r="E50" s="2155"/>
      <c r="F50" s="2550"/>
      <c r="G50" s="621" t="s">
        <v>852</v>
      </c>
      <c r="H50" s="593"/>
      <c r="I50" s="2602"/>
      <c r="J50" s="2555"/>
      <c r="K50" s="2555"/>
      <c r="L50" s="2552"/>
      <c r="M50" s="2155"/>
      <c r="N50" s="2587"/>
      <c r="O50" s="2577"/>
      <c r="Q50" s="37"/>
      <c r="S50" s="81"/>
    </row>
    <row r="51" spans="1:19" ht="23.4" hidden="1" customHeight="1">
      <c r="A51" s="2540"/>
      <c r="B51" s="2596"/>
      <c r="C51" s="2538"/>
      <c r="D51" s="615"/>
      <c r="E51" s="2155"/>
      <c r="F51" s="2550"/>
      <c r="G51" s="621" t="s">
        <v>853</v>
      </c>
      <c r="H51" s="593"/>
      <c r="I51" s="2602"/>
      <c r="J51" s="2555"/>
      <c r="K51" s="2555"/>
      <c r="L51" s="2552"/>
      <c r="M51" s="2155"/>
      <c r="N51" s="2587"/>
      <c r="O51" s="2577"/>
      <c r="Q51" s="37"/>
      <c r="S51" s="81"/>
    </row>
    <row r="52" spans="1:19" ht="23.4" customHeight="1">
      <c r="A52" s="2540"/>
      <c r="B52" s="2596"/>
      <c r="C52" s="2486" t="s">
        <v>1493</v>
      </c>
      <c r="D52" s="1569"/>
      <c r="E52" s="1570" t="s">
        <v>767</v>
      </c>
      <c r="F52" s="1571" t="s">
        <v>768</v>
      </c>
      <c r="G52" s="1572"/>
      <c r="H52" s="1573"/>
      <c r="I52" s="1574"/>
      <c r="J52" s="1575"/>
      <c r="K52" s="1575"/>
      <c r="L52" s="1574"/>
      <c r="M52" s="2501" t="s">
        <v>1471</v>
      </c>
      <c r="N52" s="2580" t="s">
        <v>1473</v>
      </c>
      <c r="O52" s="2491" t="str">
        <f>HYPERLINK(VLOOKUP(F52,LINK,2,FALSE),VLOOKUP(F52,LINK,3,FALSE))</f>
        <v>EXCEL</v>
      </c>
      <c r="P52" s="37"/>
    </row>
    <row r="53" spans="1:19" ht="23.4" customHeight="1">
      <c r="A53" s="2540"/>
      <c r="B53" s="2596"/>
      <c r="C53" s="2487"/>
      <c r="D53" s="1576"/>
      <c r="E53" s="1577" t="s">
        <v>769</v>
      </c>
      <c r="F53" s="1578" t="s">
        <v>770</v>
      </c>
      <c r="G53" s="1579"/>
      <c r="H53" s="1580"/>
      <c r="I53" s="1581"/>
      <c r="J53" s="1582"/>
      <c r="K53" s="1582"/>
      <c r="L53" s="1581"/>
      <c r="M53" s="2502"/>
      <c r="N53" s="2581"/>
      <c r="O53" s="2491"/>
      <c r="P53" s="37"/>
    </row>
    <row r="54" spans="1:19" ht="23.4" customHeight="1">
      <c r="A54" s="2540"/>
      <c r="B54" s="2596"/>
      <c r="C54" s="2487"/>
      <c r="D54" s="1576"/>
      <c r="E54" s="1577" t="s">
        <v>771</v>
      </c>
      <c r="F54" s="1583" t="s">
        <v>768</v>
      </c>
      <c r="G54" s="1579"/>
      <c r="H54" s="1580"/>
      <c r="I54" s="1581"/>
      <c r="J54" s="1582"/>
      <c r="K54" s="1582"/>
      <c r="L54" s="1581"/>
      <c r="M54" s="2502"/>
      <c r="N54" s="2581"/>
      <c r="O54" s="2491"/>
      <c r="P54" s="37"/>
    </row>
    <row r="55" spans="1:19" ht="23.4" customHeight="1">
      <c r="A55" s="2540"/>
      <c r="B55" s="2596"/>
      <c r="C55" s="2488"/>
      <c r="D55" s="1584"/>
      <c r="E55" s="1585" t="s">
        <v>772</v>
      </c>
      <c r="F55" s="1586" t="s">
        <v>770</v>
      </c>
      <c r="G55" s="1587"/>
      <c r="H55" s="1588"/>
      <c r="I55" s="1589"/>
      <c r="J55" s="1590"/>
      <c r="K55" s="1590"/>
      <c r="L55" s="1589"/>
      <c r="M55" s="2503"/>
      <c r="N55" s="2582"/>
      <c r="O55" s="2491"/>
      <c r="P55" s="37"/>
    </row>
    <row r="56" spans="1:19" ht="31.2">
      <c r="A56" s="2541"/>
      <c r="B56" s="2039"/>
      <c r="C56" s="1877" t="s">
        <v>1636</v>
      </c>
      <c r="D56" s="1881"/>
      <c r="E56" s="1885" t="s">
        <v>1637</v>
      </c>
      <c r="F56" s="1884" t="s">
        <v>1638</v>
      </c>
      <c r="G56" s="2529" t="s">
        <v>1640</v>
      </c>
      <c r="H56" s="2530"/>
      <c r="I56" s="1882"/>
      <c r="J56" s="1883"/>
      <c r="K56" s="1883"/>
      <c r="L56" s="1882"/>
      <c r="M56" s="1878"/>
      <c r="N56" s="1888" t="s">
        <v>1647</v>
      </c>
      <c r="O56" s="1642"/>
    </row>
    <row r="57" spans="1:19" ht="23.4" customHeight="1">
      <c r="A57" s="2595" t="s">
        <v>1097</v>
      </c>
      <c r="B57" s="2474" t="s">
        <v>1283</v>
      </c>
      <c r="C57" s="2221"/>
      <c r="D57" s="279"/>
      <c r="E57" s="1035" t="s">
        <v>777</v>
      </c>
      <c r="F57" s="568" t="s">
        <v>778</v>
      </c>
      <c r="G57" s="569"/>
      <c r="H57" s="601"/>
      <c r="I57" s="1381"/>
      <c r="J57" s="1381"/>
      <c r="K57" s="1381"/>
      <c r="L57" s="1381"/>
      <c r="M57" s="281"/>
      <c r="N57" s="281" t="str">
        <f>"WJ"&amp;H57</f>
        <v>WJ</v>
      </c>
      <c r="O57" s="2018" t="str">
        <f>HYPERLINK(VLOOKUP(F57,LINK,2,FALSE),VLOOKUP(F57,LINK,3,FALSE))</f>
        <v>EXCEL</v>
      </c>
    </row>
    <row r="58" spans="1:19" ht="23.4" customHeight="1">
      <c r="A58" s="2595"/>
      <c r="B58" s="2221"/>
      <c r="C58" s="2221"/>
      <c r="D58" s="282"/>
      <c r="E58" s="515" t="s">
        <v>779</v>
      </c>
      <c r="F58" s="570" t="s">
        <v>780</v>
      </c>
      <c r="G58" s="571"/>
      <c r="H58" s="602"/>
      <c r="I58" s="1382"/>
      <c r="J58" s="1382"/>
      <c r="K58" s="1382"/>
      <c r="L58" s="1382"/>
      <c r="M58" s="1596"/>
      <c r="N58" s="1596" t="str">
        <f>"WW"&amp;H58</f>
        <v>WW</v>
      </c>
      <c r="O58" s="2019"/>
    </row>
    <row r="59" spans="1:19" ht="23.4" customHeight="1">
      <c r="A59" s="2595"/>
      <c r="B59" s="2221"/>
      <c r="C59" s="2221"/>
      <c r="D59" s="505"/>
      <c r="E59" s="1422" t="s">
        <v>779</v>
      </c>
      <c r="F59" s="572" t="s">
        <v>780</v>
      </c>
      <c r="G59" s="573"/>
      <c r="H59" s="603"/>
      <c r="I59" s="1383"/>
      <c r="J59" s="1383"/>
      <c r="K59" s="1383"/>
      <c r="L59" s="1383"/>
      <c r="M59" s="1620"/>
      <c r="N59" s="1620" t="str">
        <f>"WW"&amp;H59</f>
        <v>WW</v>
      </c>
      <c r="O59" s="2019"/>
    </row>
    <row r="60" spans="1:19" ht="23.4" customHeight="1">
      <c r="A60" s="2475">
        <v>1011</v>
      </c>
      <c r="B60" s="2234" t="s">
        <v>23</v>
      </c>
      <c r="C60" s="2234"/>
      <c r="D60" s="279"/>
      <c r="E60" s="1035" t="s">
        <v>158</v>
      </c>
      <c r="F60" s="2184" t="s">
        <v>159</v>
      </c>
      <c r="G60" s="2190"/>
      <c r="H60" s="2191"/>
      <c r="I60" s="279"/>
      <c r="J60" s="279"/>
      <c r="K60" s="279"/>
      <c r="L60" s="279"/>
      <c r="M60" s="287"/>
      <c r="N60" s="287"/>
      <c r="O60" s="2224" t="str">
        <f>HYPERLINK(VLOOKUP(F60,LINK,2,FALSE),VLOOKUP(F60,LINK,3,FALSE))</f>
        <v>EXCEL</v>
      </c>
    </row>
    <row r="61" spans="1:19" ht="23.4" customHeight="1">
      <c r="A61" s="2476"/>
      <c r="B61" s="2235"/>
      <c r="C61" s="2235"/>
      <c r="D61" s="282"/>
      <c r="E61" s="515" t="s">
        <v>24</v>
      </c>
      <c r="F61" s="2192" t="s">
        <v>503</v>
      </c>
      <c r="G61" s="2193"/>
      <c r="H61" s="2194"/>
      <c r="I61" s="282"/>
      <c r="J61" s="282"/>
      <c r="K61" s="282"/>
      <c r="L61" s="282"/>
      <c r="M61" s="284"/>
      <c r="N61" s="284"/>
      <c r="O61" s="2165"/>
      <c r="P61" s="37" t="s">
        <v>1123</v>
      </c>
    </row>
    <row r="62" spans="1:19" ht="44.1" customHeight="1">
      <c r="A62" s="2476"/>
      <c r="B62" s="2235"/>
      <c r="C62" s="2235"/>
      <c r="D62" s="1552"/>
      <c r="E62" s="1553" t="s">
        <v>504</v>
      </c>
      <c r="F62" s="2226" t="s">
        <v>1455</v>
      </c>
      <c r="G62" s="2227"/>
      <c r="H62" s="2227"/>
      <c r="I62" s="1552"/>
      <c r="J62" s="1552"/>
      <c r="K62" s="1552"/>
      <c r="L62" s="1552"/>
      <c r="M62" s="282"/>
      <c r="N62" s="2459" t="s">
        <v>1633</v>
      </c>
      <c r="O62" s="2165"/>
      <c r="P62" s="37"/>
    </row>
    <row r="63" spans="1:19" ht="23.4" customHeight="1">
      <c r="A63" s="2477"/>
      <c r="B63" s="2236"/>
      <c r="C63" s="2236"/>
      <c r="D63" s="1555"/>
      <c r="E63" s="1556" t="s">
        <v>1453</v>
      </c>
      <c r="F63" s="2230" t="s">
        <v>1454</v>
      </c>
      <c r="G63" s="2230"/>
      <c r="H63" s="2230"/>
      <c r="I63" s="1549"/>
      <c r="J63" s="1549"/>
      <c r="K63" s="1549"/>
      <c r="L63" s="1549"/>
      <c r="M63" s="1555"/>
      <c r="N63" s="2460"/>
      <c r="O63" s="2225"/>
    </row>
    <row r="64" spans="1:19" ht="23.4" customHeight="1">
      <c r="A64" s="1417" t="s">
        <v>1324</v>
      </c>
      <c r="B64" s="2474" t="s">
        <v>1211</v>
      </c>
      <c r="C64" s="2221"/>
      <c r="D64" s="1398"/>
      <c r="E64" s="1408" t="s">
        <v>1325</v>
      </c>
      <c r="F64" s="2458" t="s">
        <v>1474</v>
      </c>
      <c r="G64" s="2458"/>
      <c r="H64" s="2458"/>
      <c r="I64" s="1397"/>
      <c r="J64" s="1397"/>
      <c r="K64" s="1397"/>
      <c r="L64" s="1397"/>
      <c r="M64" s="1612"/>
      <c r="N64" s="1598" t="s">
        <v>1475</v>
      </c>
      <c r="O64" s="1378" t="s">
        <v>1478</v>
      </c>
    </row>
    <row r="65" spans="1:17" ht="20.100000000000001" customHeight="1">
      <c r="A65" s="751"/>
      <c r="B65" s="2561"/>
      <c r="C65" s="2561"/>
      <c r="D65" s="2561"/>
      <c r="E65" s="2561"/>
      <c r="F65" s="2561"/>
      <c r="G65" s="2561"/>
      <c r="H65" s="2561"/>
      <c r="I65" s="2561"/>
      <c r="J65" s="2561"/>
      <c r="K65" s="2561"/>
      <c r="L65" s="2561"/>
      <c r="M65" s="2561"/>
      <c r="N65" s="2561"/>
      <c r="O65" s="2561"/>
      <c r="P65" s="2561"/>
      <c r="Q65" s="2561"/>
    </row>
  </sheetData>
  <mergeCells count="95">
    <mergeCell ref="F6:H6"/>
    <mergeCell ref="B6:C6"/>
    <mergeCell ref="B8:C8"/>
    <mergeCell ref="A4:A5"/>
    <mergeCell ref="B4:E5"/>
    <mergeCell ref="F4:G4"/>
    <mergeCell ref="H4:L4"/>
    <mergeCell ref="F5:G5"/>
    <mergeCell ref="H5:L5"/>
    <mergeCell ref="A2:A3"/>
    <mergeCell ref="B2:E3"/>
    <mergeCell ref="F2:G2"/>
    <mergeCell ref="H2:L2"/>
    <mergeCell ref="F3:G3"/>
    <mergeCell ref="H3:L3"/>
    <mergeCell ref="M13:M15"/>
    <mergeCell ref="N9:N11"/>
    <mergeCell ref="B12:B27"/>
    <mergeCell ref="I17:I19"/>
    <mergeCell ref="L17:L19"/>
    <mergeCell ref="K17:K19"/>
    <mergeCell ref="I20:I23"/>
    <mergeCell ref="L20:L23"/>
    <mergeCell ref="C24:C27"/>
    <mergeCell ref="J17:J19"/>
    <mergeCell ref="K20:K23"/>
    <mergeCell ref="B9:C11"/>
    <mergeCell ref="M24:M27"/>
    <mergeCell ref="O9:O11"/>
    <mergeCell ref="O24:O27"/>
    <mergeCell ref="O28:O31"/>
    <mergeCell ref="Q33:Q47"/>
    <mergeCell ref="Q12:Q20"/>
    <mergeCell ref="O33:O51"/>
    <mergeCell ref="B65:Q65"/>
    <mergeCell ref="C12:C23"/>
    <mergeCell ref="O13:O23"/>
    <mergeCell ref="E17:E19"/>
    <mergeCell ref="F17:F19"/>
    <mergeCell ref="M17:M19"/>
    <mergeCell ref="N17:N19"/>
    <mergeCell ref="E20:E23"/>
    <mergeCell ref="F20:F23"/>
    <mergeCell ref="J20:J23"/>
    <mergeCell ref="M20:M23"/>
    <mergeCell ref="N20:N23"/>
    <mergeCell ref="O52:O55"/>
    <mergeCell ref="O57:O59"/>
    <mergeCell ref="N24:N27"/>
    <mergeCell ref="M28:M29"/>
    <mergeCell ref="B64:C64"/>
    <mergeCell ref="F64:H64"/>
    <mergeCell ref="A9:A11"/>
    <mergeCell ref="A12:A27"/>
    <mergeCell ref="A28:A32"/>
    <mergeCell ref="A57:A59"/>
    <mergeCell ref="C33:C51"/>
    <mergeCell ref="E28:E29"/>
    <mergeCell ref="B60:C63"/>
    <mergeCell ref="B57:C59"/>
    <mergeCell ref="B28:C32"/>
    <mergeCell ref="C52:C55"/>
    <mergeCell ref="F28:F29"/>
    <mergeCell ref="E43:E46"/>
    <mergeCell ref="O60:O63"/>
    <mergeCell ref="F61:H61"/>
    <mergeCell ref="F62:H62"/>
    <mergeCell ref="N62:N63"/>
    <mergeCell ref="F63:H63"/>
    <mergeCell ref="K48:K51"/>
    <mergeCell ref="A60:A63"/>
    <mergeCell ref="F60:H60"/>
    <mergeCell ref="B7:C7"/>
    <mergeCell ref="F43:F46"/>
    <mergeCell ref="F48:F51"/>
    <mergeCell ref="E48:E51"/>
    <mergeCell ref="G56:H56"/>
    <mergeCell ref="B33:B56"/>
    <mergeCell ref="A33:A56"/>
    <mergeCell ref="L28:L29"/>
    <mergeCell ref="N28:N29"/>
    <mergeCell ref="M33:M36"/>
    <mergeCell ref="I43:I46"/>
    <mergeCell ref="M52:M55"/>
    <mergeCell ref="M48:M51"/>
    <mergeCell ref="N48:N51"/>
    <mergeCell ref="M43:M46"/>
    <mergeCell ref="N43:N46"/>
    <mergeCell ref="N52:N55"/>
    <mergeCell ref="J48:J51"/>
    <mergeCell ref="J43:J46"/>
    <mergeCell ref="L43:L46"/>
    <mergeCell ref="L48:L51"/>
    <mergeCell ref="I48:I51"/>
    <mergeCell ref="K43:K46"/>
  </mergeCells>
  <phoneticPr fontId="14"/>
  <hyperlinks>
    <hyperlink ref="A1:Q1" location="TEMPLATE!A1" display="D→T"/>
  </hyperlinks>
  <pageMargins left="0.70866141732283472" right="0.70866141732283472" top="0" bottom="0" header="0.31496062992125984" footer="0.31496062992125984"/>
  <pageSetup paperSize="9" scale="4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S78"/>
  <sheetViews>
    <sheetView showGridLines="0" view="pageBreakPreview" zoomScale="70" zoomScaleNormal="85" zoomScaleSheetLayoutView="70" workbookViewId="0">
      <selection activeCell="N47" sqref="N47"/>
    </sheetView>
  </sheetViews>
  <sheetFormatPr defaultColWidth="9" defaultRowHeight="13.2"/>
  <cols>
    <col min="1" max="1" width="12.09765625" style="6" customWidth="1"/>
    <col min="2" max="2" width="21.3984375" style="6" bestFit="1" customWidth="1"/>
    <col min="3" max="3" width="10.8984375" style="37" bestFit="1" customWidth="1"/>
    <col min="4" max="4" width="5.59765625" style="6" customWidth="1"/>
    <col min="5" max="5" width="22.19921875" style="6" bestFit="1" customWidth="1"/>
    <col min="6" max="6" width="12.59765625" style="6" bestFit="1" customWidth="1"/>
    <col min="7" max="7" width="7.8984375" style="6" customWidth="1"/>
    <col min="8" max="8" width="5.59765625" style="6" customWidth="1"/>
    <col min="9" max="12" width="7.5" style="6" customWidth="1"/>
    <col min="13" max="13" width="14.8984375" style="6" customWidth="1"/>
    <col min="14" max="14" width="60.8984375" style="6" customWidth="1"/>
    <col min="15" max="15" width="6.69921875" style="6" bestFit="1" customWidth="1"/>
    <col min="16" max="16" width="8.5" style="6" customWidth="1"/>
    <col min="17" max="17" width="61.5" style="6" bestFit="1" customWidth="1"/>
    <col min="18" max="18" width="6.5" style="6" bestFit="1" customWidth="1"/>
    <col min="19" max="19" width="33.8984375" style="6" bestFit="1" customWidth="1"/>
    <col min="20" max="16384" width="9" style="6"/>
  </cols>
  <sheetData>
    <row r="1" spans="1:19">
      <c r="A1" s="2099" t="s">
        <v>1069</v>
      </c>
      <c r="B1" s="2099"/>
      <c r="C1" s="2099"/>
      <c r="D1" s="2099"/>
      <c r="E1" s="2099"/>
      <c r="F1" s="2099"/>
      <c r="G1" s="2099"/>
      <c r="H1" s="2099"/>
      <c r="I1" s="2099"/>
      <c r="J1" s="2099"/>
      <c r="K1" s="2099"/>
      <c r="L1" s="2099"/>
      <c r="M1" s="2099"/>
      <c r="N1" s="2099"/>
      <c r="O1" s="2099"/>
      <c r="P1" s="2099"/>
      <c r="Q1" s="2099"/>
    </row>
    <row r="2" spans="1:19" ht="30" customHeight="1">
      <c r="A2" s="2282" t="s">
        <v>5</v>
      </c>
      <c r="B2" s="2144"/>
      <c r="C2" s="2144"/>
      <c r="D2" s="2144"/>
      <c r="E2" s="2144"/>
      <c r="F2" s="2006" t="s">
        <v>1391</v>
      </c>
      <c r="G2" s="2006"/>
      <c r="H2" s="2017"/>
      <c r="I2" s="2017"/>
      <c r="J2" s="2017"/>
      <c r="K2" s="2017"/>
      <c r="L2" s="2017"/>
      <c r="M2" s="1629" t="s">
        <v>1187</v>
      </c>
      <c r="N2" s="1421" t="s">
        <v>1393</v>
      </c>
      <c r="O2" s="1405"/>
    </row>
    <row r="3" spans="1:19" ht="30" customHeight="1">
      <c r="A3" s="2283"/>
      <c r="B3" s="2144"/>
      <c r="C3" s="2144"/>
      <c r="D3" s="2144"/>
      <c r="E3" s="2144"/>
      <c r="F3" s="2006" t="s">
        <v>1371</v>
      </c>
      <c r="G3" s="2006"/>
      <c r="H3" s="2017"/>
      <c r="I3" s="2017"/>
      <c r="J3" s="2017"/>
      <c r="K3" s="2017"/>
      <c r="L3" s="2017"/>
      <c r="M3" s="1630"/>
      <c r="N3" s="1399"/>
      <c r="O3" s="839"/>
    </row>
    <row r="4" spans="1:19" ht="30" customHeight="1">
      <c r="A4" s="2282" t="s">
        <v>38</v>
      </c>
      <c r="B4" s="2144"/>
      <c r="C4" s="2144"/>
      <c r="D4" s="2144"/>
      <c r="E4" s="2144"/>
      <c r="F4" s="2007" t="s">
        <v>1392</v>
      </c>
      <c r="G4" s="2007"/>
      <c r="H4" s="2017"/>
      <c r="I4" s="2017"/>
      <c r="J4" s="2017"/>
      <c r="K4" s="2017"/>
      <c r="L4" s="2017"/>
      <c r="M4" s="1630"/>
      <c r="N4" s="1399"/>
      <c r="O4" s="839"/>
    </row>
    <row r="5" spans="1:19" ht="30" customHeight="1">
      <c r="A5" s="2283"/>
      <c r="B5" s="2144"/>
      <c r="C5" s="2144"/>
      <c r="D5" s="2144"/>
      <c r="E5" s="2144"/>
      <c r="F5" s="2008" t="s">
        <v>1372</v>
      </c>
      <c r="G5" s="2008"/>
      <c r="H5" s="2017"/>
      <c r="I5" s="2017"/>
      <c r="J5" s="2017"/>
      <c r="K5" s="2017"/>
      <c r="L5" s="2017"/>
      <c r="M5" s="1630"/>
      <c r="N5" s="1399"/>
      <c r="O5" s="839"/>
    </row>
    <row r="6" spans="1:19" ht="60" customHeight="1">
      <c r="A6" s="1631" t="s">
        <v>1227</v>
      </c>
      <c r="B6" s="2284" t="s">
        <v>6</v>
      </c>
      <c r="C6" s="2285"/>
      <c r="D6" s="1632" t="s">
        <v>1407</v>
      </c>
      <c r="E6" s="1633" t="s">
        <v>64</v>
      </c>
      <c r="F6" s="2279" t="s">
        <v>1</v>
      </c>
      <c r="G6" s="2280"/>
      <c r="H6" s="2281"/>
      <c r="I6" s="1634" t="s">
        <v>66</v>
      </c>
      <c r="J6" s="1634" t="s">
        <v>1376</v>
      </c>
      <c r="K6" s="1635" t="s">
        <v>1377</v>
      </c>
      <c r="L6" s="1635" t="s">
        <v>1375</v>
      </c>
      <c r="M6" s="630" t="s">
        <v>1378</v>
      </c>
      <c r="N6" s="630" t="s">
        <v>1387</v>
      </c>
      <c r="O6" s="1322" t="s">
        <v>1379</v>
      </c>
    </row>
    <row r="7" spans="1:19" s="5" customFormat="1" ht="25.5" customHeight="1">
      <c r="A7" s="1417" t="s">
        <v>1093</v>
      </c>
      <c r="B7" s="2515" t="s">
        <v>830</v>
      </c>
      <c r="C7" s="2516"/>
      <c r="D7" s="1418"/>
      <c r="E7" s="1418" t="s">
        <v>98</v>
      </c>
      <c r="F7" s="605" t="s">
        <v>92</v>
      </c>
      <c r="G7" s="553"/>
      <c r="H7" s="586"/>
      <c r="I7" s="1418"/>
      <c r="J7" s="1418"/>
      <c r="K7" s="1418"/>
      <c r="L7" s="533"/>
      <c r="M7" s="1418"/>
      <c r="N7" s="1621" t="s">
        <v>1483</v>
      </c>
      <c r="O7" s="1614"/>
    </row>
    <row r="8" spans="1:19" s="5" customFormat="1" ht="25.5" customHeight="1">
      <c r="A8" s="1417" t="s">
        <v>1094</v>
      </c>
      <c r="B8" s="2515" t="s">
        <v>455</v>
      </c>
      <c r="C8" s="2516"/>
      <c r="D8" s="1380"/>
      <c r="E8" s="1380" t="s">
        <v>456</v>
      </c>
      <c r="F8" s="606" t="s">
        <v>834</v>
      </c>
      <c r="G8" s="616"/>
      <c r="H8" s="587"/>
      <c r="I8" s="1380"/>
      <c r="J8" s="1380"/>
      <c r="K8" s="1380"/>
      <c r="L8" s="1418"/>
      <c r="M8" s="1380"/>
      <c r="N8" s="1622"/>
      <c r="O8" s="92" t="str">
        <f>HYPERLINK(VLOOKUP(F8,LINK,2,FALSE),VLOOKUP(F8,LINK,3,FALSE))</f>
        <v>EXCEL</v>
      </c>
    </row>
    <row r="9" spans="1:19" ht="25.5" customHeight="1">
      <c r="A9" s="2521" t="s">
        <v>1095</v>
      </c>
      <c r="B9" s="2212" t="s">
        <v>39</v>
      </c>
      <c r="C9" s="2213"/>
      <c r="D9" s="279"/>
      <c r="E9" s="1035" t="s">
        <v>40</v>
      </c>
      <c r="F9" s="263" t="s">
        <v>835</v>
      </c>
      <c r="G9" s="617"/>
      <c r="H9" s="352"/>
      <c r="I9" s="1381"/>
      <c r="J9" s="1381"/>
      <c r="K9" s="1381"/>
      <c r="L9" s="280"/>
      <c r="M9" s="1601" t="str">
        <f>"SD"&amp;G9</f>
        <v>SD</v>
      </c>
      <c r="N9" s="2571" t="s">
        <v>1482</v>
      </c>
      <c r="O9" s="2478"/>
    </row>
    <row r="10" spans="1:19" ht="25.5" customHeight="1">
      <c r="A10" s="2522"/>
      <c r="B10" s="2472"/>
      <c r="C10" s="2473"/>
      <c r="D10" s="282"/>
      <c r="E10" s="515" t="s">
        <v>41</v>
      </c>
      <c r="F10" s="267" t="s">
        <v>836</v>
      </c>
      <c r="G10" s="618"/>
      <c r="H10" s="355"/>
      <c r="I10" s="1382"/>
      <c r="J10" s="1382"/>
      <c r="K10" s="1382"/>
      <c r="L10" s="611"/>
      <c r="M10" s="1602" t="str">
        <f>"DP"&amp;G10</f>
        <v>DP</v>
      </c>
      <c r="N10" s="2572"/>
      <c r="O10" s="2479"/>
    </row>
    <row r="11" spans="1:19" ht="25.5" customHeight="1">
      <c r="A11" s="2522"/>
      <c r="B11" s="2591"/>
      <c r="C11" s="2592"/>
      <c r="D11" s="505"/>
      <c r="E11" s="1422" t="s">
        <v>42</v>
      </c>
      <c r="F11" s="269" t="s">
        <v>837</v>
      </c>
      <c r="G11" s="619"/>
      <c r="H11" s="358"/>
      <c r="I11" s="1383"/>
      <c r="J11" s="1383"/>
      <c r="K11" s="1383"/>
      <c r="L11" s="612"/>
      <c r="M11" s="1603" t="str">
        <f>"GP"&amp;G11</f>
        <v>GP</v>
      </c>
      <c r="N11" s="2573"/>
      <c r="O11" s="2479"/>
    </row>
    <row r="12" spans="1:19" ht="38.1" customHeight="1">
      <c r="A12" s="2595" t="s">
        <v>1092</v>
      </c>
      <c r="B12" s="2451" t="s">
        <v>1643</v>
      </c>
      <c r="C12" s="2537" t="s">
        <v>1103</v>
      </c>
      <c r="D12" s="1398"/>
      <c r="E12" s="1407" t="s">
        <v>868</v>
      </c>
      <c r="F12" s="626" t="s">
        <v>838</v>
      </c>
      <c r="G12" s="620"/>
      <c r="H12" s="627"/>
      <c r="I12" s="1397"/>
      <c r="J12" s="1397"/>
      <c r="K12" s="1397"/>
      <c r="L12" s="1397"/>
      <c r="M12" s="1612"/>
      <c r="N12" s="1398"/>
      <c r="O12" s="1378" t="s">
        <v>197</v>
      </c>
      <c r="P12" s="48" t="s">
        <v>103</v>
      </c>
      <c r="Q12" s="2620" t="s">
        <v>151</v>
      </c>
      <c r="R12" s="14"/>
      <c r="S12" s="14"/>
    </row>
    <row r="13" spans="1:19" ht="25.5" customHeight="1">
      <c r="A13" s="2595"/>
      <c r="B13" s="2596"/>
      <c r="C13" s="2538"/>
      <c r="D13" s="279"/>
      <c r="E13" s="1035" t="s">
        <v>43</v>
      </c>
      <c r="F13" s="263" t="s">
        <v>839</v>
      </c>
      <c r="G13" s="617"/>
      <c r="H13" s="352"/>
      <c r="I13" s="1381"/>
      <c r="J13" s="1381"/>
      <c r="K13" s="1381"/>
      <c r="L13" s="1381"/>
      <c r="M13" s="2613" t="s">
        <v>1468</v>
      </c>
      <c r="N13" s="279"/>
      <c r="O13" s="2149" t="str">
        <f>HYPERLINK(VLOOKUP(F13,LINK,2,FALSE),VLOOKUP(F13,LINK,3,FALSE))</f>
        <v>EXCEL</v>
      </c>
      <c r="P13" s="48" t="s">
        <v>103</v>
      </c>
      <c r="Q13" s="2621"/>
      <c r="R13" s="14"/>
      <c r="S13" s="14"/>
    </row>
    <row r="14" spans="1:19" ht="25.5" customHeight="1">
      <c r="A14" s="2595"/>
      <c r="B14" s="2596"/>
      <c r="C14" s="2538"/>
      <c r="D14" s="282"/>
      <c r="E14" s="515" t="s">
        <v>44</v>
      </c>
      <c r="F14" s="267" t="s">
        <v>840</v>
      </c>
      <c r="G14" s="618"/>
      <c r="H14" s="355"/>
      <c r="I14" s="1382"/>
      <c r="J14" s="1382"/>
      <c r="K14" s="1382"/>
      <c r="L14" s="1382"/>
      <c r="M14" s="2614"/>
      <c r="N14" s="282"/>
      <c r="O14" s="2149"/>
      <c r="P14" s="48" t="s">
        <v>103</v>
      </c>
      <c r="Q14" s="2621"/>
      <c r="R14" s="14"/>
      <c r="S14" s="14"/>
    </row>
    <row r="15" spans="1:19" ht="25.5" customHeight="1">
      <c r="A15" s="2595"/>
      <c r="B15" s="2596"/>
      <c r="C15" s="2538"/>
      <c r="D15" s="282"/>
      <c r="E15" s="515" t="s">
        <v>45</v>
      </c>
      <c r="F15" s="267" t="s">
        <v>841</v>
      </c>
      <c r="G15" s="618"/>
      <c r="H15" s="355"/>
      <c r="I15" s="1382"/>
      <c r="J15" s="1382"/>
      <c r="K15" s="1382"/>
      <c r="L15" s="1382"/>
      <c r="M15" s="2615"/>
      <c r="N15" s="282"/>
      <c r="O15" s="2149"/>
      <c r="P15" s="48" t="s">
        <v>103</v>
      </c>
      <c r="Q15" s="2621"/>
      <c r="R15" s="14"/>
      <c r="S15" s="14"/>
    </row>
    <row r="16" spans="1:19" ht="25.5" customHeight="1">
      <c r="A16" s="2595"/>
      <c r="B16" s="2596"/>
      <c r="C16" s="2538"/>
      <c r="D16" s="282"/>
      <c r="E16" s="515" t="s">
        <v>46</v>
      </c>
      <c r="F16" s="267" t="s">
        <v>842</v>
      </c>
      <c r="G16" s="618"/>
      <c r="H16" s="355"/>
      <c r="I16" s="1382"/>
      <c r="J16" s="1382"/>
      <c r="K16" s="1382"/>
      <c r="L16" s="1382"/>
      <c r="M16" s="1596"/>
      <c r="N16" s="282"/>
      <c r="O16" s="2149"/>
      <c r="P16" s="48" t="s">
        <v>103</v>
      </c>
      <c r="Q16" s="2621"/>
      <c r="R16" s="14"/>
      <c r="S16" s="14"/>
    </row>
    <row r="17" spans="1:19" ht="25.5" hidden="1" customHeight="1">
      <c r="A17" s="2595"/>
      <c r="B17" s="2596"/>
      <c r="C17" s="2538"/>
      <c r="D17" s="286"/>
      <c r="E17" s="2543" t="s">
        <v>47</v>
      </c>
      <c r="F17" s="2511" t="s">
        <v>802</v>
      </c>
      <c r="G17" s="574" t="s">
        <v>864</v>
      </c>
      <c r="H17" s="592"/>
      <c r="I17" s="2504"/>
      <c r="J17" s="2518"/>
      <c r="K17" s="2518"/>
      <c r="L17" s="2504"/>
      <c r="M17" s="2468"/>
      <c r="N17" s="2468" t="s">
        <v>1494</v>
      </c>
      <c r="O17" s="2149"/>
      <c r="P17" s="48" t="s">
        <v>103</v>
      </c>
      <c r="Q17" s="2621"/>
      <c r="R17" s="14"/>
      <c r="S17" s="14"/>
    </row>
    <row r="18" spans="1:19" ht="25.5" hidden="1" customHeight="1">
      <c r="A18" s="2595"/>
      <c r="B18" s="2596"/>
      <c r="C18" s="2538"/>
      <c r="D18" s="613"/>
      <c r="E18" s="2253"/>
      <c r="F18" s="2512"/>
      <c r="G18" s="576" t="s">
        <v>853</v>
      </c>
      <c r="H18" s="593"/>
      <c r="I18" s="2439"/>
      <c r="J18" s="2519"/>
      <c r="K18" s="2519"/>
      <c r="L18" s="2439"/>
      <c r="M18" s="2469"/>
      <c r="N18" s="2469"/>
      <c r="O18" s="2149"/>
      <c r="P18" s="48"/>
      <c r="Q18" s="2621"/>
      <c r="R18" s="14"/>
      <c r="S18" s="14"/>
    </row>
    <row r="19" spans="1:19" ht="25.5" hidden="1" customHeight="1">
      <c r="A19" s="2595"/>
      <c r="B19" s="2596"/>
      <c r="C19" s="2538"/>
      <c r="D19" s="288"/>
      <c r="E19" s="2544"/>
      <c r="F19" s="2545"/>
      <c r="G19" s="580" t="s">
        <v>852</v>
      </c>
      <c r="H19" s="594"/>
      <c r="I19" s="2505"/>
      <c r="J19" s="2520"/>
      <c r="K19" s="2520"/>
      <c r="L19" s="2505"/>
      <c r="M19" s="2517"/>
      <c r="N19" s="2517"/>
      <c r="O19" s="2149"/>
      <c r="P19" s="48"/>
      <c r="Q19" s="2621"/>
      <c r="R19" s="14"/>
      <c r="S19" s="14"/>
    </row>
    <row r="20" spans="1:19" ht="25.5" hidden="1" customHeight="1">
      <c r="A20" s="2595"/>
      <c r="B20" s="2596"/>
      <c r="C20" s="2538"/>
      <c r="D20" s="286"/>
      <c r="E20" s="2543" t="s">
        <v>48</v>
      </c>
      <c r="F20" s="2511" t="s">
        <v>808</v>
      </c>
      <c r="G20" s="574" t="s">
        <v>865</v>
      </c>
      <c r="H20" s="592"/>
      <c r="I20" s="2504"/>
      <c r="J20" s="2518"/>
      <c r="K20" s="2518"/>
      <c r="L20" s="2504"/>
      <c r="M20" s="2468"/>
      <c r="N20" s="2468" t="s">
        <v>1495</v>
      </c>
      <c r="O20" s="2149"/>
      <c r="P20" s="48" t="s">
        <v>103</v>
      </c>
      <c r="Q20" s="2621"/>
      <c r="R20" s="14"/>
      <c r="S20" s="14"/>
    </row>
    <row r="21" spans="1:19" ht="25.5" hidden="1" customHeight="1">
      <c r="A21" s="2595"/>
      <c r="B21" s="2596"/>
      <c r="C21" s="2538"/>
      <c r="D21" s="613"/>
      <c r="E21" s="2253"/>
      <c r="F21" s="2512"/>
      <c r="G21" s="576" t="s">
        <v>866</v>
      </c>
      <c r="H21" s="593"/>
      <c r="I21" s="2439"/>
      <c r="J21" s="2519"/>
      <c r="K21" s="2519"/>
      <c r="L21" s="2439"/>
      <c r="M21" s="2469"/>
      <c r="N21" s="2469"/>
      <c r="O21" s="2149"/>
      <c r="P21" s="48"/>
      <c r="Q21" s="1385"/>
      <c r="R21" s="14"/>
      <c r="S21" s="14"/>
    </row>
    <row r="22" spans="1:19" ht="25.5" hidden="1" customHeight="1">
      <c r="A22" s="2595"/>
      <c r="B22" s="2596"/>
      <c r="C22" s="2538"/>
      <c r="D22" s="613"/>
      <c r="E22" s="2253"/>
      <c r="F22" s="2512"/>
      <c r="G22" s="576" t="s">
        <v>851</v>
      </c>
      <c r="H22" s="593"/>
      <c r="I22" s="2439"/>
      <c r="J22" s="2519"/>
      <c r="K22" s="2519"/>
      <c r="L22" s="2439"/>
      <c r="M22" s="2469"/>
      <c r="N22" s="2469"/>
      <c r="O22" s="2149"/>
      <c r="P22" s="48"/>
      <c r="Q22" s="1385"/>
      <c r="R22" s="14"/>
      <c r="S22" s="14"/>
    </row>
    <row r="23" spans="1:19" ht="25.5" hidden="1" customHeight="1">
      <c r="A23" s="2595"/>
      <c r="B23" s="2596"/>
      <c r="C23" s="2593"/>
      <c r="D23" s="624"/>
      <c r="E23" s="2254"/>
      <c r="F23" s="2513"/>
      <c r="G23" s="578" t="s">
        <v>867</v>
      </c>
      <c r="H23" s="595"/>
      <c r="I23" s="2163"/>
      <c r="J23" s="2528"/>
      <c r="K23" s="2528"/>
      <c r="L23" s="2163"/>
      <c r="M23" s="2470"/>
      <c r="N23" s="2470"/>
      <c r="O23" s="2149"/>
      <c r="P23" s="48"/>
      <c r="Q23" s="1385"/>
      <c r="R23" s="14"/>
      <c r="S23" s="14"/>
    </row>
    <row r="24" spans="1:19" ht="25.5" customHeight="1">
      <c r="A24" s="2595"/>
      <c r="B24" s="2596"/>
      <c r="C24" s="2486" t="s">
        <v>1493</v>
      </c>
      <c r="D24" s="1569"/>
      <c r="E24" s="1570" t="s">
        <v>767</v>
      </c>
      <c r="F24" s="1571" t="s">
        <v>768</v>
      </c>
      <c r="G24" s="1572"/>
      <c r="H24" s="1573"/>
      <c r="I24" s="1574"/>
      <c r="J24" s="1575"/>
      <c r="K24" s="1575"/>
      <c r="L24" s="1574"/>
      <c r="M24" s="2501" t="s">
        <v>1471</v>
      </c>
      <c r="N24" s="2580" t="s">
        <v>1473</v>
      </c>
      <c r="O24" s="2491" t="str">
        <f>HYPERLINK(VLOOKUP(F24,LINK,2,FALSE),VLOOKUP(F24,LINK,3,FALSE))</f>
        <v>EXCEL</v>
      </c>
      <c r="P24" s="48"/>
      <c r="Q24" s="14"/>
      <c r="R24" s="14"/>
      <c r="S24" s="14"/>
    </row>
    <row r="25" spans="1:19" ht="25.5" customHeight="1">
      <c r="A25" s="2595"/>
      <c r="B25" s="2596"/>
      <c r="C25" s="2487"/>
      <c r="D25" s="1576"/>
      <c r="E25" s="1577" t="s">
        <v>769</v>
      </c>
      <c r="F25" s="1578" t="s">
        <v>770</v>
      </c>
      <c r="G25" s="1579"/>
      <c r="H25" s="1580"/>
      <c r="I25" s="1581"/>
      <c r="J25" s="1582"/>
      <c r="K25" s="1582"/>
      <c r="L25" s="1581"/>
      <c r="M25" s="2502"/>
      <c r="N25" s="2581"/>
      <c r="O25" s="2491"/>
      <c r="P25" s="48"/>
      <c r="Q25" s="14"/>
      <c r="R25" s="14"/>
      <c r="S25" s="14"/>
    </row>
    <row r="26" spans="1:19" ht="25.5" customHeight="1">
      <c r="A26" s="2595"/>
      <c r="B26" s="2596"/>
      <c r="C26" s="2487"/>
      <c r="D26" s="1576"/>
      <c r="E26" s="1577" t="s">
        <v>771</v>
      </c>
      <c r="F26" s="1583" t="s">
        <v>768</v>
      </c>
      <c r="G26" s="1579"/>
      <c r="H26" s="1580"/>
      <c r="I26" s="1581"/>
      <c r="J26" s="1582"/>
      <c r="K26" s="1582"/>
      <c r="L26" s="1581"/>
      <c r="M26" s="2502"/>
      <c r="N26" s="2581"/>
      <c r="O26" s="2491"/>
      <c r="P26" s="48"/>
      <c r="Q26" s="14"/>
      <c r="R26" s="14"/>
      <c r="S26" s="14"/>
    </row>
    <row r="27" spans="1:19" ht="25.5" customHeight="1">
      <c r="A27" s="2595"/>
      <c r="B27" s="2039"/>
      <c r="C27" s="2488"/>
      <c r="D27" s="1584"/>
      <c r="E27" s="1585" t="s">
        <v>772</v>
      </c>
      <c r="F27" s="1586" t="s">
        <v>770</v>
      </c>
      <c r="G27" s="1587"/>
      <c r="H27" s="1588"/>
      <c r="I27" s="1589"/>
      <c r="J27" s="1590"/>
      <c r="K27" s="1590"/>
      <c r="L27" s="1589"/>
      <c r="M27" s="2503"/>
      <c r="N27" s="2582"/>
      <c r="O27" s="2491"/>
      <c r="P27" s="48"/>
      <c r="Q27" s="14"/>
      <c r="R27" s="14"/>
      <c r="S27" s="14"/>
    </row>
    <row r="28" spans="1:19" ht="25.5" customHeight="1">
      <c r="A28" s="2594" t="s">
        <v>1096</v>
      </c>
      <c r="B28" s="2206" t="s">
        <v>1242</v>
      </c>
      <c r="C28" s="2213"/>
      <c r="D28" s="625"/>
      <c r="E28" s="2525" t="s">
        <v>54</v>
      </c>
      <c r="F28" s="2523" t="s">
        <v>811</v>
      </c>
      <c r="G28" s="582" t="s">
        <v>850</v>
      </c>
      <c r="H28" s="597" t="s">
        <v>391</v>
      </c>
      <c r="I28" s="583"/>
      <c r="J28" s="583"/>
      <c r="K28" s="583"/>
      <c r="L28" s="2607"/>
      <c r="M28" s="2599"/>
      <c r="N28" s="2609" t="s">
        <v>1488</v>
      </c>
      <c r="O28" s="2616" t="s">
        <v>197</v>
      </c>
      <c r="P28" s="14"/>
      <c r="Q28" s="14"/>
      <c r="R28" s="14"/>
      <c r="S28" s="14"/>
    </row>
    <row r="29" spans="1:19" ht="25.5" customHeight="1">
      <c r="A29" s="2594"/>
      <c r="B29" s="2472"/>
      <c r="C29" s="2473"/>
      <c r="D29" s="288"/>
      <c r="E29" s="2510"/>
      <c r="F29" s="2524"/>
      <c r="G29" s="584" t="s">
        <v>851</v>
      </c>
      <c r="H29" s="598" t="s">
        <v>391</v>
      </c>
      <c r="I29" s="585"/>
      <c r="J29" s="585"/>
      <c r="K29" s="585"/>
      <c r="L29" s="2608"/>
      <c r="M29" s="2600"/>
      <c r="N29" s="2610"/>
      <c r="O29" s="2616"/>
      <c r="P29" s="14"/>
      <c r="Q29" s="14"/>
      <c r="R29" s="14"/>
      <c r="S29" s="14"/>
    </row>
    <row r="30" spans="1:19" ht="25.5" customHeight="1">
      <c r="A30" s="2594"/>
      <c r="B30" s="2472"/>
      <c r="C30" s="2473"/>
      <c r="D30" s="282"/>
      <c r="E30" s="515" t="s">
        <v>55</v>
      </c>
      <c r="F30" s="267" t="s">
        <v>848</v>
      </c>
      <c r="G30" s="618"/>
      <c r="H30" s="355"/>
      <c r="I30" s="1382"/>
      <c r="J30" s="1382"/>
      <c r="K30" s="1382"/>
      <c r="L30" s="1382"/>
      <c r="M30" s="1611"/>
      <c r="N30" s="1594" t="s">
        <v>1476</v>
      </c>
      <c r="O30" s="2616"/>
      <c r="P30" s="14"/>
      <c r="Q30" s="14"/>
      <c r="R30" s="14"/>
      <c r="S30" s="14"/>
    </row>
    <row r="31" spans="1:19" ht="25.5" customHeight="1">
      <c r="A31" s="2594"/>
      <c r="B31" s="2472"/>
      <c r="C31" s="2473"/>
      <c r="D31" s="286"/>
      <c r="E31" s="1412" t="s">
        <v>101</v>
      </c>
      <c r="F31" s="566" t="s">
        <v>774</v>
      </c>
      <c r="G31" s="567"/>
      <c r="H31" s="600"/>
      <c r="I31" s="1415"/>
      <c r="J31" s="1415"/>
      <c r="K31" s="1415"/>
      <c r="L31" s="1415"/>
      <c r="M31" s="1597"/>
      <c r="N31" s="1613" t="s">
        <v>1480</v>
      </c>
      <c r="O31" s="2097"/>
      <c r="P31" s="14"/>
      <c r="Q31" s="14"/>
      <c r="R31" s="14"/>
      <c r="S31" s="14"/>
    </row>
    <row r="32" spans="1:19" ht="25.5" customHeight="1">
      <c r="A32" s="2594"/>
      <c r="B32" s="2591"/>
      <c r="C32" s="2592"/>
      <c r="D32" s="505"/>
      <c r="E32" s="1422" t="s">
        <v>775</v>
      </c>
      <c r="F32" s="269" t="s">
        <v>776</v>
      </c>
      <c r="G32" s="619"/>
      <c r="H32" s="358"/>
      <c r="I32" s="1383"/>
      <c r="J32" s="1383"/>
      <c r="K32" s="1383"/>
      <c r="L32" s="1383"/>
      <c r="M32" s="1620"/>
      <c r="N32" s="1595" t="s">
        <v>1481</v>
      </c>
      <c r="O32" s="1637"/>
      <c r="P32" s="14"/>
      <c r="Q32" s="14"/>
      <c r="R32" s="14"/>
      <c r="S32" s="14"/>
    </row>
    <row r="33" spans="1:19" ht="41.1" hidden="1" customHeight="1">
      <c r="A33" s="2364">
        <v>2071</v>
      </c>
      <c r="B33" s="2451" t="s">
        <v>1642</v>
      </c>
      <c r="C33" s="2537" t="s">
        <v>1103</v>
      </c>
      <c r="D33" s="1398"/>
      <c r="E33" s="1407" t="s">
        <v>868</v>
      </c>
      <c r="F33" s="626" t="s">
        <v>838</v>
      </c>
      <c r="G33" s="620"/>
      <c r="H33" s="627"/>
      <c r="I33" s="1397"/>
      <c r="J33" s="1397"/>
      <c r="K33" s="1397"/>
      <c r="L33" s="1397"/>
      <c r="M33" s="1612"/>
      <c r="N33" s="1398"/>
      <c r="O33" s="1378" t="s">
        <v>197</v>
      </c>
      <c r="P33" s="48" t="s">
        <v>103</v>
      </c>
      <c r="Q33" s="2297" t="s">
        <v>1646</v>
      </c>
      <c r="R33" s="14"/>
      <c r="S33" s="14"/>
    </row>
    <row r="34" spans="1:19" ht="25.5" hidden="1" customHeight="1">
      <c r="A34" s="2365"/>
      <c r="B34" s="2596"/>
      <c r="C34" s="2538"/>
      <c r="D34" s="279"/>
      <c r="E34" s="1035" t="s">
        <v>43</v>
      </c>
      <c r="F34" s="263" t="s">
        <v>839</v>
      </c>
      <c r="G34" s="617"/>
      <c r="H34" s="352"/>
      <c r="I34" s="1381"/>
      <c r="J34" s="1381"/>
      <c r="K34" s="1381"/>
      <c r="L34" s="1381"/>
      <c r="M34" s="2613" t="s">
        <v>1468</v>
      </c>
      <c r="N34" s="279"/>
      <c r="O34" s="2149" t="str">
        <f>HYPERLINK(VLOOKUP(F34,LINK,2,FALSE),VLOOKUP(F34,LINK,3,FALSE))</f>
        <v>EXCEL</v>
      </c>
      <c r="P34" s="48" t="s">
        <v>103</v>
      </c>
      <c r="Q34" s="2619"/>
      <c r="R34" s="14"/>
      <c r="S34" s="14"/>
    </row>
    <row r="35" spans="1:19" ht="25.5" hidden="1" customHeight="1">
      <c r="A35" s="2365"/>
      <c r="B35" s="2596"/>
      <c r="C35" s="2538"/>
      <c r="D35" s="282"/>
      <c r="E35" s="515" t="s">
        <v>44</v>
      </c>
      <c r="F35" s="267" t="s">
        <v>840</v>
      </c>
      <c r="G35" s="618"/>
      <c r="H35" s="355"/>
      <c r="I35" s="1382"/>
      <c r="J35" s="1382"/>
      <c r="K35" s="1382"/>
      <c r="L35" s="1382"/>
      <c r="M35" s="2614"/>
      <c r="N35" s="282"/>
      <c r="O35" s="2149"/>
      <c r="P35" s="48" t="s">
        <v>103</v>
      </c>
      <c r="Q35" s="2619"/>
      <c r="R35" s="14"/>
      <c r="S35" s="14"/>
    </row>
    <row r="36" spans="1:19" ht="25.5" hidden="1" customHeight="1">
      <c r="A36" s="2365"/>
      <c r="B36" s="2596"/>
      <c r="C36" s="2538"/>
      <c r="D36" s="282"/>
      <c r="E36" s="515" t="s">
        <v>45</v>
      </c>
      <c r="F36" s="267" t="s">
        <v>841</v>
      </c>
      <c r="G36" s="618"/>
      <c r="H36" s="355"/>
      <c r="I36" s="1382"/>
      <c r="J36" s="1382"/>
      <c r="K36" s="1382"/>
      <c r="L36" s="1382"/>
      <c r="M36" s="2615"/>
      <c r="N36" s="282"/>
      <c r="O36" s="2149"/>
      <c r="P36" s="14"/>
      <c r="Q36" s="2619"/>
      <c r="R36" s="14"/>
      <c r="S36" s="14"/>
    </row>
    <row r="37" spans="1:19" ht="25.5" hidden="1" customHeight="1">
      <c r="A37" s="2365"/>
      <c r="B37" s="2596"/>
      <c r="C37" s="2538"/>
      <c r="D37" s="282"/>
      <c r="E37" s="515" t="s">
        <v>46</v>
      </c>
      <c r="F37" s="267" t="s">
        <v>842</v>
      </c>
      <c r="G37" s="618"/>
      <c r="H37" s="355"/>
      <c r="I37" s="1382"/>
      <c r="J37" s="1382"/>
      <c r="K37" s="1382"/>
      <c r="L37" s="1382"/>
      <c r="M37" s="1596"/>
      <c r="N37" s="282"/>
      <c r="O37" s="2149"/>
      <c r="P37" s="14"/>
      <c r="Q37" s="2619"/>
      <c r="R37" s="14"/>
      <c r="S37" s="14"/>
    </row>
    <row r="38" spans="1:19" ht="19.5" hidden="1" customHeight="1">
      <c r="A38" s="2365"/>
      <c r="B38" s="2596"/>
      <c r="C38" s="2538"/>
      <c r="D38" s="286"/>
      <c r="E38" s="2543" t="s">
        <v>47</v>
      </c>
      <c r="F38" s="2511" t="s">
        <v>802</v>
      </c>
      <c r="G38" s="574" t="s">
        <v>864</v>
      </c>
      <c r="H38" s="592"/>
      <c r="I38" s="2504"/>
      <c r="J38" s="2518"/>
      <c r="K38" s="2518"/>
      <c r="L38" s="2504"/>
      <c r="M38" s="2468"/>
      <c r="N38" s="2468" t="s">
        <v>1494</v>
      </c>
      <c r="O38" s="2149"/>
      <c r="P38" s="14"/>
      <c r="Q38" s="2619"/>
      <c r="R38" s="14"/>
      <c r="S38" s="14"/>
    </row>
    <row r="39" spans="1:19" ht="19.5" hidden="1" customHeight="1">
      <c r="A39" s="2365"/>
      <c r="B39" s="2596"/>
      <c r="C39" s="2538"/>
      <c r="D39" s="613"/>
      <c r="E39" s="2253"/>
      <c r="F39" s="2512"/>
      <c r="G39" s="576" t="s">
        <v>853</v>
      </c>
      <c r="H39" s="593"/>
      <c r="I39" s="2439"/>
      <c r="J39" s="2519"/>
      <c r="K39" s="2519"/>
      <c r="L39" s="2439"/>
      <c r="M39" s="2469"/>
      <c r="N39" s="2469"/>
      <c r="O39" s="2149"/>
      <c r="P39" s="14"/>
      <c r="Q39" s="2619"/>
      <c r="R39" s="14"/>
      <c r="S39" s="14"/>
    </row>
    <row r="40" spans="1:19" ht="19.5" hidden="1" customHeight="1">
      <c r="A40" s="2365"/>
      <c r="B40" s="2596"/>
      <c r="C40" s="2538"/>
      <c r="D40" s="288"/>
      <c r="E40" s="2544"/>
      <c r="F40" s="2545"/>
      <c r="G40" s="580" t="s">
        <v>852</v>
      </c>
      <c r="H40" s="594"/>
      <c r="I40" s="2505"/>
      <c r="J40" s="2520"/>
      <c r="K40" s="2520"/>
      <c r="L40" s="2505"/>
      <c r="M40" s="2517"/>
      <c r="N40" s="2517"/>
      <c r="O40" s="2149"/>
      <c r="P40" s="14"/>
      <c r="Q40" s="2619"/>
      <c r="R40" s="14"/>
      <c r="S40" s="14"/>
    </row>
    <row r="41" spans="1:19" ht="19.5" hidden="1" customHeight="1">
      <c r="A41" s="2365"/>
      <c r="B41" s="2596"/>
      <c r="C41" s="2538"/>
      <c r="D41" s="286"/>
      <c r="E41" s="2543" t="s">
        <v>48</v>
      </c>
      <c r="F41" s="2511" t="s">
        <v>808</v>
      </c>
      <c r="G41" s="574" t="s">
        <v>865</v>
      </c>
      <c r="H41" s="592"/>
      <c r="I41" s="2504"/>
      <c r="J41" s="2518"/>
      <c r="K41" s="2518"/>
      <c r="L41" s="2504"/>
      <c r="M41" s="2468"/>
      <c r="N41" s="2468" t="s">
        <v>1495</v>
      </c>
      <c r="O41" s="2149"/>
      <c r="P41" s="14"/>
      <c r="Q41" s="2619"/>
      <c r="R41" s="14"/>
      <c r="S41" s="14"/>
    </row>
    <row r="42" spans="1:19" ht="19.5" hidden="1" customHeight="1">
      <c r="A42" s="2365"/>
      <c r="B42" s="2596"/>
      <c r="C42" s="2538"/>
      <c r="D42" s="613"/>
      <c r="E42" s="2253"/>
      <c r="F42" s="2512"/>
      <c r="G42" s="576" t="s">
        <v>866</v>
      </c>
      <c r="H42" s="593"/>
      <c r="I42" s="2439"/>
      <c r="J42" s="2519"/>
      <c r="K42" s="2519"/>
      <c r="L42" s="2439"/>
      <c r="M42" s="2469"/>
      <c r="N42" s="2469"/>
      <c r="O42" s="2149"/>
      <c r="P42" s="14"/>
      <c r="Q42" s="2619"/>
      <c r="R42" s="14"/>
      <c r="S42" s="14"/>
    </row>
    <row r="43" spans="1:19" ht="19.5" hidden="1" customHeight="1">
      <c r="A43" s="2365"/>
      <c r="B43" s="2596"/>
      <c r="C43" s="2538"/>
      <c r="D43" s="613"/>
      <c r="E43" s="2253"/>
      <c r="F43" s="2512"/>
      <c r="G43" s="576" t="s">
        <v>851</v>
      </c>
      <c r="H43" s="593"/>
      <c r="I43" s="2439"/>
      <c r="J43" s="2519"/>
      <c r="K43" s="2519"/>
      <c r="L43" s="2439"/>
      <c r="M43" s="2469"/>
      <c r="N43" s="2469"/>
      <c r="O43" s="2149"/>
      <c r="P43" s="14"/>
      <c r="Q43" s="2619"/>
      <c r="R43" s="14"/>
      <c r="S43" s="14"/>
    </row>
    <row r="44" spans="1:19" ht="19.5" hidden="1" customHeight="1">
      <c r="A44" s="2365"/>
      <c r="B44" s="2596"/>
      <c r="C44" s="2593"/>
      <c r="D44" s="624"/>
      <c r="E44" s="2254"/>
      <c r="F44" s="2513"/>
      <c r="G44" s="578" t="s">
        <v>867</v>
      </c>
      <c r="H44" s="595"/>
      <c r="I44" s="2163"/>
      <c r="J44" s="2528"/>
      <c r="K44" s="2528"/>
      <c r="L44" s="2163"/>
      <c r="M44" s="2470"/>
      <c r="N44" s="2470"/>
      <c r="O44" s="2149"/>
      <c r="P44" s="14"/>
      <c r="Q44" s="2619"/>
      <c r="R44" s="14"/>
      <c r="S44" s="14"/>
    </row>
    <row r="45" spans="1:19" ht="25.5" customHeight="1">
      <c r="A45" s="2365"/>
      <c r="B45" s="2596"/>
      <c r="C45" s="2537" t="s">
        <v>1102</v>
      </c>
      <c r="D45" s="279"/>
      <c r="E45" s="1880" t="s">
        <v>49</v>
      </c>
      <c r="F45" s="1879" t="s">
        <v>843</v>
      </c>
      <c r="G45" s="617"/>
      <c r="H45" s="352"/>
      <c r="I45" s="1873"/>
      <c r="J45" s="1873"/>
      <c r="K45" s="1873"/>
      <c r="L45" s="1873"/>
      <c r="M45" s="2588" t="s">
        <v>1485</v>
      </c>
      <c r="N45" s="1627" t="s">
        <v>1644</v>
      </c>
      <c r="O45" s="2577" t="str">
        <f>HYPERLINK(VLOOKUP(F45,LINK,2,FALSE),VLOOKUP(F45,LINK,3,FALSE))</f>
        <v>EXCEL</v>
      </c>
      <c r="P45" s="48" t="s">
        <v>103</v>
      </c>
      <c r="Q45" s="2619"/>
      <c r="R45" s="14"/>
      <c r="S45" s="14"/>
    </row>
    <row r="46" spans="1:19" ht="25.5" customHeight="1">
      <c r="A46" s="2365"/>
      <c r="B46" s="2596"/>
      <c r="C46" s="2538"/>
      <c r="D46" s="1875"/>
      <c r="E46" s="515" t="s">
        <v>49</v>
      </c>
      <c r="F46" s="1874" t="s">
        <v>843</v>
      </c>
      <c r="G46" s="618"/>
      <c r="H46" s="355"/>
      <c r="I46" s="1876"/>
      <c r="J46" s="1876"/>
      <c r="K46" s="1876"/>
      <c r="L46" s="1876"/>
      <c r="M46" s="2589"/>
      <c r="N46" s="1886" t="s">
        <v>1645</v>
      </c>
      <c r="O46" s="2577"/>
      <c r="P46" s="48"/>
      <c r="Q46" s="2619"/>
      <c r="R46" s="14"/>
      <c r="S46" s="14"/>
    </row>
    <row r="47" spans="1:19" ht="25.5" customHeight="1">
      <c r="A47" s="2365"/>
      <c r="B47" s="2596"/>
      <c r="C47" s="2538"/>
      <c r="D47" s="282"/>
      <c r="E47" s="515" t="s">
        <v>50</v>
      </c>
      <c r="F47" s="267" t="s">
        <v>844</v>
      </c>
      <c r="G47" s="618"/>
      <c r="H47" s="355"/>
      <c r="I47" s="1382"/>
      <c r="J47" s="1382"/>
      <c r="K47" s="1382"/>
      <c r="L47" s="1382"/>
      <c r="M47" s="2589"/>
      <c r="N47" s="1628" t="s">
        <v>1657</v>
      </c>
      <c r="O47" s="2577"/>
      <c r="P47" s="48" t="s">
        <v>103</v>
      </c>
      <c r="Q47" s="2619"/>
      <c r="R47" s="14"/>
      <c r="S47" s="14"/>
    </row>
    <row r="48" spans="1:19" ht="25.5" customHeight="1">
      <c r="A48" s="2365"/>
      <c r="B48" s="2596"/>
      <c r="C48" s="2538"/>
      <c r="D48" s="282"/>
      <c r="E48" s="515" t="s">
        <v>51</v>
      </c>
      <c r="F48" s="267" t="s">
        <v>845</v>
      </c>
      <c r="G48" s="618"/>
      <c r="H48" s="355"/>
      <c r="I48" s="1382"/>
      <c r="J48" s="1382"/>
      <c r="K48" s="1382"/>
      <c r="L48" s="1382"/>
      <c r="M48" s="2590"/>
      <c r="N48" s="1628" t="s">
        <v>1656</v>
      </c>
      <c r="O48" s="2577"/>
      <c r="P48" s="48" t="s">
        <v>103</v>
      </c>
      <c r="Q48" s="2619"/>
      <c r="R48" s="14"/>
      <c r="S48" s="14"/>
    </row>
    <row r="49" spans="1:19" ht="25.5" customHeight="1">
      <c r="A49" s="2365"/>
      <c r="B49" s="2596"/>
      <c r="C49" s="2538"/>
      <c r="D49" s="282"/>
      <c r="E49" s="515" t="s">
        <v>93</v>
      </c>
      <c r="F49" s="566" t="s">
        <v>860</v>
      </c>
      <c r="G49" s="567"/>
      <c r="H49" s="600" t="s">
        <v>391</v>
      </c>
      <c r="I49" s="1382"/>
      <c r="J49" s="1382"/>
      <c r="K49" s="1382"/>
      <c r="L49" s="1382"/>
      <c r="M49" s="282"/>
      <c r="N49" s="1623"/>
      <c r="O49" s="2577"/>
      <c r="P49" s="14"/>
      <c r="Q49" s="2619"/>
      <c r="R49" s="1636"/>
      <c r="S49" s="14"/>
    </row>
    <row r="50" spans="1:19" ht="25.5" hidden="1" customHeight="1">
      <c r="A50" s="2365"/>
      <c r="B50" s="2596"/>
      <c r="C50" s="2538"/>
      <c r="D50" s="282"/>
      <c r="E50" s="515" t="s">
        <v>91</v>
      </c>
      <c r="F50" s="267" t="s">
        <v>861</v>
      </c>
      <c r="G50" s="618"/>
      <c r="H50" s="355" t="s">
        <v>392</v>
      </c>
      <c r="I50" s="1382"/>
      <c r="J50" s="611"/>
      <c r="K50" s="611"/>
      <c r="L50" s="1382"/>
      <c r="M50" s="515"/>
      <c r="N50" s="1624"/>
      <c r="O50" s="2577"/>
      <c r="P50" s="14"/>
      <c r="Q50" s="2619"/>
      <c r="R50" s="1636"/>
      <c r="S50" s="14"/>
    </row>
    <row r="51" spans="1:19" ht="25.5" hidden="1" customHeight="1">
      <c r="A51" s="2365"/>
      <c r="B51" s="2596"/>
      <c r="C51" s="2538"/>
      <c r="D51" s="282"/>
      <c r="E51" s="515" t="s">
        <v>504</v>
      </c>
      <c r="F51" s="267" t="s">
        <v>861</v>
      </c>
      <c r="G51" s="618"/>
      <c r="H51" s="355" t="s">
        <v>390</v>
      </c>
      <c r="I51" s="1382"/>
      <c r="J51" s="611"/>
      <c r="K51" s="611"/>
      <c r="L51" s="1382"/>
      <c r="M51" s="515"/>
      <c r="N51" s="1624"/>
      <c r="O51" s="2577"/>
      <c r="P51" s="14"/>
      <c r="Q51" s="2619"/>
      <c r="R51" s="1636"/>
      <c r="S51" s="14"/>
    </row>
    <row r="52" spans="1:19" ht="25.5" hidden="1" customHeight="1">
      <c r="A52" s="2365"/>
      <c r="B52" s="2596"/>
      <c r="C52" s="2538"/>
      <c r="D52" s="282"/>
      <c r="E52" s="515" t="s">
        <v>101</v>
      </c>
      <c r="F52" s="267" t="s">
        <v>862</v>
      </c>
      <c r="G52" s="618"/>
      <c r="H52" s="355" t="s">
        <v>859</v>
      </c>
      <c r="I52" s="1382"/>
      <c r="J52" s="611"/>
      <c r="K52" s="611"/>
      <c r="L52" s="1382"/>
      <c r="M52" s="515"/>
      <c r="N52" s="1624"/>
      <c r="O52" s="2577"/>
      <c r="P52" s="14"/>
      <c r="Q52" s="2619"/>
      <c r="R52" s="1636"/>
      <c r="S52" s="14"/>
    </row>
    <row r="53" spans="1:19" ht="25.5" hidden="1" customHeight="1">
      <c r="A53" s="2365"/>
      <c r="B53" s="2596"/>
      <c r="C53" s="2538"/>
      <c r="D53" s="283"/>
      <c r="E53" s="515" t="s">
        <v>846</v>
      </c>
      <c r="F53" s="267" t="s">
        <v>816</v>
      </c>
      <c r="G53" s="618"/>
      <c r="H53" s="355" t="s">
        <v>859</v>
      </c>
      <c r="I53" s="611"/>
      <c r="J53" s="611"/>
      <c r="K53" s="611"/>
      <c r="L53" s="611"/>
      <c r="M53" s="515"/>
      <c r="N53" s="1624"/>
      <c r="O53" s="2577"/>
      <c r="P53" s="14"/>
      <c r="Q53" s="2619"/>
      <c r="R53" s="14"/>
      <c r="S53" s="14"/>
    </row>
    <row r="54" spans="1:19" ht="25.5" hidden="1" customHeight="1">
      <c r="A54" s="2365"/>
      <c r="B54" s="2596"/>
      <c r="C54" s="2538"/>
      <c r="D54" s="283"/>
      <c r="E54" s="515" t="s">
        <v>847</v>
      </c>
      <c r="F54" s="267" t="s">
        <v>816</v>
      </c>
      <c r="G54" s="618"/>
      <c r="H54" s="355" t="s">
        <v>859</v>
      </c>
      <c r="I54" s="611"/>
      <c r="J54" s="611"/>
      <c r="K54" s="611"/>
      <c r="L54" s="611"/>
      <c r="M54" s="515"/>
      <c r="N54" s="1624"/>
      <c r="O54" s="2577"/>
      <c r="P54" s="14"/>
      <c r="Q54" s="2619"/>
      <c r="R54" s="14"/>
      <c r="S54" s="14"/>
    </row>
    <row r="55" spans="1:19" ht="25.5" hidden="1" customHeight="1">
      <c r="A55" s="2365"/>
      <c r="B55" s="2596"/>
      <c r="C55" s="2538"/>
      <c r="D55" s="286"/>
      <c r="E55" s="2543" t="s">
        <v>47</v>
      </c>
      <c r="F55" s="2511" t="s">
        <v>863</v>
      </c>
      <c r="G55" s="574" t="s">
        <v>521</v>
      </c>
      <c r="H55" s="592"/>
      <c r="I55" s="2504"/>
      <c r="J55" s="2518"/>
      <c r="K55" s="2518"/>
      <c r="L55" s="2551"/>
      <c r="M55" s="2506"/>
      <c r="N55" s="2546" t="s">
        <v>1487</v>
      </c>
      <c r="O55" s="2577"/>
      <c r="P55" s="48" t="s">
        <v>103</v>
      </c>
      <c r="Q55" s="2619"/>
      <c r="R55" s="14"/>
      <c r="S55" s="1146"/>
    </row>
    <row r="56" spans="1:19" ht="25.5" hidden="1" customHeight="1">
      <c r="A56" s="2365"/>
      <c r="B56" s="2596"/>
      <c r="C56" s="2538"/>
      <c r="D56" s="613"/>
      <c r="E56" s="2253"/>
      <c r="F56" s="2512"/>
      <c r="G56" s="576" t="s">
        <v>851</v>
      </c>
      <c r="H56" s="593"/>
      <c r="I56" s="2439"/>
      <c r="J56" s="2519"/>
      <c r="K56" s="2519"/>
      <c r="L56" s="2552"/>
      <c r="M56" s="2359"/>
      <c r="N56" s="2547"/>
      <c r="O56" s="2577"/>
      <c r="P56" s="48"/>
      <c r="Q56" s="2619"/>
      <c r="R56" s="14"/>
      <c r="S56" s="14"/>
    </row>
    <row r="57" spans="1:19" ht="25.5" hidden="1" customHeight="1">
      <c r="A57" s="2365"/>
      <c r="B57" s="2596"/>
      <c r="C57" s="2538"/>
      <c r="D57" s="613"/>
      <c r="E57" s="2253"/>
      <c r="F57" s="2512"/>
      <c r="G57" s="576" t="s">
        <v>853</v>
      </c>
      <c r="H57" s="593"/>
      <c r="I57" s="2439"/>
      <c r="J57" s="2519"/>
      <c r="K57" s="2519"/>
      <c r="L57" s="2552"/>
      <c r="M57" s="2359"/>
      <c r="N57" s="2547"/>
      <c r="O57" s="2577"/>
      <c r="P57" s="48"/>
      <c r="Q57" s="2619"/>
      <c r="R57" s="14"/>
      <c r="S57" s="14"/>
    </row>
    <row r="58" spans="1:19" ht="25.5" hidden="1" customHeight="1">
      <c r="A58" s="2365"/>
      <c r="B58" s="2596"/>
      <c r="C58" s="2538"/>
      <c r="D58" s="288"/>
      <c r="E58" s="2544"/>
      <c r="F58" s="2545"/>
      <c r="G58" s="580" t="s">
        <v>852</v>
      </c>
      <c r="H58" s="594"/>
      <c r="I58" s="2505"/>
      <c r="J58" s="2520"/>
      <c r="K58" s="2520"/>
      <c r="L58" s="2553"/>
      <c r="M58" s="2507"/>
      <c r="N58" s="2548"/>
      <c r="O58" s="2577"/>
      <c r="P58" s="48"/>
      <c r="Q58" s="2619"/>
      <c r="R58" s="14"/>
      <c r="S58" s="14"/>
    </row>
    <row r="59" spans="1:19" ht="25.5" hidden="1" customHeight="1">
      <c r="A59" s="2365"/>
      <c r="B59" s="2596"/>
      <c r="C59" s="2538"/>
      <c r="D59" s="282"/>
      <c r="E59" s="515" t="s">
        <v>52</v>
      </c>
      <c r="F59" s="267" t="s">
        <v>855</v>
      </c>
      <c r="G59" s="618" t="s">
        <v>851</v>
      </c>
      <c r="H59" s="355"/>
      <c r="I59" s="611"/>
      <c r="J59" s="611"/>
      <c r="K59" s="611"/>
      <c r="L59" s="611"/>
      <c r="M59" s="1596"/>
      <c r="N59" s="1625"/>
      <c r="O59" s="2577"/>
      <c r="P59" s="14"/>
      <c r="Q59" s="2619"/>
      <c r="R59" s="14"/>
      <c r="S59" s="14"/>
    </row>
    <row r="60" spans="1:19" ht="25.5" hidden="1" customHeight="1">
      <c r="A60" s="2365"/>
      <c r="B60" s="2596"/>
      <c r="C60" s="2538"/>
      <c r="D60" s="614"/>
      <c r="E60" s="2543" t="s">
        <v>48</v>
      </c>
      <c r="F60" s="2549" t="s">
        <v>854</v>
      </c>
      <c r="G60" s="621" t="s">
        <v>850</v>
      </c>
      <c r="H60" s="592"/>
      <c r="I60" s="2601"/>
      <c r="J60" s="2554"/>
      <c r="K60" s="2554"/>
      <c r="L60" s="2551"/>
      <c r="M60" s="2583"/>
      <c r="N60" s="2586" t="s">
        <v>1486</v>
      </c>
      <c r="O60" s="2577"/>
      <c r="P60" s="48"/>
      <c r="Q60" s="48" t="s">
        <v>138</v>
      </c>
      <c r="R60" s="14"/>
      <c r="S60" s="14"/>
    </row>
    <row r="61" spans="1:19" ht="25.5" hidden="1" customHeight="1">
      <c r="A61" s="2365"/>
      <c r="B61" s="2596"/>
      <c r="C61" s="2538"/>
      <c r="D61" s="615"/>
      <c r="E61" s="2155"/>
      <c r="F61" s="2550"/>
      <c r="G61" s="621" t="s">
        <v>851</v>
      </c>
      <c r="H61" s="593"/>
      <c r="I61" s="2602"/>
      <c r="J61" s="2555"/>
      <c r="K61" s="2555"/>
      <c r="L61" s="2552"/>
      <c r="M61" s="2155"/>
      <c r="N61" s="2587"/>
      <c r="O61" s="2577"/>
      <c r="P61" s="48"/>
      <c r="Q61" s="48"/>
      <c r="R61" s="14"/>
      <c r="S61" s="1385"/>
    </row>
    <row r="62" spans="1:19" ht="25.5" hidden="1" customHeight="1">
      <c r="A62" s="2365"/>
      <c r="B62" s="2596"/>
      <c r="C62" s="2538"/>
      <c r="D62" s="615"/>
      <c r="E62" s="2155"/>
      <c r="F62" s="2550"/>
      <c r="G62" s="621" t="s">
        <v>852</v>
      </c>
      <c r="H62" s="593"/>
      <c r="I62" s="2602"/>
      <c r="J62" s="2555"/>
      <c r="K62" s="2555"/>
      <c r="L62" s="2552"/>
      <c r="M62" s="2155"/>
      <c r="N62" s="2587"/>
      <c r="O62" s="2577"/>
      <c r="P62" s="48"/>
      <c r="Q62" s="48"/>
      <c r="R62" s="14"/>
      <c r="S62" s="1385"/>
    </row>
    <row r="63" spans="1:19" ht="25.5" hidden="1" customHeight="1">
      <c r="A63" s="2365"/>
      <c r="B63" s="2596"/>
      <c r="C63" s="2538"/>
      <c r="D63" s="615"/>
      <c r="E63" s="2155"/>
      <c r="F63" s="2550"/>
      <c r="G63" s="621" t="s">
        <v>853</v>
      </c>
      <c r="H63" s="593"/>
      <c r="I63" s="2602"/>
      <c r="J63" s="2555"/>
      <c r="K63" s="2555"/>
      <c r="L63" s="2552"/>
      <c r="M63" s="2155"/>
      <c r="N63" s="2587"/>
      <c r="O63" s="2577"/>
      <c r="P63" s="48"/>
      <c r="Q63" s="48"/>
      <c r="R63" s="14"/>
      <c r="S63" s="1385"/>
    </row>
    <row r="64" spans="1:19" ht="25.5" customHeight="1">
      <c r="A64" s="2365"/>
      <c r="B64" s="2596"/>
      <c r="C64" s="2486" t="s">
        <v>1493</v>
      </c>
      <c r="D64" s="1569"/>
      <c r="E64" s="1570" t="s">
        <v>767</v>
      </c>
      <c r="F64" s="1571" t="s">
        <v>768</v>
      </c>
      <c r="G64" s="1572"/>
      <c r="H64" s="1573"/>
      <c r="I64" s="1574"/>
      <c r="J64" s="1575"/>
      <c r="K64" s="1575"/>
      <c r="L64" s="1574"/>
      <c r="M64" s="2501" t="s">
        <v>1471</v>
      </c>
      <c r="N64" s="2580" t="s">
        <v>1473</v>
      </c>
      <c r="O64" s="2491" t="str">
        <f>HYPERLINK(VLOOKUP(F64,LINK,2,FALSE),VLOOKUP(F64,LINK,3,FALSE))</f>
        <v>EXCEL</v>
      </c>
      <c r="P64" s="48"/>
      <c r="Q64" s="14"/>
      <c r="R64" s="14"/>
      <c r="S64" s="14"/>
    </row>
    <row r="65" spans="1:19" ht="25.5" customHeight="1">
      <c r="A65" s="2365"/>
      <c r="B65" s="2596"/>
      <c r="C65" s="2487"/>
      <c r="D65" s="1576"/>
      <c r="E65" s="1577" t="s">
        <v>769</v>
      </c>
      <c r="F65" s="1578" t="s">
        <v>770</v>
      </c>
      <c r="G65" s="1579"/>
      <c r="H65" s="1580"/>
      <c r="I65" s="1581"/>
      <c r="J65" s="1582"/>
      <c r="K65" s="1582"/>
      <c r="L65" s="1581"/>
      <c r="M65" s="2502"/>
      <c r="N65" s="2581"/>
      <c r="O65" s="2491"/>
      <c r="P65" s="48"/>
      <c r="Q65" s="14"/>
      <c r="R65" s="14"/>
      <c r="S65" s="14"/>
    </row>
    <row r="66" spans="1:19" ht="25.5" customHeight="1">
      <c r="A66" s="2365"/>
      <c r="B66" s="2596"/>
      <c r="C66" s="2487"/>
      <c r="D66" s="1576"/>
      <c r="E66" s="1577" t="s">
        <v>771</v>
      </c>
      <c r="F66" s="1583" t="s">
        <v>768</v>
      </c>
      <c r="G66" s="1579"/>
      <c r="H66" s="1580"/>
      <c r="I66" s="1581"/>
      <c r="J66" s="1582"/>
      <c r="K66" s="1582"/>
      <c r="L66" s="1581"/>
      <c r="M66" s="2502"/>
      <c r="N66" s="2581"/>
      <c r="O66" s="2491"/>
      <c r="P66" s="48"/>
      <c r="Q66" s="14"/>
      <c r="R66" s="14"/>
      <c r="S66" s="14"/>
    </row>
    <row r="67" spans="1:19" ht="25.5" customHeight="1">
      <c r="A67" s="2365"/>
      <c r="B67" s="2596"/>
      <c r="C67" s="2488"/>
      <c r="D67" s="1584"/>
      <c r="E67" s="1585" t="s">
        <v>772</v>
      </c>
      <c r="F67" s="1586" t="s">
        <v>770</v>
      </c>
      <c r="G67" s="1587"/>
      <c r="H67" s="1588"/>
      <c r="I67" s="1589"/>
      <c r="J67" s="1590"/>
      <c r="K67" s="1590"/>
      <c r="L67" s="1589"/>
      <c r="M67" s="2503"/>
      <c r="N67" s="2582"/>
      <c r="O67" s="2491"/>
      <c r="P67" s="48"/>
      <c r="Q67" s="14"/>
      <c r="R67" s="14"/>
      <c r="S67" s="14"/>
    </row>
    <row r="68" spans="1:19" ht="32.4">
      <c r="A68" s="2366"/>
      <c r="B68" s="2039"/>
      <c r="C68" s="1877" t="s">
        <v>1636</v>
      </c>
      <c r="D68" s="1881"/>
      <c r="E68" s="1885" t="s">
        <v>1648</v>
      </c>
      <c r="F68" s="1884" t="s">
        <v>1638</v>
      </c>
      <c r="G68" s="2529" t="s">
        <v>1639</v>
      </c>
      <c r="H68" s="2530"/>
      <c r="I68" s="1882"/>
      <c r="J68" s="1883"/>
      <c r="K68" s="1883"/>
      <c r="L68" s="1882"/>
      <c r="M68" s="1878"/>
      <c r="N68" s="1888" t="s">
        <v>1647</v>
      </c>
      <c r="O68" s="1642"/>
    </row>
    <row r="69" spans="1:19" ht="25.5" customHeight="1">
      <c r="A69" s="2595" t="s">
        <v>1097</v>
      </c>
      <c r="B69" s="2474" t="s">
        <v>1283</v>
      </c>
      <c r="C69" s="2221"/>
      <c r="D69" s="279"/>
      <c r="E69" s="1035" t="s">
        <v>777</v>
      </c>
      <c r="F69" s="568" t="s">
        <v>778</v>
      </c>
      <c r="G69" s="569"/>
      <c r="H69" s="601"/>
      <c r="I69" s="1381"/>
      <c r="J69" s="1381"/>
      <c r="K69" s="1381"/>
      <c r="L69" s="1381"/>
      <c r="M69" s="281"/>
      <c r="N69" s="281" t="str">
        <f>"WJ"&amp;H69</f>
        <v>WJ</v>
      </c>
      <c r="O69" s="2149" t="str">
        <f>HYPERLINK(VLOOKUP(F69,LINK,2,FALSE),VLOOKUP(F69,LINK,3,FALSE))</f>
        <v>EXCEL</v>
      </c>
      <c r="P69" s="14"/>
      <c r="Q69" s="14"/>
      <c r="R69" s="14"/>
      <c r="S69" s="14"/>
    </row>
    <row r="70" spans="1:19" ht="25.5" customHeight="1">
      <c r="A70" s="2595"/>
      <c r="B70" s="2221"/>
      <c r="C70" s="2221"/>
      <c r="D70" s="282"/>
      <c r="E70" s="515" t="s">
        <v>779</v>
      </c>
      <c r="F70" s="570" t="s">
        <v>780</v>
      </c>
      <c r="G70" s="571"/>
      <c r="H70" s="602"/>
      <c r="I70" s="1382"/>
      <c r="J70" s="1382"/>
      <c r="K70" s="1382"/>
      <c r="L70" s="1382"/>
      <c r="M70" s="1596"/>
      <c r="N70" s="1596" t="str">
        <f>"WW"&amp;H70</f>
        <v>WW</v>
      </c>
      <c r="O70" s="2149"/>
      <c r="P70" s="14"/>
      <c r="Q70" s="14"/>
      <c r="R70" s="14"/>
      <c r="S70" s="14"/>
    </row>
    <row r="71" spans="1:19" ht="25.5" customHeight="1">
      <c r="A71" s="2595"/>
      <c r="B71" s="2221"/>
      <c r="C71" s="2221"/>
      <c r="D71" s="505"/>
      <c r="E71" s="1422" t="s">
        <v>779</v>
      </c>
      <c r="F71" s="572" t="s">
        <v>780</v>
      </c>
      <c r="G71" s="573"/>
      <c r="H71" s="603"/>
      <c r="I71" s="1383"/>
      <c r="J71" s="1383"/>
      <c r="K71" s="1383"/>
      <c r="L71" s="1383"/>
      <c r="M71" s="1620"/>
      <c r="N71" s="1620" t="str">
        <f>"WW"&amp;H71</f>
        <v>WW</v>
      </c>
      <c r="O71" s="2149"/>
      <c r="P71" s="14"/>
      <c r="Q71" s="14"/>
      <c r="R71" s="14"/>
      <c r="S71" s="14"/>
    </row>
    <row r="72" spans="1:19" ht="25.5" customHeight="1">
      <c r="A72" s="2475">
        <v>1011</v>
      </c>
      <c r="B72" s="2234" t="s">
        <v>23</v>
      </c>
      <c r="C72" s="2234"/>
      <c r="D72" s="279"/>
      <c r="E72" s="1035" t="s">
        <v>158</v>
      </c>
      <c r="F72" s="2184" t="s">
        <v>159</v>
      </c>
      <c r="G72" s="2190"/>
      <c r="H72" s="2191"/>
      <c r="I72" s="279"/>
      <c r="J72" s="279"/>
      <c r="K72" s="279"/>
      <c r="L72" s="279"/>
      <c r="M72" s="287"/>
      <c r="N72" s="287"/>
      <c r="O72" s="2617" t="str">
        <f>HYPERLINK(VLOOKUP(F72,LINK,2,FALSE),VLOOKUP(F72,LINK,3,FALSE))</f>
        <v>EXCEL</v>
      </c>
      <c r="P72" s="14"/>
      <c r="Q72" s="14"/>
      <c r="R72" s="14"/>
      <c r="S72" s="14"/>
    </row>
    <row r="73" spans="1:19" ht="25.5" customHeight="1">
      <c r="A73" s="2476"/>
      <c r="B73" s="2235"/>
      <c r="C73" s="2235"/>
      <c r="D73" s="282"/>
      <c r="E73" s="515" t="s">
        <v>24</v>
      </c>
      <c r="F73" s="2192" t="s">
        <v>503</v>
      </c>
      <c r="G73" s="2193"/>
      <c r="H73" s="2194"/>
      <c r="I73" s="282"/>
      <c r="J73" s="282"/>
      <c r="K73" s="282"/>
      <c r="L73" s="282"/>
      <c r="M73" s="284"/>
      <c r="N73" s="284"/>
      <c r="O73" s="2617"/>
      <c r="P73" s="48" t="s">
        <v>1124</v>
      </c>
      <c r="Q73" s="14"/>
      <c r="R73" s="14"/>
      <c r="S73" s="14"/>
    </row>
    <row r="74" spans="1:19" ht="41.1" customHeight="1">
      <c r="A74" s="2476"/>
      <c r="B74" s="2235"/>
      <c r="C74" s="2235"/>
      <c r="D74" s="1552"/>
      <c r="E74" s="1553" t="s">
        <v>504</v>
      </c>
      <c r="F74" s="2226" t="s">
        <v>1455</v>
      </c>
      <c r="G74" s="2227"/>
      <c r="H74" s="2227"/>
      <c r="I74" s="1552"/>
      <c r="J74" s="1552"/>
      <c r="K74" s="1552"/>
      <c r="L74" s="1552"/>
      <c r="M74" s="282"/>
      <c r="N74" s="2459" t="s">
        <v>1630</v>
      </c>
      <c r="O74" s="2617"/>
      <c r="P74" s="48"/>
      <c r="Q74" s="14"/>
      <c r="R74" s="14"/>
      <c r="S74" s="14"/>
    </row>
    <row r="75" spans="1:19" ht="25.5" customHeight="1">
      <c r="A75" s="2477"/>
      <c r="B75" s="2236"/>
      <c r="C75" s="2236"/>
      <c r="D75" s="1555"/>
      <c r="E75" s="1556" t="s">
        <v>1453</v>
      </c>
      <c r="F75" s="2230" t="s">
        <v>1454</v>
      </c>
      <c r="G75" s="2230"/>
      <c r="H75" s="2230"/>
      <c r="I75" s="1549"/>
      <c r="J75" s="1549"/>
      <c r="K75" s="1549"/>
      <c r="L75" s="1549"/>
      <c r="M75" s="1555"/>
      <c r="N75" s="2460"/>
      <c r="O75" s="2617"/>
      <c r="P75" s="14"/>
      <c r="Q75" s="14"/>
      <c r="R75" s="14"/>
      <c r="S75" s="14"/>
    </row>
    <row r="76" spans="1:19" ht="25.5" customHeight="1">
      <c r="A76" s="1417" t="s">
        <v>1324</v>
      </c>
      <c r="B76" s="2474" t="s">
        <v>1211</v>
      </c>
      <c r="C76" s="2221"/>
      <c r="D76" s="1398"/>
      <c r="E76" s="1408" t="s">
        <v>1325</v>
      </c>
      <c r="F76" s="2458" t="s">
        <v>1474</v>
      </c>
      <c r="G76" s="2458"/>
      <c r="H76" s="2458"/>
      <c r="I76" s="1397"/>
      <c r="J76" s="1397"/>
      <c r="K76" s="1397"/>
      <c r="L76" s="1397"/>
      <c r="M76" s="1612"/>
      <c r="N76" s="1598" t="s">
        <v>1475</v>
      </c>
      <c r="O76" s="1378" t="s">
        <v>1478</v>
      </c>
      <c r="P76" s="14"/>
      <c r="Q76" s="14"/>
      <c r="R76" s="14"/>
      <c r="S76" s="14"/>
    </row>
    <row r="77" spans="1:19" ht="20.100000000000001" customHeight="1">
      <c r="A77" s="751"/>
      <c r="B77" s="2561"/>
      <c r="C77" s="2561"/>
      <c r="D77" s="2561"/>
      <c r="E77" s="2561"/>
      <c r="F77" s="2561"/>
      <c r="G77" s="2561"/>
      <c r="H77" s="2561"/>
      <c r="I77" s="2561"/>
      <c r="J77" s="2561"/>
      <c r="K77" s="2561"/>
      <c r="L77" s="2561"/>
      <c r="M77" s="2561"/>
      <c r="N77" s="2561"/>
      <c r="O77" s="2561"/>
      <c r="P77" s="2618"/>
      <c r="Q77" s="2618"/>
      <c r="R77" s="2618"/>
      <c r="S77" s="2618"/>
    </row>
    <row r="78" spans="1:19" ht="20.100000000000001" customHeight="1">
      <c r="A78" s="749"/>
      <c r="B78" s="2542"/>
      <c r="C78" s="2542"/>
      <c r="D78" s="2542"/>
      <c r="E78" s="2542"/>
      <c r="F78" s="2542"/>
      <c r="G78" s="2542"/>
      <c r="H78" s="2542"/>
      <c r="I78" s="2542"/>
      <c r="J78" s="2542"/>
      <c r="K78" s="2542"/>
      <c r="L78" s="2542"/>
      <c r="M78" s="2542"/>
      <c r="N78" s="2542"/>
      <c r="O78" s="2542"/>
      <c r="P78" s="2542"/>
      <c r="Q78" s="2542"/>
      <c r="R78" s="2542"/>
      <c r="S78" s="2542"/>
    </row>
  </sheetData>
  <mergeCells count="116">
    <mergeCell ref="A1:Q1"/>
    <mergeCell ref="J17:J19"/>
    <mergeCell ref="I17:I19"/>
    <mergeCell ref="L17:L19"/>
    <mergeCell ref="B12:B27"/>
    <mergeCell ref="I20:I23"/>
    <mergeCell ref="L20:L23"/>
    <mergeCell ref="N9:N11"/>
    <mergeCell ref="A9:A11"/>
    <mergeCell ref="A12:A27"/>
    <mergeCell ref="A4:A5"/>
    <mergeCell ref="B4:E5"/>
    <mergeCell ref="F4:G4"/>
    <mergeCell ref="H4:L4"/>
    <mergeCell ref="F5:G5"/>
    <mergeCell ref="H5:L5"/>
    <mergeCell ref="A2:A3"/>
    <mergeCell ref="B2:E3"/>
    <mergeCell ref="F2:G2"/>
    <mergeCell ref="H2:L2"/>
    <mergeCell ref="F3:G3"/>
    <mergeCell ref="H3:L3"/>
    <mergeCell ref="F6:H6"/>
    <mergeCell ref="C24:C27"/>
    <mergeCell ref="Q12:Q20"/>
    <mergeCell ref="O24:O27"/>
    <mergeCell ref="C12:C23"/>
    <mergeCell ref="O13:O23"/>
    <mergeCell ref="E17:E19"/>
    <mergeCell ref="N24:N27"/>
    <mergeCell ref="F20:F23"/>
    <mergeCell ref="J20:J23"/>
    <mergeCell ref="M20:M23"/>
    <mergeCell ref="N20:N23"/>
    <mergeCell ref="K17:K19"/>
    <mergeCell ref="K20:K23"/>
    <mergeCell ref="B6:C6"/>
    <mergeCell ref="B7:C7"/>
    <mergeCell ref="B8:C8"/>
    <mergeCell ref="Q33:Q59"/>
    <mergeCell ref="F28:F29"/>
    <mergeCell ref="M28:M29"/>
    <mergeCell ref="C33:C44"/>
    <mergeCell ref="F60:F63"/>
    <mergeCell ref="N41:N44"/>
    <mergeCell ref="E55:E58"/>
    <mergeCell ref="F55:F58"/>
    <mergeCell ref="N55:N58"/>
    <mergeCell ref="I38:I40"/>
    <mergeCell ref="E28:E29"/>
    <mergeCell ref="M38:M40"/>
    <mergeCell ref="N38:N40"/>
    <mergeCell ref="J41:J44"/>
    <mergeCell ref="J60:J63"/>
    <mergeCell ref="E41:E44"/>
    <mergeCell ref="M45:M48"/>
    <mergeCell ref="M55:M58"/>
    <mergeCell ref="M60:M63"/>
    <mergeCell ref="M34:M36"/>
    <mergeCell ref="O9:O11"/>
    <mergeCell ref="O72:O75"/>
    <mergeCell ref="F73:H73"/>
    <mergeCell ref="F74:H74"/>
    <mergeCell ref="N74:N75"/>
    <mergeCell ref="F75:H75"/>
    <mergeCell ref="A72:A75"/>
    <mergeCell ref="B77:S77"/>
    <mergeCell ref="B78:S78"/>
    <mergeCell ref="B72:C75"/>
    <mergeCell ref="O69:O71"/>
    <mergeCell ref="J55:J58"/>
    <mergeCell ref="E38:E40"/>
    <mergeCell ref="L60:L63"/>
    <mergeCell ref="I55:I58"/>
    <mergeCell ref="F38:F40"/>
    <mergeCell ref="C45:C63"/>
    <mergeCell ref="K60:K63"/>
    <mergeCell ref="O34:O44"/>
    <mergeCell ref="M41:M44"/>
    <mergeCell ref="O28:O31"/>
    <mergeCell ref="N60:N63"/>
    <mergeCell ref="L55:L58"/>
    <mergeCell ref="I41:I44"/>
    <mergeCell ref="B28:C32"/>
    <mergeCell ref="E60:E63"/>
    <mergeCell ref="I60:I63"/>
    <mergeCell ref="L41:L44"/>
    <mergeCell ref="N28:N29"/>
    <mergeCell ref="J38:J40"/>
    <mergeCell ref="L38:L40"/>
    <mergeCell ref="K38:K40"/>
    <mergeCell ref="K41:K44"/>
    <mergeCell ref="K55:K58"/>
    <mergeCell ref="F41:F44"/>
    <mergeCell ref="B33:B68"/>
    <mergeCell ref="O45:O63"/>
    <mergeCell ref="O64:O67"/>
    <mergeCell ref="B9:C11"/>
    <mergeCell ref="M13:M15"/>
    <mergeCell ref="M24:M27"/>
    <mergeCell ref="F17:F19"/>
    <mergeCell ref="M17:M19"/>
    <mergeCell ref="N17:N19"/>
    <mergeCell ref="E20:E23"/>
    <mergeCell ref="B76:C76"/>
    <mergeCell ref="A69:A71"/>
    <mergeCell ref="A28:A32"/>
    <mergeCell ref="C64:C67"/>
    <mergeCell ref="N64:N67"/>
    <mergeCell ref="M64:M67"/>
    <mergeCell ref="F72:H72"/>
    <mergeCell ref="F76:H76"/>
    <mergeCell ref="L28:L29"/>
    <mergeCell ref="G68:H68"/>
    <mergeCell ref="A33:A68"/>
    <mergeCell ref="B69:C71"/>
  </mergeCells>
  <phoneticPr fontId="14"/>
  <hyperlinks>
    <hyperlink ref="A1:Q1" location="TEMPLATE!A1" display="D→DT"/>
  </hyperlinks>
  <pageMargins left="0.31496062992125984" right="0.31496062992125984" top="0" bottom="0" header="0.31496062992125984" footer="0.31496062992125984"/>
  <pageSetup paperSize="9" scale="45"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92D050"/>
    <pageSetUpPr fitToPage="1"/>
  </sheetPr>
  <dimension ref="A1:S39"/>
  <sheetViews>
    <sheetView showGridLines="0" view="pageBreakPreview" zoomScale="70" zoomScaleNormal="100" zoomScaleSheetLayoutView="70" workbookViewId="0">
      <selection activeCell="B2" sqref="B2:E3"/>
    </sheetView>
  </sheetViews>
  <sheetFormatPr defaultColWidth="9" defaultRowHeight="13.2"/>
  <cols>
    <col min="1" max="1" width="11.8984375" style="6" bestFit="1" customWidth="1"/>
    <col min="2" max="2" width="15.09765625" style="6" bestFit="1" customWidth="1"/>
    <col min="3" max="3" width="10.8984375" style="6" bestFit="1" customWidth="1"/>
    <col min="4" max="4" width="5.59765625" style="6" customWidth="1"/>
    <col min="5" max="5" width="20.69921875" style="6" bestFit="1" customWidth="1"/>
    <col min="6" max="6" width="12.09765625" style="6" bestFit="1" customWidth="1"/>
    <col min="7" max="7" width="9" style="6" customWidth="1"/>
    <col min="8" max="12" width="5.59765625" style="6" customWidth="1"/>
    <col min="13" max="13" width="15.69921875" style="6" customWidth="1"/>
    <col min="14" max="14" width="58.3984375" style="6" customWidth="1"/>
    <col min="15" max="15" width="6.8984375" style="6" bestFit="1" customWidth="1"/>
    <col min="16" max="16" width="10.19921875" style="6" bestFit="1" customWidth="1"/>
    <col min="17" max="17" width="57" style="6" bestFit="1" customWidth="1"/>
    <col min="18" max="16384" width="9" style="6"/>
  </cols>
  <sheetData>
    <row r="1" spans="1:19">
      <c r="A1" s="2099" t="s">
        <v>1070</v>
      </c>
      <c r="B1" s="2099"/>
      <c r="C1" s="2099"/>
      <c r="D1" s="2099"/>
      <c r="E1" s="2099"/>
      <c r="F1" s="2099"/>
      <c r="G1" s="2099"/>
      <c r="H1" s="2099"/>
      <c r="I1" s="2099"/>
      <c r="J1" s="2099"/>
      <c r="K1" s="2099"/>
      <c r="L1" s="2099"/>
      <c r="M1" s="2099"/>
      <c r="N1" s="2099"/>
      <c r="O1" s="2099"/>
    </row>
    <row r="2" spans="1:19" ht="30" customHeight="1">
      <c r="A2" s="2282" t="s">
        <v>5</v>
      </c>
      <c r="B2" s="2144"/>
      <c r="C2" s="2144"/>
      <c r="D2" s="2144"/>
      <c r="E2" s="2144"/>
      <c r="F2" s="2006" t="s">
        <v>1391</v>
      </c>
      <c r="G2" s="2006"/>
      <c r="H2" s="2017"/>
      <c r="I2" s="2017"/>
      <c r="J2" s="2017"/>
      <c r="K2" s="2017"/>
      <c r="L2" s="2017"/>
      <c r="M2" s="1629" t="s">
        <v>1187</v>
      </c>
      <c r="N2" s="1421" t="s">
        <v>1393</v>
      </c>
      <c r="O2" s="1405"/>
    </row>
    <row r="3" spans="1:19" ht="30" customHeight="1">
      <c r="A3" s="2283"/>
      <c r="B3" s="2144"/>
      <c r="C3" s="2144"/>
      <c r="D3" s="2144"/>
      <c r="E3" s="2144"/>
      <c r="F3" s="2006" t="s">
        <v>1371</v>
      </c>
      <c r="G3" s="2006"/>
      <c r="H3" s="2017"/>
      <c r="I3" s="2017"/>
      <c r="J3" s="2017"/>
      <c r="K3" s="2017"/>
      <c r="L3" s="2017"/>
      <c r="M3" s="1630"/>
      <c r="N3" s="1399"/>
      <c r="O3" s="839"/>
    </row>
    <row r="4" spans="1:19" ht="30" customHeight="1">
      <c r="A4" s="2282" t="s">
        <v>38</v>
      </c>
      <c r="B4" s="2144"/>
      <c r="C4" s="2144"/>
      <c r="D4" s="2144"/>
      <c r="E4" s="2144"/>
      <c r="F4" s="2007" t="s">
        <v>1392</v>
      </c>
      <c r="G4" s="2007"/>
      <c r="H4" s="2017"/>
      <c r="I4" s="2017"/>
      <c r="J4" s="2017"/>
      <c r="K4" s="2017"/>
      <c r="L4" s="2017"/>
      <c r="M4" s="1630"/>
      <c r="N4" s="1399"/>
      <c r="O4" s="839"/>
    </row>
    <row r="5" spans="1:19" ht="30" customHeight="1">
      <c r="A5" s="2283"/>
      <c r="B5" s="2144"/>
      <c r="C5" s="2144"/>
      <c r="D5" s="2144"/>
      <c r="E5" s="2144"/>
      <c r="F5" s="2008" t="s">
        <v>1372</v>
      </c>
      <c r="G5" s="2008"/>
      <c r="H5" s="2017"/>
      <c r="I5" s="2017"/>
      <c r="J5" s="2017"/>
      <c r="K5" s="2017"/>
      <c r="L5" s="2017"/>
      <c r="M5" s="1630"/>
      <c r="N5" s="1399"/>
      <c r="O5" s="839"/>
    </row>
    <row r="6" spans="1:19" ht="60" customHeight="1">
      <c r="A6" s="1631" t="s">
        <v>1227</v>
      </c>
      <c r="B6" s="2284" t="s">
        <v>6</v>
      </c>
      <c r="C6" s="2285"/>
      <c r="D6" s="1632" t="s">
        <v>1407</v>
      </c>
      <c r="E6" s="1633" t="s">
        <v>64</v>
      </c>
      <c r="F6" s="2279" t="s">
        <v>1</v>
      </c>
      <c r="G6" s="2280"/>
      <c r="H6" s="2281"/>
      <c r="I6" s="1634" t="s">
        <v>66</v>
      </c>
      <c r="J6" s="1634" t="s">
        <v>1376</v>
      </c>
      <c r="K6" s="1635" t="s">
        <v>1377</v>
      </c>
      <c r="L6" s="1635" t="s">
        <v>1375</v>
      </c>
      <c r="M6" s="630" t="s">
        <v>1378</v>
      </c>
      <c r="N6" s="630" t="s">
        <v>1387</v>
      </c>
      <c r="O6" s="1322" t="s">
        <v>1379</v>
      </c>
    </row>
    <row r="7" spans="1:19" ht="22.5" customHeight="1">
      <c r="A7" s="1417" t="s">
        <v>1093</v>
      </c>
      <c r="B7" s="2515" t="s">
        <v>830</v>
      </c>
      <c r="C7" s="2516"/>
      <c r="D7" s="1418"/>
      <c r="E7" s="1418" t="s">
        <v>98</v>
      </c>
      <c r="F7" s="605" t="s">
        <v>92</v>
      </c>
      <c r="G7" s="553"/>
      <c r="H7" s="586"/>
      <c r="I7" s="1418"/>
      <c r="J7" s="1418"/>
      <c r="K7" s="1418"/>
      <c r="L7" s="533"/>
      <c r="M7" s="1418"/>
      <c r="N7" s="1621" t="s">
        <v>1483</v>
      </c>
      <c r="O7" s="1614"/>
    </row>
    <row r="8" spans="1:19" ht="22.5" customHeight="1">
      <c r="A8" s="1417" t="s">
        <v>1094</v>
      </c>
      <c r="B8" s="2515" t="s">
        <v>455</v>
      </c>
      <c r="C8" s="2516"/>
      <c r="D8" s="1380"/>
      <c r="E8" s="1380" t="s">
        <v>456</v>
      </c>
      <c r="F8" s="606" t="s">
        <v>834</v>
      </c>
      <c r="G8" s="616"/>
      <c r="H8" s="587"/>
      <c r="I8" s="1380"/>
      <c r="J8" s="1380"/>
      <c r="K8" s="1380"/>
      <c r="L8" s="1418"/>
      <c r="M8" s="1380"/>
      <c r="N8" s="1622"/>
      <c r="O8" s="92" t="str">
        <f>HYPERLINK(VLOOKUP(F8,LINK,2,FALSE),VLOOKUP(F8,LINK,3,FALSE))</f>
        <v>EXCEL</v>
      </c>
    </row>
    <row r="9" spans="1:19" ht="22.5" customHeight="1">
      <c r="A9" s="2521" t="s">
        <v>1095</v>
      </c>
      <c r="B9" s="2212" t="s">
        <v>39</v>
      </c>
      <c r="C9" s="2213"/>
      <c r="D9" s="279"/>
      <c r="E9" s="1035" t="s">
        <v>40</v>
      </c>
      <c r="F9" s="263" t="s">
        <v>835</v>
      </c>
      <c r="G9" s="617"/>
      <c r="H9" s="352"/>
      <c r="I9" s="1381"/>
      <c r="J9" s="1381"/>
      <c r="K9" s="1381"/>
      <c r="L9" s="280"/>
      <c r="M9" s="1601" t="str">
        <f>"SD"&amp;G9</f>
        <v>SD</v>
      </c>
      <c r="N9" s="2571" t="s">
        <v>1482</v>
      </c>
      <c r="O9" s="2478"/>
    </row>
    <row r="10" spans="1:19" ht="22.5" customHeight="1">
      <c r="A10" s="2522"/>
      <c r="B10" s="2472"/>
      <c r="C10" s="2473"/>
      <c r="D10" s="282"/>
      <c r="E10" s="515" t="s">
        <v>41</v>
      </c>
      <c r="F10" s="267" t="s">
        <v>836</v>
      </c>
      <c r="G10" s="618"/>
      <c r="H10" s="355"/>
      <c r="I10" s="1382"/>
      <c r="J10" s="1382"/>
      <c r="K10" s="1382"/>
      <c r="L10" s="611"/>
      <c r="M10" s="1602" t="str">
        <f>"DP"&amp;G10</f>
        <v>DP</v>
      </c>
      <c r="N10" s="2572"/>
      <c r="O10" s="2479"/>
    </row>
    <row r="11" spans="1:19" ht="22.5" customHeight="1">
      <c r="A11" s="2522"/>
      <c r="B11" s="2591"/>
      <c r="C11" s="2592"/>
      <c r="D11" s="505"/>
      <c r="E11" s="1422" t="s">
        <v>42</v>
      </c>
      <c r="F11" s="269" t="s">
        <v>837</v>
      </c>
      <c r="G11" s="619"/>
      <c r="H11" s="358"/>
      <c r="I11" s="1383"/>
      <c r="J11" s="1383"/>
      <c r="K11" s="1383"/>
      <c r="L11" s="612"/>
      <c r="M11" s="1603" t="str">
        <f>"GP"&amp;G11</f>
        <v>GP</v>
      </c>
      <c r="N11" s="2573"/>
      <c r="O11" s="2479"/>
    </row>
    <row r="12" spans="1:19" ht="33.9" customHeight="1">
      <c r="A12" s="2364">
        <v>2031</v>
      </c>
      <c r="B12" s="2364" t="s">
        <v>1285</v>
      </c>
      <c r="C12" s="2474" t="s">
        <v>1286</v>
      </c>
      <c r="D12" s="1013"/>
      <c r="E12" s="1030" t="s">
        <v>1037</v>
      </c>
      <c r="F12" s="341" t="s">
        <v>1038</v>
      </c>
      <c r="G12" s="740"/>
      <c r="H12" s="362"/>
      <c r="I12" s="1015"/>
      <c r="J12" s="1015"/>
      <c r="K12" s="1015"/>
      <c r="L12" s="1015"/>
      <c r="M12" s="629"/>
      <c r="N12" s="1016"/>
      <c r="O12" s="2623" t="s">
        <v>1240</v>
      </c>
      <c r="P12" s="746" t="s">
        <v>1074</v>
      </c>
      <c r="R12" s="745"/>
      <c r="S12" s="745"/>
    </row>
    <row r="13" spans="1:19" ht="22.5" customHeight="1">
      <c r="A13" s="2365"/>
      <c r="B13" s="2365"/>
      <c r="C13" s="2474"/>
      <c r="D13" s="613"/>
      <c r="E13" s="1032" t="s">
        <v>43</v>
      </c>
      <c r="F13" s="622" t="s">
        <v>839</v>
      </c>
      <c r="G13" s="1147"/>
      <c r="H13" s="1148"/>
      <c r="I13" s="1034"/>
      <c r="J13" s="1034"/>
      <c r="K13" s="1034"/>
      <c r="L13" s="1034"/>
      <c r="M13" s="2613" t="s">
        <v>1468</v>
      </c>
      <c r="N13" s="2304" t="s">
        <v>1497</v>
      </c>
      <c r="O13" s="2624"/>
      <c r="P13" s="37" t="s">
        <v>1039</v>
      </c>
      <c r="R13" s="745"/>
      <c r="S13" s="745"/>
    </row>
    <row r="14" spans="1:19" ht="22.5" customHeight="1">
      <c r="A14" s="2365"/>
      <c r="B14" s="2365"/>
      <c r="C14" s="2474"/>
      <c r="D14" s="286"/>
      <c r="E14" s="515" t="s">
        <v>44</v>
      </c>
      <c r="F14" s="267" t="s">
        <v>840</v>
      </c>
      <c r="G14" s="567"/>
      <c r="H14" s="600"/>
      <c r="I14" s="1033"/>
      <c r="J14" s="1033"/>
      <c r="K14" s="1033"/>
      <c r="L14" s="1033"/>
      <c r="M14" s="2614"/>
      <c r="N14" s="2626"/>
      <c r="O14" s="2624"/>
      <c r="P14" s="37" t="s">
        <v>1040</v>
      </c>
      <c r="R14" s="745"/>
      <c r="S14" s="745"/>
    </row>
    <row r="15" spans="1:19" ht="22.5" customHeight="1">
      <c r="A15" s="2365"/>
      <c r="B15" s="2365"/>
      <c r="C15" s="2474"/>
      <c r="D15" s="286"/>
      <c r="E15" s="515" t="s">
        <v>45</v>
      </c>
      <c r="F15" s="269" t="s">
        <v>841</v>
      </c>
      <c r="G15" s="619"/>
      <c r="H15" s="358"/>
      <c r="I15" s="1033"/>
      <c r="J15" s="1033"/>
      <c r="K15" s="1033"/>
      <c r="L15" s="1033"/>
      <c r="M15" s="2622"/>
      <c r="N15" s="2627"/>
      <c r="O15" s="2625"/>
      <c r="P15" s="1773" t="s">
        <v>1591</v>
      </c>
      <c r="R15" s="745"/>
    </row>
    <row r="16" spans="1:19" ht="22.5" customHeight="1">
      <c r="A16" s="2365"/>
      <c r="B16" s="2365"/>
      <c r="C16" s="2486" t="s">
        <v>1493</v>
      </c>
      <c r="D16" s="1569"/>
      <c r="E16" s="1570" t="s">
        <v>767</v>
      </c>
      <c r="F16" s="1571" t="s">
        <v>768</v>
      </c>
      <c r="G16" s="1572"/>
      <c r="H16" s="1573"/>
      <c r="I16" s="1574"/>
      <c r="J16" s="1575"/>
      <c r="K16" s="1575"/>
      <c r="L16" s="1574"/>
      <c r="M16" s="2501" t="s">
        <v>1471</v>
      </c>
      <c r="N16" s="2580" t="s">
        <v>1473</v>
      </c>
      <c r="O16" s="2491" t="str">
        <f>HYPERLINK(VLOOKUP(F16,LINK,2,FALSE),VLOOKUP(F16,LINK,3,FALSE))</f>
        <v>EXCEL</v>
      </c>
      <c r="R16" s="745"/>
    </row>
    <row r="17" spans="1:18" ht="22.5" customHeight="1">
      <c r="A17" s="2365"/>
      <c r="B17" s="2365"/>
      <c r="C17" s="2487"/>
      <c r="D17" s="1576"/>
      <c r="E17" s="1577" t="s">
        <v>769</v>
      </c>
      <c r="F17" s="1578" t="s">
        <v>770</v>
      </c>
      <c r="G17" s="1579"/>
      <c r="H17" s="1580"/>
      <c r="I17" s="1581"/>
      <c r="J17" s="1582"/>
      <c r="K17" s="1582"/>
      <c r="L17" s="1581"/>
      <c r="M17" s="2502"/>
      <c r="N17" s="2581"/>
      <c r="O17" s="2491"/>
      <c r="R17" s="745"/>
    </row>
    <row r="18" spans="1:18" ht="22.5" customHeight="1">
      <c r="A18" s="2365"/>
      <c r="B18" s="2365"/>
      <c r="C18" s="2487"/>
      <c r="D18" s="1576"/>
      <c r="E18" s="1577" t="s">
        <v>771</v>
      </c>
      <c r="F18" s="1583" t="s">
        <v>768</v>
      </c>
      <c r="G18" s="1579"/>
      <c r="H18" s="1580"/>
      <c r="I18" s="1581"/>
      <c r="J18" s="1582"/>
      <c r="K18" s="1582"/>
      <c r="L18" s="1581"/>
      <c r="M18" s="2502"/>
      <c r="N18" s="2581"/>
      <c r="O18" s="2491"/>
      <c r="R18" s="745"/>
    </row>
    <row r="19" spans="1:18" ht="22.5" customHeight="1">
      <c r="A19" s="2366"/>
      <c r="B19" s="2366"/>
      <c r="C19" s="2488"/>
      <c r="D19" s="1584"/>
      <c r="E19" s="1585" t="s">
        <v>772</v>
      </c>
      <c r="F19" s="1586" t="s">
        <v>770</v>
      </c>
      <c r="G19" s="1587"/>
      <c r="H19" s="1588"/>
      <c r="I19" s="1589"/>
      <c r="J19" s="1590"/>
      <c r="K19" s="1590"/>
      <c r="L19" s="1589"/>
      <c r="M19" s="2503"/>
      <c r="N19" s="2582"/>
      <c r="O19" s="2491"/>
      <c r="R19" s="745"/>
    </row>
    <row r="20" spans="1:18" ht="22.5" customHeight="1">
      <c r="A20" s="2594" t="s">
        <v>1096</v>
      </c>
      <c r="B20" s="2206" t="s">
        <v>1242</v>
      </c>
      <c r="C20" s="2213"/>
      <c r="D20" s="625"/>
      <c r="E20" s="2525" t="s">
        <v>54</v>
      </c>
      <c r="F20" s="2523" t="s">
        <v>811</v>
      </c>
      <c r="G20" s="582" t="s">
        <v>850</v>
      </c>
      <c r="H20" s="597" t="s">
        <v>391</v>
      </c>
      <c r="I20" s="583"/>
      <c r="J20" s="583"/>
      <c r="K20" s="583"/>
      <c r="L20" s="583"/>
      <c r="M20" s="2599"/>
      <c r="N20" s="2609" t="s">
        <v>1488</v>
      </c>
      <c r="O20" s="2616" t="s">
        <v>197</v>
      </c>
    </row>
    <row r="21" spans="1:18" ht="22.5" customHeight="1">
      <c r="A21" s="2594"/>
      <c r="B21" s="2472"/>
      <c r="C21" s="2473"/>
      <c r="D21" s="288"/>
      <c r="E21" s="2510"/>
      <c r="F21" s="2524"/>
      <c r="G21" s="584" t="s">
        <v>851</v>
      </c>
      <c r="H21" s="598" t="s">
        <v>391</v>
      </c>
      <c r="I21" s="585"/>
      <c r="J21" s="585"/>
      <c r="K21" s="585"/>
      <c r="L21" s="585"/>
      <c r="M21" s="2600"/>
      <c r="N21" s="2610"/>
      <c r="O21" s="2616"/>
    </row>
    <row r="22" spans="1:18" ht="22.5" customHeight="1">
      <c r="A22" s="2594"/>
      <c r="B22" s="2472"/>
      <c r="C22" s="2473"/>
      <c r="D22" s="282"/>
      <c r="E22" s="515" t="s">
        <v>55</v>
      </c>
      <c r="F22" s="267" t="s">
        <v>848</v>
      </c>
      <c r="G22" s="618"/>
      <c r="H22" s="355"/>
      <c r="I22" s="1382"/>
      <c r="J22" s="1382"/>
      <c r="K22" s="1382"/>
      <c r="L22" s="1382"/>
      <c r="M22" s="1611"/>
      <c r="N22" s="1594" t="s">
        <v>1476</v>
      </c>
      <c r="O22" s="2616"/>
    </row>
    <row r="23" spans="1:18" ht="22.5" customHeight="1">
      <c r="A23" s="2594"/>
      <c r="B23" s="2472"/>
      <c r="C23" s="2473"/>
      <c r="D23" s="286"/>
      <c r="E23" s="1412" t="s">
        <v>101</v>
      </c>
      <c r="F23" s="566" t="s">
        <v>774</v>
      </c>
      <c r="G23" s="567"/>
      <c r="H23" s="600"/>
      <c r="I23" s="1415"/>
      <c r="J23" s="1415"/>
      <c r="K23" s="1415"/>
      <c r="L23" s="1415"/>
      <c r="M23" s="1597"/>
      <c r="N23" s="1613" t="s">
        <v>1480</v>
      </c>
      <c r="O23" s="2097"/>
    </row>
    <row r="24" spans="1:18" ht="22.5" customHeight="1">
      <c r="A24" s="2594"/>
      <c r="B24" s="2591"/>
      <c r="C24" s="2592"/>
      <c r="D24" s="505"/>
      <c r="E24" s="1422" t="s">
        <v>775</v>
      </c>
      <c r="F24" s="269" t="s">
        <v>776</v>
      </c>
      <c r="G24" s="619"/>
      <c r="H24" s="358"/>
      <c r="I24" s="1383"/>
      <c r="J24" s="1383"/>
      <c r="K24" s="1383"/>
      <c r="L24" s="1383"/>
      <c r="M24" s="1620"/>
      <c r="N24" s="1595" t="s">
        <v>1481</v>
      </c>
      <c r="O24" s="1637"/>
    </row>
    <row r="25" spans="1:18" ht="35.4" customHeight="1">
      <c r="A25" s="2364">
        <v>2071</v>
      </c>
      <c r="B25" s="2451" t="s">
        <v>1322</v>
      </c>
      <c r="C25" s="2537" t="s">
        <v>1323</v>
      </c>
      <c r="D25" s="613"/>
      <c r="E25" s="1386" t="s">
        <v>1037</v>
      </c>
      <c r="F25" s="273" t="s">
        <v>1038</v>
      </c>
      <c r="G25" s="1239"/>
      <c r="H25" s="593"/>
      <c r="I25" s="1416"/>
      <c r="J25" s="1416"/>
      <c r="K25" s="1416"/>
      <c r="L25" s="1416"/>
      <c r="M25" s="1419"/>
      <c r="N25" s="1414"/>
      <c r="O25" s="1373" t="s">
        <v>1499</v>
      </c>
    </row>
    <row r="26" spans="1:18" ht="22.5" customHeight="1">
      <c r="A26" s="2365"/>
      <c r="B26" s="2596"/>
      <c r="C26" s="2593"/>
      <c r="D26" s="252"/>
      <c r="E26" s="1638" t="s">
        <v>387</v>
      </c>
      <c r="F26" s="1639"/>
      <c r="G26" s="1640"/>
      <c r="H26" s="1641"/>
      <c r="I26" s="1592"/>
      <c r="J26" s="1592"/>
      <c r="K26" s="1592"/>
      <c r="L26" s="1592"/>
      <c r="M26" s="1240"/>
      <c r="N26" s="1141" t="s">
        <v>1498</v>
      </c>
      <c r="O26" s="1642"/>
    </row>
    <row r="27" spans="1:18" ht="22.5" customHeight="1">
      <c r="A27" s="2365"/>
      <c r="B27" s="2596"/>
      <c r="C27" s="2486" t="s">
        <v>1493</v>
      </c>
      <c r="D27" s="1569"/>
      <c r="E27" s="1570" t="s">
        <v>767</v>
      </c>
      <c r="F27" s="1571" t="s">
        <v>768</v>
      </c>
      <c r="G27" s="1572"/>
      <c r="H27" s="1573"/>
      <c r="I27" s="1574"/>
      <c r="J27" s="1575"/>
      <c r="K27" s="1575"/>
      <c r="L27" s="1574"/>
      <c r="M27" s="2501" t="s">
        <v>1471</v>
      </c>
      <c r="N27" s="2580" t="s">
        <v>1473</v>
      </c>
      <c r="O27" s="2491" t="str">
        <f>HYPERLINK(VLOOKUP(F27,LINK,2,FALSE),VLOOKUP(F27,LINK,3,FALSE))</f>
        <v>EXCEL</v>
      </c>
    </row>
    <row r="28" spans="1:18" ht="22.5" customHeight="1">
      <c r="A28" s="2365"/>
      <c r="B28" s="2596"/>
      <c r="C28" s="2487"/>
      <c r="D28" s="1576"/>
      <c r="E28" s="1577" t="s">
        <v>769</v>
      </c>
      <c r="F28" s="1578" t="s">
        <v>770</v>
      </c>
      <c r="G28" s="1579"/>
      <c r="H28" s="1580"/>
      <c r="I28" s="1581"/>
      <c r="J28" s="1582"/>
      <c r="K28" s="1582"/>
      <c r="L28" s="1581"/>
      <c r="M28" s="2502"/>
      <c r="N28" s="2581"/>
      <c r="O28" s="2491"/>
    </row>
    <row r="29" spans="1:18" ht="22.5" customHeight="1">
      <c r="A29" s="2365"/>
      <c r="B29" s="2596"/>
      <c r="C29" s="2487"/>
      <c r="D29" s="1576"/>
      <c r="E29" s="1577" t="s">
        <v>771</v>
      </c>
      <c r="F29" s="1583" t="s">
        <v>768</v>
      </c>
      <c r="G29" s="1579"/>
      <c r="H29" s="1580"/>
      <c r="I29" s="1581"/>
      <c r="J29" s="1582"/>
      <c r="K29" s="1582"/>
      <c r="L29" s="1581"/>
      <c r="M29" s="2502"/>
      <c r="N29" s="2581"/>
      <c r="O29" s="2491"/>
    </row>
    <row r="30" spans="1:18" ht="22.5" customHeight="1">
      <c r="A30" s="2365"/>
      <c r="B30" s="2596"/>
      <c r="C30" s="2488"/>
      <c r="D30" s="1584"/>
      <c r="E30" s="1585" t="s">
        <v>772</v>
      </c>
      <c r="F30" s="1586" t="s">
        <v>770</v>
      </c>
      <c r="G30" s="1587"/>
      <c r="H30" s="1588"/>
      <c r="I30" s="1589"/>
      <c r="J30" s="1590"/>
      <c r="K30" s="1590"/>
      <c r="L30" s="1589"/>
      <c r="M30" s="2503"/>
      <c r="N30" s="2582"/>
      <c r="O30" s="2491"/>
    </row>
    <row r="31" spans="1:18" ht="31.2">
      <c r="A31" s="2366"/>
      <c r="B31" s="2039"/>
      <c r="C31" s="1877" t="s">
        <v>1636</v>
      </c>
      <c r="D31" s="1881"/>
      <c r="E31" s="1885" t="s">
        <v>1637</v>
      </c>
      <c r="F31" s="1884" t="s">
        <v>1638</v>
      </c>
      <c r="G31" s="2529" t="s">
        <v>1640</v>
      </c>
      <c r="H31" s="2530"/>
      <c r="I31" s="1882"/>
      <c r="J31" s="1883"/>
      <c r="K31" s="1883"/>
      <c r="L31" s="1882"/>
      <c r="M31" s="1878"/>
      <c r="N31" s="1888" t="s">
        <v>1647</v>
      </c>
      <c r="O31" s="1642"/>
    </row>
    <row r="32" spans="1:18" ht="22.5" customHeight="1">
      <c r="A32" s="2595" t="s">
        <v>1097</v>
      </c>
      <c r="B32" s="2474" t="s">
        <v>1283</v>
      </c>
      <c r="C32" s="2221"/>
      <c r="D32" s="279"/>
      <c r="E32" s="1035" t="s">
        <v>777</v>
      </c>
      <c r="F32" s="568" t="s">
        <v>778</v>
      </c>
      <c r="G32" s="569"/>
      <c r="H32" s="601"/>
      <c r="I32" s="1381"/>
      <c r="J32" s="1381"/>
      <c r="K32" s="1381"/>
      <c r="L32" s="1381"/>
      <c r="M32" s="281"/>
      <c r="N32" s="281" t="str">
        <f>"WJ"&amp;H32</f>
        <v>WJ</v>
      </c>
      <c r="O32" s="2149" t="str">
        <f>HYPERLINK(VLOOKUP(F32,LINK,2,FALSE),VLOOKUP(F32,LINK,3,FALSE))</f>
        <v>EXCEL</v>
      </c>
      <c r="P32" s="14"/>
      <c r="R32" s="745"/>
    </row>
    <row r="33" spans="1:18" ht="22.5" customHeight="1">
      <c r="A33" s="2595"/>
      <c r="B33" s="2221"/>
      <c r="C33" s="2221"/>
      <c r="D33" s="282"/>
      <c r="E33" s="515" t="s">
        <v>779</v>
      </c>
      <c r="F33" s="570" t="s">
        <v>780</v>
      </c>
      <c r="G33" s="571"/>
      <c r="H33" s="602"/>
      <c r="I33" s="1382"/>
      <c r="J33" s="1382"/>
      <c r="K33" s="1382"/>
      <c r="L33" s="1382"/>
      <c r="M33" s="1596"/>
      <c r="N33" s="1596" t="str">
        <f>"WW"&amp;H33</f>
        <v>WW</v>
      </c>
      <c r="O33" s="2149"/>
      <c r="P33" s="14"/>
      <c r="R33" s="745"/>
    </row>
    <row r="34" spans="1:18" ht="16.2">
      <c r="A34" s="2595"/>
      <c r="B34" s="2221"/>
      <c r="C34" s="2221"/>
      <c r="D34" s="505"/>
      <c r="E34" s="1422" t="s">
        <v>779</v>
      </c>
      <c r="F34" s="572" t="s">
        <v>780</v>
      </c>
      <c r="G34" s="573"/>
      <c r="H34" s="603"/>
      <c r="I34" s="1383"/>
      <c r="J34" s="1383"/>
      <c r="K34" s="1383"/>
      <c r="L34" s="1383"/>
      <c r="M34" s="1620"/>
      <c r="N34" s="1620" t="str">
        <f>"WW"&amp;H34</f>
        <v>WW</v>
      </c>
      <c r="O34" s="2149"/>
      <c r="P34" s="14"/>
      <c r="R34" s="745"/>
    </row>
    <row r="35" spans="1:18" ht="22.5" customHeight="1">
      <c r="A35" s="2475">
        <v>1011</v>
      </c>
      <c r="B35" s="2234" t="s">
        <v>23</v>
      </c>
      <c r="C35" s="2234"/>
      <c r="D35" s="279"/>
      <c r="E35" s="1035" t="s">
        <v>158</v>
      </c>
      <c r="F35" s="2184" t="s">
        <v>159</v>
      </c>
      <c r="G35" s="2190"/>
      <c r="H35" s="2191"/>
      <c r="I35" s="279"/>
      <c r="J35" s="279"/>
      <c r="K35" s="279"/>
      <c r="L35" s="279"/>
      <c r="M35" s="287"/>
      <c r="N35" s="287"/>
      <c r="O35" s="2617" t="str">
        <f>HYPERLINK(VLOOKUP(F35,LINK,2,FALSE),VLOOKUP(F35,LINK,3,FALSE))</f>
        <v>EXCEL</v>
      </c>
      <c r="P35" s="14"/>
      <c r="R35" s="745"/>
    </row>
    <row r="36" spans="1:18" ht="22.5" customHeight="1">
      <c r="A36" s="2476"/>
      <c r="B36" s="2235"/>
      <c r="C36" s="2235"/>
      <c r="D36" s="282"/>
      <c r="E36" s="515" t="s">
        <v>24</v>
      </c>
      <c r="F36" s="2192" t="s">
        <v>503</v>
      </c>
      <c r="G36" s="2193"/>
      <c r="H36" s="2194"/>
      <c r="I36" s="282"/>
      <c r="J36" s="282"/>
      <c r="K36" s="282"/>
      <c r="L36" s="282"/>
      <c r="M36" s="284"/>
      <c r="N36" s="284"/>
      <c r="O36" s="2617"/>
      <c r="P36" s="48" t="s">
        <v>1121</v>
      </c>
      <c r="R36" s="745"/>
    </row>
    <row r="37" spans="1:18" ht="34.5" customHeight="1">
      <c r="A37" s="2476"/>
      <c r="B37" s="2235"/>
      <c r="C37" s="2235"/>
      <c r="D37" s="1552"/>
      <c r="E37" s="1553" t="s">
        <v>504</v>
      </c>
      <c r="F37" s="2226" t="s">
        <v>1455</v>
      </c>
      <c r="G37" s="2227"/>
      <c r="H37" s="2227"/>
      <c r="I37" s="1552"/>
      <c r="J37" s="1552"/>
      <c r="K37" s="1552"/>
      <c r="L37" s="1552"/>
      <c r="M37" s="282"/>
      <c r="N37" s="2459" t="s">
        <v>1634</v>
      </c>
      <c r="O37" s="2617"/>
      <c r="P37" s="48"/>
      <c r="R37" s="745"/>
    </row>
    <row r="38" spans="1:18" ht="22.5" customHeight="1">
      <c r="A38" s="2477"/>
      <c r="B38" s="2236"/>
      <c r="C38" s="2236"/>
      <c r="D38" s="1555"/>
      <c r="E38" s="1556" t="s">
        <v>1453</v>
      </c>
      <c r="F38" s="2230" t="s">
        <v>1454</v>
      </c>
      <c r="G38" s="2230"/>
      <c r="H38" s="2230"/>
      <c r="I38" s="1549"/>
      <c r="J38" s="1549"/>
      <c r="K38" s="1549"/>
      <c r="L38" s="1549"/>
      <c r="M38" s="1555"/>
      <c r="N38" s="2460"/>
      <c r="O38" s="2617"/>
      <c r="P38" s="14"/>
    </row>
    <row r="39" spans="1:18" ht="22.5" customHeight="1">
      <c r="A39" s="1417" t="s">
        <v>1324</v>
      </c>
      <c r="B39" s="2474" t="s">
        <v>1211</v>
      </c>
      <c r="C39" s="2221"/>
      <c r="D39" s="1398"/>
      <c r="E39" s="1408" t="s">
        <v>1325</v>
      </c>
      <c r="F39" s="2458" t="s">
        <v>1474</v>
      </c>
      <c r="G39" s="2458"/>
      <c r="H39" s="2458"/>
      <c r="I39" s="1397"/>
      <c r="J39" s="1397"/>
      <c r="K39" s="1397"/>
      <c r="L39" s="1397"/>
      <c r="M39" s="1612"/>
      <c r="N39" s="1598" t="s">
        <v>1475</v>
      </c>
      <c r="O39" s="1378" t="s">
        <v>1478</v>
      </c>
      <c r="P39" s="14"/>
    </row>
  </sheetData>
  <mergeCells count="59">
    <mergeCell ref="N20:N21"/>
    <mergeCell ref="F39:H39"/>
    <mergeCell ref="O20:O23"/>
    <mergeCell ref="B7:C7"/>
    <mergeCell ref="B8:C8"/>
    <mergeCell ref="B9:C11"/>
    <mergeCell ref="B20:C24"/>
    <mergeCell ref="B39:C39"/>
    <mergeCell ref="O32:O34"/>
    <mergeCell ref="N9:N11"/>
    <mergeCell ref="C12:C15"/>
    <mergeCell ref="O12:O15"/>
    <mergeCell ref="N13:N15"/>
    <mergeCell ref="N16:N19"/>
    <mergeCell ref="O16:O19"/>
    <mergeCell ref="F35:H35"/>
    <mergeCell ref="A35:A38"/>
    <mergeCell ref="B35:C38"/>
    <mergeCell ref="B32:C34"/>
    <mergeCell ref="A32:A34"/>
    <mergeCell ref="A20:A24"/>
    <mergeCell ref="C27:C30"/>
    <mergeCell ref="B25:B31"/>
    <mergeCell ref="A25:A31"/>
    <mergeCell ref="A12:A19"/>
    <mergeCell ref="C16:C19"/>
    <mergeCell ref="M16:M19"/>
    <mergeCell ref="M13:M15"/>
    <mergeCell ref="A4:A5"/>
    <mergeCell ref="B4:E5"/>
    <mergeCell ref="F4:G4"/>
    <mergeCell ref="H4:L4"/>
    <mergeCell ref="F5:G5"/>
    <mergeCell ref="H5:L5"/>
    <mergeCell ref="E20:E21"/>
    <mergeCell ref="F20:F21"/>
    <mergeCell ref="M20:M21"/>
    <mergeCell ref="F6:H6"/>
    <mergeCell ref="B6:C6"/>
    <mergeCell ref="B12:B19"/>
    <mergeCell ref="A1:O1"/>
    <mergeCell ref="O9:O11"/>
    <mergeCell ref="A2:A3"/>
    <mergeCell ref="B2:E3"/>
    <mergeCell ref="F2:G2"/>
    <mergeCell ref="H2:L2"/>
    <mergeCell ref="F3:G3"/>
    <mergeCell ref="H3:L3"/>
    <mergeCell ref="A9:A11"/>
    <mergeCell ref="N27:N30"/>
    <mergeCell ref="O27:O30"/>
    <mergeCell ref="C25:C26"/>
    <mergeCell ref="M27:M30"/>
    <mergeCell ref="O35:O38"/>
    <mergeCell ref="F36:H36"/>
    <mergeCell ref="F37:H37"/>
    <mergeCell ref="N37:N38"/>
    <mergeCell ref="F38:H38"/>
    <mergeCell ref="G31:H31"/>
  </mergeCells>
  <phoneticPr fontId="14"/>
  <hyperlinks>
    <hyperlink ref="A1:O1" location="TEMPLATE!A1" display="sph中型"/>
  </hyperlinks>
  <pageMargins left="0.25" right="0.25" top="0.75" bottom="0.75" header="0.3" footer="0.3"/>
  <pageSetup paperSize="9" scale="47" orientation="portrait"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tabColor rgb="FFFF6464"/>
    <pageSetUpPr fitToPage="1"/>
  </sheetPr>
  <dimension ref="A1:P28"/>
  <sheetViews>
    <sheetView showGridLines="0" view="pageBreakPreview" zoomScaleNormal="100" zoomScaleSheetLayoutView="100" workbookViewId="0">
      <selection activeCell="I17" sqref="I17:K18"/>
    </sheetView>
  </sheetViews>
  <sheetFormatPr defaultRowHeight="13.8"/>
  <cols>
    <col min="1" max="1" width="9.5" bestFit="1" customWidth="1"/>
    <col min="2" max="2" width="9.5" customWidth="1"/>
    <col min="3" max="3" width="27.8984375" bestFit="1" customWidth="1"/>
    <col min="4" max="4" width="5.59765625" customWidth="1"/>
    <col min="5" max="5" width="24.5" bestFit="1" customWidth="1"/>
    <col min="6" max="6" width="11.69921875" style="4" bestFit="1" customWidth="1"/>
    <col min="7" max="7" width="12.09765625" bestFit="1" customWidth="1"/>
    <col min="8" max="12" width="5.59765625" customWidth="1"/>
    <col min="13" max="13" width="14" customWidth="1"/>
    <col min="14" max="14" width="22.09765625" customWidth="1"/>
    <col min="15" max="15" width="23.69921875" customWidth="1"/>
    <col min="16" max="16" width="6.69921875" bestFit="1" customWidth="1"/>
    <col min="17" max="17" width="3.59765625" customWidth="1"/>
    <col min="18" max="18" width="38.59765625" customWidth="1"/>
  </cols>
  <sheetData>
    <row r="1" spans="1:16">
      <c r="A1" s="835" t="s">
        <v>1071</v>
      </c>
      <c r="B1" s="835"/>
      <c r="C1" s="835"/>
      <c r="D1" s="835"/>
      <c r="E1" s="835"/>
      <c r="F1" s="835"/>
      <c r="G1" s="835"/>
      <c r="H1" s="835"/>
      <c r="I1" s="835"/>
      <c r="J1" s="835"/>
      <c r="K1" s="835"/>
      <c r="L1" s="835"/>
      <c r="M1" s="835"/>
      <c r="N1" s="835"/>
      <c r="O1" s="835"/>
      <c r="P1" s="835"/>
    </row>
    <row r="2" spans="1:16" ht="30" customHeight="1">
      <c r="A2" s="2282" t="s">
        <v>5</v>
      </c>
      <c r="B2" s="2144"/>
      <c r="C2" s="2144"/>
      <c r="D2" s="2144"/>
      <c r="E2" s="2144"/>
      <c r="F2" s="2006" t="s">
        <v>1391</v>
      </c>
      <c r="G2" s="2006"/>
      <c r="H2" s="2017"/>
      <c r="I2" s="2017"/>
      <c r="J2" s="2017"/>
      <c r="K2" s="2017"/>
      <c r="L2" s="2017"/>
      <c r="M2" s="1629" t="s">
        <v>1187</v>
      </c>
      <c r="N2" s="1747" t="s">
        <v>1393</v>
      </c>
      <c r="O2" s="1747"/>
      <c r="P2" s="1744"/>
    </row>
    <row r="3" spans="1:16" ht="30" customHeight="1">
      <c r="A3" s="2283"/>
      <c r="B3" s="2144"/>
      <c r="C3" s="2144"/>
      <c r="D3" s="2144"/>
      <c r="E3" s="2144"/>
      <c r="F3" s="2006" t="s">
        <v>1371</v>
      </c>
      <c r="G3" s="2006"/>
      <c r="H3" s="2017"/>
      <c r="I3" s="2017"/>
      <c r="J3" s="2017"/>
      <c r="K3" s="2017"/>
      <c r="L3" s="2017"/>
      <c r="M3" s="1630"/>
      <c r="N3" s="1742"/>
      <c r="O3" s="1742"/>
      <c r="P3" s="839"/>
    </row>
    <row r="4" spans="1:16" ht="30" customHeight="1">
      <c r="A4" s="2282" t="s">
        <v>38</v>
      </c>
      <c r="B4" s="2144"/>
      <c r="C4" s="2144"/>
      <c r="D4" s="2144"/>
      <c r="E4" s="2144"/>
      <c r="F4" s="2007" t="s">
        <v>1392</v>
      </c>
      <c r="G4" s="2007"/>
      <c r="H4" s="2017"/>
      <c r="I4" s="2017"/>
      <c r="J4" s="2017"/>
      <c r="K4" s="2017"/>
      <c r="L4" s="2017"/>
      <c r="M4" s="1630"/>
      <c r="N4" s="1742"/>
      <c r="O4" s="1742"/>
      <c r="P4" s="839"/>
    </row>
    <row r="5" spans="1:16" ht="30" customHeight="1">
      <c r="A5" s="2283"/>
      <c r="B5" s="2144"/>
      <c r="C5" s="2144"/>
      <c r="D5" s="2144"/>
      <c r="E5" s="2144"/>
      <c r="F5" s="2008" t="s">
        <v>1372</v>
      </c>
      <c r="G5" s="2008"/>
      <c r="H5" s="2017"/>
      <c r="I5" s="2017"/>
      <c r="J5" s="2017"/>
      <c r="K5" s="2017"/>
      <c r="L5" s="2017"/>
      <c r="M5" s="1630"/>
      <c r="N5" s="1742"/>
      <c r="O5" s="1742"/>
      <c r="P5" s="839"/>
    </row>
    <row r="6" spans="1:16" ht="60" customHeight="1">
      <c r="A6" s="1631" t="s">
        <v>1227</v>
      </c>
      <c r="B6" s="2284" t="s">
        <v>6</v>
      </c>
      <c r="C6" s="2285"/>
      <c r="D6" s="1632" t="s">
        <v>1407</v>
      </c>
      <c r="E6" s="1633" t="s">
        <v>64</v>
      </c>
      <c r="F6" s="2279" t="s">
        <v>1</v>
      </c>
      <c r="G6" s="2280"/>
      <c r="H6" s="2281"/>
      <c r="I6" s="1634" t="s">
        <v>66</v>
      </c>
      <c r="J6" s="1634" t="s">
        <v>1376</v>
      </c>
      <c r="K6" s="1635" t="s">
        <v>1377</v>
      </c>
      <c r="L6" s="1635" t="s">
        <v>1375</v>
      </c>
      <c r="M6" s="630" t="s">
        <v>1387</v>
      </c>
      <c r="N6" s="630" t="s">
        <v>1387</v>
      </c>
      <c r="O6" s="630" t="s">
        <v>1378</v>
      </c>
      <c r="P6" s="1322" t="s">
        <v>1379</v>
      </c>
    </row>
    <row r="7" spans="1:16" ht="22.5" customHeight="1">
      <c r="A7" s="2628">
        <v>3491</v>
      </c>
      <c r="B7" s="2646" t="s">
        <v>1318</v>
      </c>
      <c r="C7" s="2646"/>
      <c r="D7" s="707"/>
      <c r="E7" s="1035" t="s">
        <v>1033</v>
      </c>
      <c r="F7" s="2603" t="s">
        <v>1035</v>
      </c>
      <c r="G7" s="2185"/>
      <c r="H7" s="2186"/>
      <c r="I7" s="710"/>
      <c r="J7" s="710"/>
      <c r="K7" s="710"/>
      <c r="L7" s="712"/>
      <c r="M7" s="712"/>
      <c r="N7" s="712"/>
      <c r="O7" s="712"/>
      <c r="P7" s="2067" t="s">
        <v>1317</v>
      </c>
    </row>
    <row r="8" spans="1:16" ht="22.5" customHeight="1">
      <c r="A8" s="2629"/>
      <c r="B8" s="2647"/>
      <c r="C8" s="2647"/>
      <c r="D8" s="858"/>
      <c r="E8" s="1748" t="s">
        <v>1034</v>
      </c>
      <c r="F8" s="2169" t="s">
        <v>1035</v>
      </c>
      <c r="G8" s="2170"/>
      <c r="H8" s="2171"/>
      <c r="I8" s="711"/>
      <c r="J8" s="711"/>
      <c r="K8" s="711"/>
      <c r="L8" s="713"/>
      <c r="M8" s="713"/>
      <c r="N8" s="713"/>
      <c r="O8" s="713"/>
      <c r="P8" s="2030"/>
    </row>
    <row r="9" spans="1:16" ht="22.5" customHeight="1">
      <c r="A9" s="2644">
        <v>2201</v>
      </c>
      <c r="B9" s="2648" t="s">
        <v>59</v>
      </c>
      <c r="C9" s="1998"/>
      <c r="D9" s="188"/>
      <c r="E9" s="190" t="s">
        <v>60</v>
      </c>
      <c r="F9" s="2640" t="s">
        <v>68</v>
      </c>
      <c r="G9" s="2641"/>
      <c r="H9" s="2642"/>
      <c r="I9" s="188"/>
      <c r="J9" s="188"/>
      <c r="K9" s="188"/>
      <c r="L9" s="188"/>
      <c r="M9" s="188"/>
      <c r="N9" s="188"/>
      <c r="O9" s="188"/>
      <c r="P9" s="1036" t="str">
        <f>HYPERLINK(VLOOKUP(F9,LINK,2,FALSE),VLOOKUP(F9,LINK,3,FALSE))</f>
        <v>EXCEL</v>
      </c>
    </row>
    <row r="10" spans="1:16" ht="22.5" customHeight="1">
      <c r="A10" s="2644"/>
      <c r="B10" s="2649"/>
      <c r="C10" s="1999"/>
      <c r="D10" s="1026"/>
      <c r="E10" s="1853" t="s">
        <v>61</v>
      </c>
      <c r="F10" s="1854" t="s">
        <v>62</v>
      </c>
      <c r="G10" s="1855"/>
      <c r="H10" s="1856"/>
      <c r="I10" s="1714"/>
      <c r="J10" s="1714"/>
      <c r="K10" s="1714"/>
      <c r="L10" s="1716"/>
      <c r="M10" s="1714" t="str">
        <f>"AT"&amp;G10</f>
        <v>AT</v>
      </c>
      <c r="N10" s="2633" t="s">
        <v>1426</v>
      </c>
      <c r="O10" s="1737"/>
      <c r="P10" s="2638"/>
    </row>
    <row r="11" spans="1:16" ht="22.5" customHeight="1">
      <c r="A11" s="2644"/>
      <c r="B11" s="2650"/>
      <c r="C11" s="2000"/>
      <c r="D11" s="1027"/>
      <c r="E11" s="1857" t="s">
        <v>762</v>
      </c>
      <c r="F11" s="1858" t="s">
        <v>63</v>
      </c>
      <c r="G11" s="1859"/>
      <c r="H11" s="1860"/>
      <c r="I11" s="1861"/>
      <c r="J11" s="1861"/>
      <c r="K11" s="1861"/>
      <c r="L11" s="1862"/>
      <c r="M11" s="1861" t="str">
        <f>"GP"&amp;G11</f>
        <v>GP</v>
      </c>
      <c r="N11" s="2634"/>
      <c r="O11" s="1738"/>
      <c r="P11" s="2639"/>
    </row>
    <row r="12" spans="1:16" ht="22.5" customHeight="1">
      <c r="A12" s="2628">
        <v>2211</v>
      </c>
      <c r="B12" s="2114" t="s">
        <v>874</v>
      </c>
      <c r="C12" s="2114"/>
      <c r="D12" s="188"/>
      <c r="E12" s="1863" t="s">
        <v>1539</v>
      </c>
      <c r="F12" s="2663" t="s">
        <v>1540</v>
      </c>
      <c r="G12" s="2664"/>
      <c r="H12" s="1864">
        <v>-99</v>
      </c>
      <c r="I12" s="1865"/>
      <c r="J12" s="1865"/>
      <c r="K12" s="1865"/>
      <c r="L12" s="1866"/>
      <c r="M12" s="1865"/>
      <c r="N12" s="2635" t="s">
        <v>1426</v>
      </c>
      <c r="O12" s="188"/>
      <c r="P12" s="2630"/>
    </row>
    <row r="13" spans="1:16" ht="22.5" customHeight="1">
      <c r="A13" s="2645"/>
      <c r="B13" s="2115"/>
      <c r="C13" s="2115"/>
      <c r="D13" s="1737"/>
      <c r="E13" s="1853" t="s">
        <v>1546</v>
      </c>
      <c r="F13" s="2330" t="s">
        <v>1544</v>
      </c>
      <c r="G13" s="2331"/>
      <c r="H13" s="1867" t="s">
        <v>1543</v>
      </c>
      <c r="I13" s="1714"/>
      <c r="J13" s="1714"/>
      <c r="K13" s="1714"/>
      <c r="L13" s="1716"/>
      <c r="M13" s="1714"/>
      <c r="N13" s="2636"/>
      <c r="O13" s="1737"/>
      <c r="P13" s="2631"/>
    </row>
    <row r="14" spans="1:16" ht="22.5" customHeight="1">
      <c r="A14" s="2645"/>
      <c r="B14" s="2115"/>
      <c r="C14" s="2115"/>
      <c r="D14" s="1737"/>
      <c r="E14" s="1853" t="s">
        <v>1547</v>
      </c>
      <c r="F14" s="2330" t="s">
        <v>1544</v>
      </c>
      <c r="G14" s="2331"/>
      <c r="H14" s="1867" t="s">
        <v>1545</v>
      </c>
      <c r="I14" s="1714"/>
      <c r="J14" s="1714"/>
      <c r="K14" s="1714"/>
      <c r="L14" s="1716"/>
      <c r="M14" s="1714"/>
      <c r="N14" s="2636"/>
      <c r="O14" s="1737"/>
      <c r="P14" s="2631"/>
    </row>
    <row r="15" spans="1:16" ht="22.5" customHeight="1">
      <c r="A15" s="2645"/>
      <c r="B15" s="2115"/>
      <c r="C15" s="2115"/>
      <c r="D15" s="1737"/>
      <c r="E15" s="1853" t="s">
        <v>1541</v>
      </c>
      <c r="F15" s="2330" t="s">
        <v>1542</v>
      </c>
      <c r="G15" s="2331"/>
      <c r="H15" s="1867"/>
      <c r="I15" s="1714"/>
      <c r="J15" s="1714"/>
      <c r="K15" s="1714"/>
      <c r="L15" s="1716"/>
      <c r="M15" s="1714" t="str">
        <f>"ST"&amp;G15</f>
        <v>ST</v>
      </c>
      <c r="N15" s="2636"/>
      <c r="O15" s="1737"/>
      <c r="P15" s="2631"/>
    </row>
    <row r="16" spans="1:16" ht="22.5" customHeight="1">
      <c r="A16" s="2645"/>
      <c r="B16" s="2115"/>
      <c r="C16" s="2115"/>
      <c r="D16" s="1737"/>
      <c r="E16" s="1853" t="s">
        <v>1548</v>
      </c>
      <c r="F16" s="1854" t="s">
        <v>63</v>
      </c>
      <c r="G16" s="1855"/>
      <c r="H16" s="1867"/>
      <c r="I16" s="1714"/>
      <c r="J16" s="1714"/>
      <c r="K16" s="1714"/>
      <c r="L16" s="1716"/>
      <c r="M16" s="1714" t="str">
        <f>"GP"&amp;G16</f>
        <v>GP</v>
      </c>
      <c r="N16" s="2636"/>
      <c r="O16" s="1737"/>
      <c r="P16" s="2631"/>
    </row>
    <row r="17" spans="1:16" ht="22.5" customHeight="1">
      <c r="A17" s="2645"/>
      <c r="B17" s="2115"/>
      <c r="C17" s="2115"/>
      <c r="D17" s="1737"/>
      <c r="E17" s="1853" t="s">
        <v>1549</v>
      </c>
      <c r="F17" s="1854" t="s">
        <v>1552</v>
      </c>
      <c r="G17" s="1855"/>
      <c r="H17" s="1867"/>
      <c r="I17" s="1716"/>
      <c r="J17" s="1716"/>
      <c r="K17" s="1716"/>
      <c r="L17" s="1716"/>
      <c r="M17" s="2636" t="s">
        <v>1551</v>
      </c>
      <c r="N17" s="2636"/>
      <c r="O17" s="1737"/>
      <c r="P17" s="2631"/>
    </row>
    <row r="18" spans="1:16" ht="22.5" customHeight="1">
      <c r="A18" s="2629"/>
      <c r="B18" s="2651"/>
      <c r="C18" s="2651"/>
      <c r="D18" s="1738"/>
      <c r="E18" s="1857" t="s">
        <v>1550</v>
      </c>
      <c r="F18" s="1858" t="s">
        <v>1553</v>
      </c>
      <c r="G18" s="1859"/>
      <c r="H18" s="1868"/>
      <c r="I18" s="1862"/>
      <c r="J18" s="1862"/>
      <c r="K18" s="1862"/>
      <c r="L18" s="1862"/>
      <c r="M18" s="2637"/>
      <c r="N18" s="2637"/>
      <c r="O18" s="1738"/>
      <c r="P18" s="2632"/>
    </row>
    <row r="19" spans="1:16" ht="22.5" customHeight="1">
      <c r="A19" s="2652" t="s">
        <v>1567</v>
      </c>
      <c r="B19" s="2648" t="s">
        <v>1568</v>
      </c>
      <c r="C19" s="1998"/>
      <c r="D19" s="188"/>
      <c r="E19" s="190" t="s">
        <v>1574</v>
      </c>
      <c r="F19" s="2640" t="s">
        <v>1575</v>
      </c>
      <c r="G19" s="2641"/>
      <c r="H19" s="2642"/>
      <c r="I19" s="188"/>
      <c r="J19" s="188"/>
      <c r="K19" s="188"/>
      <c r="L19" s="188"/>
      <c r="M19" s="1753"/>
      <c r="N19" s="1750"/>
      <c r="O19" s="188"/>
      <c r="P19" s="2018" t="s">
        <v>1569</v>
      </c>
    </row>
    <row r="20" spans="1:16" ht="22.5" customHeight="1">
      <c r="A20" s="2653"/>
      <c r="B20" s="2649"/>
      <c r="C20" s="1999"/>
      <c r="D20" s="1737"/>
      <c r="E20" s="1737" t="s">
        <v>1557</v>
      </c>
      <c r="F20" s="2660" t="s">
        <v>1563</v>
      </c>
      <c r="G20" s="2661"/>
      <c r="H20" s="2662"/>
      <c r="I20" s="1737"/>
      <c r="J20" s="1737"/>
      <c r="K20" s="1737"/>
      <c r="L20" s="1737"/>
      <c r="M20" s="140" t="s">
        <v>1559</v>
      </c>
      <c r="N20" s="1751"/>
      <c r="O20" s="1737"/>
      <c r="P20" s="2019"/>
    </row>
    <row r="21" spans="1:16" ht="22.5" customHeight="1">
      <c r="A21" s="2653"/>
      <c r="B21" s="2649"/>
      <c r="C21" s="1999"/>
      <c r="D21" s="1737"/>
      <c r="E21" s="192" t="s">
        <v>1570</v>
      </c>
      <c r="F21" s="2655" t="s">
        <v>1564</v>
      </c>
      <c r="G21" s="2656"/>
      <c r="H21" s="2657"/>
      <c r="I21" s="1737"/>
      <c r="J21" s="1737"/>
      <c r="K21" s="1737"/>
      <c r="L21" s="1737"/>
      <c r="M21" s="140" t="s">
        <v>1560</v>
      </c>
      <c r="N21" s="1751"/>
      <c r="O21" s="1737"/>
      <c r="P21" s="2019"/>
    </row>
    <row r="22" spans="1:16" ht="22.5" customHeight="1">
      <c r="A22" s="2653"/>
      <c r="B22" s="2649"/>
      <c r="C22" s="1999"/>
      <c r="D22" s="1737"/>
      <c r="E22" s="192" t="s">
        <v>42</v>
      </c>
      <c r="F22" s="2655" t="s">
        <v>1565</v>
      </c>
      <c r="G22" s="2656"/>
      <c r="H22" s="2657"/>
      <c r="I22" s="1737"/>
      <c r="J22" s="1737"/>
      <c r="K22" s="1737"/>
      <c r="L22" s="1737"/>
      <c r="M22" s="140" t="s">
        <v>1561</v>
      </c>
      <c r="N22" s="1751"/>
      <c r="O22" s="1737"/>
      <c r="P22" s="2019"/>
    </row>
    <row r="23" spans="1:16" ht="22.5" customHeight="1">
      <c r="A23" s="2653"/>
      <c r="B23" s="2649"/>
      <c r="C23" s="1999"/>
      <c r="D23" s="1737"/>
      <c r="E23" s="192" t="s">
        <v>1558</v>
      </c>
      <c r="F23" s="2655" t="s">
        <v>1566</v>
      </c>
      <c r="G23" s="2656"/>
      <c r="H23" s="2657"/>
      <c r="I23" s="1737"/>
      <c r="J23" s="1737"/>
      <c r="K23" s="1737"/>
      <c r="L23" s="1737"/>
      <c r="M23" s="140" t="s">
        <v>1562</v>
      </c>
      <c r="N23" s="1751"/>
      <c r="O23" s="1737"/>
      <c r="P23" s="2019"/>
    </row>
    <row r="24" spans="1:16" ht="22.5" customHeight="1">
      <c r="A24" s="2653"/>
      <c r="B24" s="2649"/>
      <c r="C24" s="1999"/>
      <c r="D24" s="452"/>
      <c r="E24" s="1771" t="s">
        <v>1571</v>
      </c>
      <c r="F24" s="2655" t="s">
        <v>1572</v>
      </c>
      <c r="G24" s="2656"/>
      <c r="H24" s="2657"/>
      <c r="I24" s="452"/>
      <c r="J24" s="452"/>
      <c r="K24" s="452"/>
      <c r="L24" s="452"/>
      <c r="M24" s="1772"/>
      <c r="N24" s="1754"/>
      <c r="O24" s="452"/>
      <c r="P24" s="2019"/>
    </row>
    <row r="25" spans="1:16" ht="22.5" customHeight="1">
      <c r="A25" s="2654"/>
      <c r="B25" s="2650"/>
      <c r="C25" s="2000"/>
      <c r="D25" s="1738"/>
      <c r="E25" s="194" t="s">
        <v>1573</v>
      </c>
      <c r="F25" s="2658" t="s">
        <v>1576</v>
      </c>
      <c r="G25" s="2659"/>
      <c r="H25" s="349">
        <v>-99</v>
      </c>
      <c r="I25" s="1738"/>
      <c r="J25" s="1738"/>
      <c r="K25" s="1738"/>
      <c r="L25" s="1738"/>
      <c r="M25" s="1752"/>
      <c r="N25" s="1752"/>
      <c r="O25" s="1738"/>
      <c r="P25" s="2020"/>
    </row>
    <row r="26" spans="1:16" ht="22.5" customHeight="1">
      <c r="A26" s="2644">
        <v>3041</v>
      </c>
      <c r="B26" s="2059" t="s">
        <v>1287</v>
      </c>
      <c r="C26" s="2049"/>
      <c r="D26" s="188"/>
      <c r="E26" s="190" t="s">
        <v>477</v>
      </c>
      <c r="F26" s="631" t="s">
        <v>1217</v>
      </c>
      <c r="G26" s="640"/>
      <c r="H26" s="632"/>
      <c r="I26" s="188"/>
      <c r="J26" s="188"/>
      <c r="K26" s="188"/>
      <c r="L26" s="467"/>
      <c r="M26" s="188"/>
      <c r="N26" s="225"/>
      <c r="O26" s="225"/>
      <c r="P26" s="2149" t="s">
        <v>1554</v>
      </c>
    </row>
    <row r="27" spans="1:16" ht="22.5" customHeight="1">
      <c r="A27" s="2644"/>
      <c r="B27" s="2060"/>
      <c r="C27" s="2061"/>
      <c r="D27" s="1027"/>
      <c r="E27" s="194" t="s">
        <v>1216</v>
      </c>
      <c r="F27" s="634" t="s">
        <v>1218</v>
      </c>
      <c r="G27" s="648"/>
      <c r="H27" s="635"/>
      <c r="I27" s="1027"/>
      <c r="J27" s="1027"/>
      <c r="K27" s="1027"/>
      <c r="L27" s="229"/>
      <c r="M27" s="1027"/>
      <c r="N27" s="1002"/>
      <c r="O27" s="1723"/>
      <c r="P27" s="1993"/>
    </row>
    <row r="28" spans="1:16" ht="30" customHeight="1">
      <c r="A28" s="2643"/>
      <c r="B28" s="2643"/>
      <c r="C28" s="2643"/>
      <c r="D28" s="2643"/>
      <c r="E28" s="2643"/>
      <c r="F28" s="2643"/>
      <c r="G28" s="2643"/>
      <c r="H28" s="2643"/>
      <c r="I28" s="2643"/>
      <c r="J28" s="2643"/>
      <c r="K28" s="2643"/>
      <c r="L28" s="2643"/>
      <c r="M28" s="2643"/>
      <c r="N28" s="1149"/>
      <c r="O28" s="1742"/>
    </row>
  </sheetData>
  <mergeCells count="47">
    <mergeCell ref="P19:P25"/>
    <mergeCell ref="H3:L3"/>
    <mergeCell ref="F4:G4"/>
    <mergeCell ref="H4:L4"/>
    <mergeCell ref="F2:G2"/>
    <mergeCell ref="F12:G12"/>
    <mergeCell ref="F13:G13"/>
    <mergeCell ref="F14:G14"/>
    <mergeCell ref="F15:G15"/>
    <mergeCell ref="B19:C25"/>
    <mergeCell ref="F19:H19"/>
    <mergeCell ref="F20:H20"/>
    <mergeCell ref="F21:H21"/>
    <mergeCell ref="F22:H22"/>
    <mergeCell ref="F23:H23"/>
    <mergeCell ref="A28:M28"/>
    <mergeCell ref="A9:A11"/>
    <mergeCell ref="A12:A18"/>
    <mergeCell ref="A26:A27"/>
    <mergeCell ref="B6:C6"/>
    <mergeCell ref="F6:H6"/>
    <mergeCell ref="M17:M18"/>
    <mergeCell ref="B7:C8"/>
    <mergeCell ref="B9:C11"/>
    <mergeCell ref="B12:C18"/>
    <mergeCell ref="F7:H7"/>
    <mergeCell ref="F8:H8"/>
    <mergeCell ref="A19:A25"/>
    <mergeCell ref="F24:H24"/>
    <mergeCell ref="F25:G25"/>
    <mergeCell ref="B26:C27"/>
    <mergeCell ref="A2:A3"/>
    <mergeCell ref="A4:A5"/>
    <mergeCell ref="A7:A8"/>
    <mergeCell ref="P12:P18"/>
    <mergeCell ref="P26:P27"/>
    <mergeCell ref="P7:P8"/>
    <mergeCell ref="N10:N11"/>
    <mergeCell ref="N12:N18"/>
    <mergeCell ref="P10:P11"/>
    <mergeCell ref="F5:G5"/>
    <mergeCell ref="H5:L5"/>
    <mergeCell ref="F9:H9"/>
    <mergeCell ref="B2:E3"/>
    <mergeCell ref="B4:E5"/>
    <mergeCell ref="H2:L2"/>
    <mergeCell ref="F3:G3"/>
  </mergeCells>
  <phoneticPr fontId="2"/>
  <hyperlinks>
    <hyperlink ref="A1:P1" location="TEMPLATE!A1" display="3PCS"/>
  </hyperlinks>
  <pageMargins left="0.70866141732283472" right="0.70866141732283472" top="0.74803149606299213" bottom="0.74803149606299213" header="0.31496062992125984" footer="0.31496062992125984"/>
  <pageSetup paperSize="9" scale="63" orientation="landscape"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464"/>
    <pageSetUpPr fitToPage="1"/>
  </sheetPr>
  <dimension ref="A1:N28"/>
  <sheetViews>
    <sheetView showGridLines="0" view="pageBreakPreview" zoomScaleNormal="100" zoomScaleSheetLayoutView="100" workbookViewId="0"/>
  </sheetViews>
  <sheetFormatPr defaultRowHeight="13.8"/>
  <cols>
    <col min="1" max="1" width="9.5" bestFit="1" customWidth="1"/>
    <col min="2" max="2" width="37.8984375" customWidth="1"/>
    <col min="3" max="3" width="5.59765625" customWidth="1"/>
    <col min="4" max="4" width="47.09765625" bestFit="1" customWidth="1"/>
    <col min="5" max="5" width="17.09765625" bestFit="1" customWidth="1"/>
    <col min="6" max="6" width="5.59765625" customWidth="1"/>
    <col min="7" max="8" width="5.59765625" style="13" customWidth="1"/>
    <col min="9" max="11" width="5.59765625" customWidth="1"/>
    <col min="12" max="12" width="19.8984375" customWidth="1"/>
    <col min="13" max="13" width="45.09765625" bestFit="1" customWidth="1"/>
    <col min="14" max="14" width="5.5" bestFit="1" customWidth="1"/>
  </cols>
  <sheetData>
    <row r="1" spans="1:14">
      <c r="A1" s="835" t="s">
        <v>173</v>
      </c>
      <c r="B1" s="835"/>
      <c r="C1" s="835"/>
      <c r="D1" s="835"/>
      <c r="E1" s="835"/>
      <c r="F1" s="835"/>
      <c r="G1" s="835"/>
      <c r="H1" s="835"/>
      <c r="I1" s="835"/>
      <c r="J1" s="835"/>
      <c r="K1" s="835"/>
      <c r="L1" s="835"/>
      <c r="M1" s="835"/>
      <c r="N1" s="835"/>
    </row>
    <row r="2" spans="1:14" ht="30" customHeight="1">
      <c r="A2" s="2396" t="s">
        <v>5</v>
      </c>
      <c r="B2" s="1993"/>
      <c r="C2" s="1993"/>
      <c r="D2" s="1993"/>
      <c r="E2" s="2093" t="s">
        <v>268</v>
      </c>
      <c r="F2" s="2094"/>
      <c r="G2" s="2089"/>
      <c r="H2" s="2090"/>
      <c r="I2" s="2090"/>
      <c r="J2" s="2090"/>
      <c r="K2" s="2090"/>
      <c r="L2" s="837" t="s">
        <v>1187</v>
      </c>
      <c r="M2" s="904"/>
      <c r="N2" s="920"/>
    </row>
    <row r="3" spans="1:14" ht="30" customHeight="1">
      <c r="A3" s="2396"/>
      <c r="B3" s="1993"/>
      <c r="C3" s="1993"/>
      <c r="D3" s="1993"/>
      <c r="E3" s="2006" t="s">
        <v>1249</v>
      </c>
      <c r="F3" s="2006"/>
      <c r="G3" s="2089"/>
      <c r="H3" s="2090"/>
      <c r="I3" s="2090"/>
      <c r="J3" s="2090"/>
      <c r="K3" s="2090"/>
      <c r="L3" s="1099"/>
      <c r="M3" s="35"/>
      <c r="N3" s="921"/>
    </row>
    <row r="4" spans="1:14" ht="30" customHeight="1">
      <c r="A4" s="2396" t="s">
        <v>38</v>
      </c>
      <c r="B4" s="1993"/>
      <c r="C4" s="1993"/>
      <c r="D4" s="1993"/>
      <c r="E4" s="2007" t="s">
        <v>1250</v>
      </c>
      <c r="F4" s="2007"/>
      <c r="G4" s="2089"/>
      <c r="H4" s="2090"/>
      <c r="I4" s="2090"/>
      <c r="J4" s="2090"/>
      <c r="K4" s="2090"/>
      <c r="L4" s="1099"/>
      <c r="M4" s="35"/>
      <c r="N4" s="921"/>
    </row>
    <row r="5" spans="1:14" ht="30" customHeight="1">
      <c r="A5" s="2396"/>
      <c r="B5" s="1993"/>
      <c r="C5" s="1993"/>
      <c r="D5" s="1993"/>
      <c r="E5" s="2008" t="s">
        <v>269</v>
      </c>
      <c r="F5" s="2008"/>
      <c r="G5" s="2674"/>
      <c r="H5" s="2675"/>
      <c r="I5" s="2675"/>
      <c r="J5" s="2675"/>
      <c r="K5" s="2675"/>
      <c r="L5" s="1100"/>
      <c r="M5" s="905"/>
      <c r="N5" s="922"/>
    </row>
    <row r="6" spans="1:14" ht="60" customHeight="1">
      <c r="A6" s="1107" t="s">
        <v>1227</v>
      </c>
      <c r="B6" s="1069" t="s">
        <v>6</v>
      </c>
      <c r="C6" s="1037" t="s">
        <v>1251</v>
      </c>
      <c r="D6" s="82" t="s">
        <v>64</v>
      </c>
      <c r="E6" s="2001" t="s">
        <v>1</v>
      </c>
      <c r="F6" s="2002"/>
      <c r="G6" s="2003"/>
      <c r="H6" s="1038" t="s">
        <v>66</v>
      </c>
      <c r="I6" s="1038" t="s">
        <v>1247</v>
      </c>
      <c r="J6" s="1039" t="s">
        <v>1248</v>
      </c>
      <c r="K6" s="1040" t="s">
        <v>2</v>
      </c>
      <c r="L6" s="1069" t="s">
        <v>1256</v>
      </c>
      <c r="M6" s="1069" t="s">
        <v>1257</v>
      </c>
      <c r="N6" s="1140" t="s">
        <v>183</v>
      </c>
    </row>
    <row r="7" spans="1:14" ht="20.100000000000001" customHeight="1">
      <c r="A7" s="2252">
        <v>3491</v>
      </c>
      <c r="B7" s="2252" t="s">
        <v>1211</v>
      </c>
      <c r="C7" s="707"/>
      <c r="D7" s="1035" t="s">
        <v>1022</v>
      </c>
      <c r="E7" s="263" t="s">
        <v>1019</v>
      </c>
      <c r="F7" s="708"/>
      <c r="G7" s="641" t="s">
        <v>231</v>
      </c>
      <c r="H7" s="710"/>
      <c r="I7" s="710"/>
      <c r="J7" s="710"/>
      <c r="K7" s="712"/>
      <c r="L7" s="712"/>
      <c r="M7" s="712"/>
      <c r="N7" s="2095" t="s">
        <v>1020</v>
      </c>
    </row>
    <row r="8" spans="1:14" ht="20.100000000000001" customHeight="1">
      <c r="A8" s="2254"/>
      <c r="B8" s="2254"/>
      <c r="C8" s="858"/>
      <c r="D8" s="1084" t="s">
        <v>1023</v>
      </c>
      <c r="E8" s="269" t="s">
        <v>1019</v>
      </c>
      <c r="F8" s="709"/>
      <c r="G8" s="649" t="s">
        <v>1036</v>
      </c>
      <c r="H8" s="711"/>
      <c r="I8" s="711"/>
      <c r="J8" s="711"/>
      <c r="K8" s="713"/>
      <c r="L8" s="713"/>
      <c r="M8" s="713"/>
      <c r="N8" s="2096"/>
    </row>
    <row r="9" spans="1:14" ht="20.100000000000001" customHeight="1">
      <c r="A9" s="2252">
        <v>3131</v>
      </c>
      <c r="B9" s="2116" t="s">
        <v>1212</v>
      </c>
      <c r="C9" s="188"/>
      <c r="D9" s="1150" t="s">
        <v>1289</v>
      </c>
      <c r="E9" s="631" t="s">
        <v>894</v>
      </c>
      <c r="F9" s="640"/>
      <c r="G9" s="641" t="s">
        <v>250</v>
      </c>
      <c r="H9" s="188"/>
      <c r="I9" s="188"/>
      <c r="J9" s="188"/>
      <c r="K9" s="188"/>
      <c r="L9" s="650"/>
      <c r="M9" s="2387" t="s">
        <v>880</v>
      </c>
      <c r="N9" s="2095" t="str">
        <f>HYPERLINK(VLOOKUP(E10,LINK,2,FALSE),VLOOKUP(E10,LINK,3,FALSE))</f>
        <v>W/M</v>
      </c>
    </row>
    <row r="10" spans="1:14" ht="20.100000000000001" customHeight="1">
      <c r="A10" s="2253"/>
      <c r="B10" s="2135"/>
      <c r="C10" s="428"/>
      <c r="D10" s="1151" t="s">
        <v>1290</v>
      </c>
      <c r="E10" s="639" t="s">
        <v>894</v>
      </c>
      <c r="F10" s="730"/>
      <c r="G10" s="731" t="s">
        <v>812</v>
      </c>
      <c r="H10" s="428"/>
      <c r="I10" s="732"/>
      <c r="J10" s="732"/>
      <c r="K10" s="732"/>
      <c r="L10" s="733"/>
      <c r="M10" s="2388"/>
      <c r="N10" s="2461"/>
    </row>
    <row r="11" spans="1:14" ht="20.100000000000001" customHeight="1">
      <c r="A11" s="2253"/>
      <c r="B11" s="2135"/>
      <c r="C11" s="452"/>
      <c r="D11" s="1152" t="s">
        <v>1291</v>
      </c>
      <c r="E11" s="734" t="s">
        <v>894</v>
      </c>
      <c r="F11" s="735"/>
      <c r="G11" s="736" t="s">
        <v>813</v>
      </c>
      <c r="H11" s="452"/>
      <c r="I11" s="636"/>
      <c r="J11" s="636"/>
      <c r="K11" s="636"/>
      <c r="L11" s="651"/>
      <c r="M11" s="2388"/>
      <c r="N11" s="2461"/>
    </row>
    <row r="12" spans="1:14" ht="20.100000000000001" customHeight="1">
      <c r="A12" s="2253"/>
      <c r="B12" s="2135"/>
      <c r="C12" s="188"/>
      <c r="D12" s="1150" t="s">
        <v>1292</v>
      </c>
      <c r="E12" s="631" t="s">
        <v>384</v>
      </c>
      <c r="F12" s="640"/>
      <c r="G12" s="641" t="s">
        <v>810</v>
      </c>
      <c r="H12" s="188"/>
      <c r="I12" s="188"/>
      <c r="J12" s="188"/>
      <c r="K12" s="188"/>
      <c r="L12" s="305"/>
      <c r="M12" s="2388"/>
      <c r="N12" s="2461"/>
    </row>
    <row r="13" spans="1:14" ht="20.100000000000001" customHeight="1">
      <c r="A13" s="2253"/>
      <c r="B13" s="2135"/>
      <c r="C13" s="1079"/>
      <c r="D13" s="667" t="s">
        <v>881</v>
      </c>
      <c r="E13" s="633" t="s">
        <v>384</v>
      </c>
      <c r="F13" s="642"/>
      <c r="G13" s="643" t="s">
        <v>812</v>
      </c>
      <c r="H13" s="1079"/>
      <c r="I13" s="228"/>
      <c r="J13" s="228"/>
      <c r="K13" s="228"/>
      <c r="L13" s="306"/>
      <c r="M13" s="2388"/>
      <c r="N13" s="2461"/>
    </row>
    <row r="14" spans="1:14" ht="20.100000000000001" customHeight="1">
      <c r="A14" s="2253"/>
      <c r="B14" s="2135"/>
      <c r="C14" s="1079"/>
      <c r="D14" s="667" t="s">
        <v>882</v>
      </c>
      <c r="E14" s="633" t="s">
        <v>384</v>
      </c>
      <c r="F14" s="642"/>
      <c r="G14" s="643" t="s">
        <v>813</v>
      </c>
      <c r="H14" s="1079"/>
      <c r="I14" s="228"/>
      <c r="J14" s="228"/>
      <c r="K14" s="228"/>
      <c r="L14" s="306"/>
      <c r="M14" s="2388"/>
      <c r="N14" s="2461"/>
    </row>
    <row r="15" spans="1:14" ht="20.100000000000001" customHeight="1">
      <c r="A15" s="2253"/>
      <c r="B15" s="2135"/>
      <c r="C15" s="1079"/>
      <c r="D15" s="1153" t="s">
        <v>883</v>
      </c>
      <c r="E15" s="637" t="s">
        <v>884</v>
      </c>
      <c r="F15" s="644"/>
      <c r="G15" s="645"/>
      <c r="H15" s="1079"/>
      <c r="I15" s="228"/>
      <c r="J15" s="228"/>
      <c r="K15" s="228"/>
      <c r="L15" s="306"/>
      <c r="M15" s="2388"/>
      <c r="N15" s="2096"/>
    </row>
    <row r="16" spans="1:14" ht="20.100000000000001" hidden="1" customHeight="1">
      <c r="A16" s="2253"/>
      <c r="B16" s="2135"/>
      <c r="C16" s="698"/>
      <c r="D16" s="1896" t="s">
        <v>885</v>
      </c>
      <c r="E16" s="1897" t="s">
        <v>972</v>
      </c>
      <c r="F16" s="1898" t="s">
        <v>893</v>
      </c>
      <c r="G16" s="1899" t="s">
        <v>817</v>
      </c>
      <c r="H16" s="698"/>
      <c r="I16" s="698"/>
      <c r="J16" s="698"/>
      <c r="K16" s="698"/>
      <c r="L16" s="306" t="s">
        <v>896</v>
      </c>
      <c r="M16" s="2388"/>
      <c r="N16" s="2665"/>
    </row>
    <row r="17" spans="1:14" ht="20.100000000000001" hidden="1" customHeight="1">
      <c r="A17" s="2253"/>
      <c r="B17" s="2135"/>
      <c r="C17" s="1536"/>
      <c r="D17" s="1900" t="s">
        <v>885</v>
      </c>
      <c r="E17" s="1901" t="s">
        <v>973</v>
      </c>
      <c r="F17" s="1902" t="s">
        <v>893</v>
      </c>
      <c r="G17" s="1903" t="s">
        <v>817</v>
      </c>
      <c r="H17" s="1536"/>
      <c r="I17" s="1536"/>
      <c r="J17" s="1536"/>
      <c r="K17" s="1536"/>
      <c r="L17" s="440" t="s">
        <v>896</v>
      </c>
      <c r="M17" s="2389"/>
      <c r="N17" s="2666"/>
    </row>
    <row r="18" spans="1:14" ht="20.100000000000001" customHeight="1">
      <c r="A18" s="2254"/>
      <c r="B18" s="2117"/>
      <c r="C18" s="1074"/>
      <c r="D18" s="1154" t="s">
        <v>775</v>
      </c>
      <c r="E18" s="638" t="s">
        <v>886</v>
      </c>
      <c r="F18" s="646"/>
      <c r="G18" s="647"/>
      <c r="H18" s="1074"/>
      <c r="I18" s="1074"/>
      <c r="J18" s="1074"/>
      <c r="K18" s="1074"/>
      <c r="L18" s="652"/>
      <c r="M18" s="1016" t="s">
        <v>1658</v>
      </c>
      <c r="N18" s="1081" t="str">
        <f>HYPERLINK(VLOOKUP(E18,LINK,2,FALSE),VLOOKUP(E18,LINK,3,FALSE))</f>
        <v>W/M</v>
      </c>
    </row>
    <row r="19" spans="1:14" ht="20.100000000000001" customHeight="1">
      <c r="A19" s="2252">
        <v>3221</v>
      </c>
      <c r="B19" s="1995" t="s">
        <v>887</v>
      </c>
      <c r="C19" s="188"/>
      <c r="D19" s="1150" t="s">
        <v>1296</v>
      </c>
      <c r="E19" s="631" t="s">
        <v>895</v>
      </c>
      <c r="F19" s="640"/>
      <c r="G19" s="641" t="s">
        <v>810</v>
      </c>
      <c r="H19" s="188"/>
      <c r="I19" s="188"/>
      <c r="J19" s="188"/>
      <c r="K19" s="188"/>
      <c r="L19" s="305"/>
      <c r="M19" s="2671" t="s">
        <v>897</v>
      </c>
      <c r="N19" s="2095" t="str">
        <f>HYPERLINK(VLOOKUP(E15,LINK,2,FALSE),VLOOKUP(E15,LINK,3,FALSE))</f>
        <v>W/M</v>
      </c>
    </row>
    <row r="20" spans="1:14" ht="20.100000000000001" customHeight="1">
      <c r="A20" s="2253"/>
      <c r="B20" s="1996"/>
      <c r="C20" s="1079"/>
      <c r="D20" s="1155" t="s">
        <v>1295</v>
      </c>
      <c r="E20" s="633" t="s">
        <v>895</v>
      </c>
      <c r="F20" s="642"/>
      <c r="G20" s="643" t="s">
        <v>812</v>
      </c>
      <c r="H20" s="1079"/>
      <c r="I20" s="228"/>
      <c r="J20" s="228"/>
      <c r="K20" s="228"/>
      <c r="L20" s="306"/>
      <c r="M20" s="2672"/>
      <c r="N20" s="2461"/>
    </row>
    <row r="21" spans="1:14" ht="20.100000000000001" customHeight="1">
      <c r="A21" s="2254"/>
      <c r="B21" s="1997"/>
      <c r="C21" s="1080"/>
      <c r="D21" s="671" t="s">
        <v>888</v>
      </c>
      <c r="E21" s="634" t="s">
        <v>895</v>
      </c>
      <c r="F21" s="648"/>
      <c r="G21" s="649" t="s">
        <v>813</v>
      </c>
      <c r="H21" s="1080"/>
      <c r="I21" s="229"/>
      <c r="J21" s="229"/>
      <c r="K21" s="229"/>
      <c r="L21" s="440"/>
      <c r="M21" s="2673"/>
      <c r="N21" s="2096"/>
    </row>
    <row r="22" spans="1:14" ht="20.100000000000001" customHeight="1">
      <c r="A22" s="2252">
        <v>3191</v>
      </c>
      <c r="B22" s="1995" t="s">
        <v>889</v>
      </c>
      <c r="C22" s="188"/>
      <c r="D22" s="245" t="s">
        <v>1042</v>
      </c>
      <c r="E22" s="631" t="s">
        <v>1041</v>
      </c>
      <c r="F22" s="640"/>
      <c r="G22" s="641" t="s">
        <v>1048</v>
      </c>
      <c r="H22" s="188"/>
      <c r="I22" s="188"/>
      <c r="J22" s="188"/>
      <c r="K22" s="188"/>
      <c r="L22" s="752" t="str">
        <f>"NZ"&amp;F22</f>
        <v>NZ</v>
      </c>
      <c r="M22" s="741"/>
      <c r="N22" s="1094" t="e">
        <f>HYPERLINK(VLOOKUP(E22,LINK,2,FALSE),VLOOKUP(E22,LINK,3,FALSE))</f>
        <v>#N/A</v>
      </c>
    </row>
    <row r="23" spans="1:14" ht="20.100000000000001" customHeight="1">
      <c r="A23" s="2253"/>
      <c r="B23" s="1996"/>
      <c r="C23" s="1079"/>
      <c r="D23" s="667" t="s">
        <v>1043</v>
      </c>
      <c r="E23" s="633" t="s">
        <v>1045</v>
      </c>
      <c r="F23" s="642"/>
      <c r="G23" s="643" t="s">
        <v>1046</v>
      </c>
      <c r="H23" s="1079"/>
      <c r="I23" s="228"/>
      <c r="J23" s="228"/>
      <c r="K23" s="228"/>
      <c r="L23" s="306"/>
      <c r="M23" s="445"/>
      <c r="N23" s="1067"/>
    </row>
    <row r="24" spans="1:14" ht="20.100000000000001" customHeight="1">
      <c r="A24" s="2254"/>
      <c r="B24" s="1997"/>
      <c r="C24" s="1080"/>
      <c r="D24" s="671" t="s">
        <v>1044</v>
      </c>
      <c r="E24" s="634" t="s">
        <v>1045</v>
      </c>
      <c r="F24" s="648"/>
      <c r="G24" s="649" t="s">
        <v>1047</v>
      </c>
      <c r="H24" s="1080"/>
      <c r="I24" s="229"/>
      <c r="J24" s="229"/>
      <c r="K24" s="229"/>
      <c r="L24" s="440"/>
      <c r="M24" s="742"/>
      <c r="N24" s="1068"/>
    </row>
    <row r="25" spans="1:14" ht="20.100000000000001" customHeight="1">
      <c r="A25" s="2252">
        <v>3002</v>
      </c>
      <c r="B25" s="2116" t="s">
        <v>890</v>
      </c>
      <c r="C25" s="188"/>
      <c r="D25" s="1150" t="s">
        <v>1293</v>
      </c>
      <c r="E25" s="631" t="s">
        <v>891</v>
      </c>
      <c r="F25" s="640"/>
      <c r="G25" s="641"/>
      <c r="H25" s="188"/>
      <c r="I25" s="188"/>
      <c r="J25" s="188"/>
      <c r="K25" s="467"/>
      <c r="L25" s="650" t="str">
        <f>"PU"&amp;F25</f>
        <v>PU</v>
      </c>
      <c r="M25" s="2668" t="s">
        <v>1297</v>
      </c>
      <c r="N25" s="2616" t="str">
        <f>HYPERLINK(VLOOKUP(E25,LINK,2,FALSE),VLOOKUP(E25,LINK,3,FALSE))</f>
        <v>W/M</v>
      </c>
    </row>
    <row r="26" spans="1:14" ht="20.100000000000001" customHeight="1">
      <c r="A26" s="2253"/>
      <c r="B26" s="2135"/>
      <c r="C26" s="1079"/>
      <c r="D26" s="1151" t="s">
        <v>1294</v>
      </c>
      <c r="E26" s="633" t="s">
        <v>892</v>
      </c>
      <c r="F26" s="642"/>
      <c r="G26" s="643"/>
      <c r="H26" s="1079"/>
      <c r="I26" s="1079"/>
      <c r="J26" s="1079"/>
      <c r="K26" s="228"/>
      <c r="L26" s="654" t="str">
        <f>"PT"&amp;F26</f>
        <v>PT</v>
      </c>
      <c r="M26" s="2669"/>
      <c r="N26" s="2667"/>
    </row>
    <row r="27" spans="1:14" ht="20.100000000000001" customHeight="1">
      <c r="A27" s="2254"/>
      <c r="B27" s="2117"/>
      <c r="C27" s="1080"/>
      <c r="D27" s="671" t="s">
        <v>762</v>
      </c>
      <c r="E27" s="634" t="s">
        <v>63</v>
      </c>
      <c r="F27" s="648"/>
      <c r="G27" s="649"/>
      <c r="H27" s="1080"/>
      <c r="I27" s="1080"/>
      <c r="J27" s="1080"/>
      <c r="K27" s="229"/>
      <c r="L27" s="653" t="str">
        <f>"GP"&amp;F27</f>
        <v>GP</v>
      </c>
      <c r="M27" s="2670"/>
      <c r="N27" s="2667"/>
    </row>
    <row r="28" spans="1:14" ht="29.25" customHeight="1">
      <c r="A28" s="1149" t="s">
        <v>1288</v>
      </c>
      <c r="B28" s="1041"/>
      <c r="C28" s="1041"/>
      <c r="D28" s="1041"/>
      <c r="E28" s="1041"/>
      <c r="F28" s="1041"/>
      <c r="G28" s="1041"/>
      <c r="H28" s="1041"/>
      <c r="I28" s="1041"/>
      <c r="J28" s="1041"/>
      <c r="K28" s="1041"/>
      <c r="L28" s="1041"/>
      <c r="M28" s="1041"/>
    </row>
  </sheetData>
  <mergeCells count="31">
    <mergeCell ref="A7:A8"/>
    <mergeCell ref="A9:A18"/>
    <mergeCell ref="A19:A21"/>
    <mergeCell ref="A22:A24"/>
    <mergeCell ref="A25:A27"/>
    <mergeCell ref="A2:A3"/>
    <mergeCell ref="B2:D3"/>
    <mergeCell ref="E2:F2"/>
    <mergeCell ref="G2:K2"/>
    <mergeCell ref="E3:F3"/>
    <mergeCell ref="G3:K3"/>
    <mergeCell ref="A4:A5"/>
    <mergeCell ref="B4:D5"/>
    <mergeCell ref="E4:F4"/>
    <mergeCell ref="G4:K4"/>
    <mergeCell ref="E5:F5"/>
    <mergeCell ref="G5:K5"/>
    <mergeCell ref="E6:G6"/>
    <mergeCell ref="N16:N17"/>
    <mergeCell ref="N25:N27"/>
    <mergeCell ref="B9:B18"/>
    <mergeCell ref="N7:N8"/>
    <mergeCell ref="N9:N15"/>
    <mergeCell ref="N19:N21"/>
    <mergeCell ref="B25:B27"/>
    <mergeCell ref="M25:M27"/>
    <mergeCell ref="B7:B8"/>
    <mergeCell ref="M9:M17"/>
    <mergeCell ref="B19:B21"/>
    <mergeCell ref="B22:B24"/>
    <mergeCell ref="M19:M21"/>
  </mergeCells>
  <phoneticPr fontId="14"/>
  <hyperlinks>
    <hyperlink ref="A1:N1" location="TEMPLATE!A1" display="BALL入りRD"/>
  </hyperlinks>
  <pageMargins left="0" right="0" top="0.74803149606299213" bottom="0.74803149606299213" header="0.31496062992125984" footer="0.31496062992125984"/>
  <pageSetup paperSize="9" scale="61"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464"/>
  </sheetPr>
  <dimension ref="A1:Q41"/>
  <sheetViews>
    <sheetView showGridLines="0" view="pageBreakPreview" zoomScaleNormal="100" zoomScaleSheetLayoutView="100" workbookViewId="0"/>
  </sheetViews>
  <sheetFormatPr defaultRowHeight="13.8"/>
  <cols>
    <col min="1" max="1" width="9.5" bestFit="1" customWidth="1"/>
    <col min="2" max="2" width="18.09765625" bestFit="1" customWidth="1"/>
    <col min="3" max="3" width="12" style="841" customWidth="1"/>
    <col min="4" max="4" width="5.59765625" customWidth="1"/>
    <col min="5" max="5" width="37" bestFit="1" customWidth="1"/>
    <col min="6" max="6" width="11.69921875" style="823" bestFit="1" customWidth="1"/>
    <col min="7" max="7" width="10.59765625" customWidth="1"/>
    <col min="8" max="8" width="5.59765625" style="13" customWidth="1"/>
    <col min="9" max="9" width="5.59765625" style="350" customWidth="1"/>
    <col min="10" max="12" width="5.59765625" customWidth="1"/>
    <col min="13" max="13" width="60.09765625" customWidth="1"/>
    <col min="14" max="14" width="26.3984375" style="823" bestFit="1" customWidth="1"/>
    <col min="15" max="15" width="6.69921875" style="823" bestFit="1" customWidth="1"/>
  </cols>
  <sheetData>
    <row r="1" spans="1:17">
      <c r="A1" s="835" t="s">
        <v>173</v>
      </c>
      <c r="B1" s="835"/>
      <c r="C1" s="835"/>
      <c r="D1" s="835"/>
      <c r="E1" s="835"/>
      <c r="F1" s="835"/>
      <c r="G1" s="835"/>
      <c r="H1" s="835"/>
      <c r="I1" s="835"/>
      <c r="J1" s="835"/>
      <c r="K1" s="835"/>
      <c r="L1" s="835"/>
      <c r="M1" s="835"/>
      <c r="N1" s="835"/>
      <c r="O1" s="835"/>
    </row>
    <row r="2" spans="1:17" ht="30" customHeight="1">
      <c r="A2" s="2396" t="s">
        <v>5</v>
      </c>
      <c r="B2" s="1993"/>
      <c r="C2" s="1993"/>
      <c r="D2" s="1993"/>
      <c r="E2" s="1993"/>
      <c r="F2" s="2093" t="s">
        <v>268</v>
      </c>
      <c r="G2" s="2094"/>
      <c r="H2" s="2089"/>
      <c r="I2" s="2090"/>
      <c r="J2" s="2090"/>
      <c r="K2" s="2090"/>
      <c r="L2" s="2090"/>
      <c r="M2" s="837" t="s">
        <v>1187</v>
      </c>
      <c r="N2" s="904"/>
      <c r="O2" s="920"/>
    </row>
    <row r="3" spans="1:17" ht="30" customHeight="1">
      <c r="A3" s="2396"/>
      <c r="B3" s="1993"/>
      <c r="C3" s="1993"/>
      <c r="D3" s="1993"/>
      <c r="E3" s="1993"/>
      <c r="F3" s="2006" t="s">
        <v>1249</v>
      </c>
      <c r="G3" s="2006"/>
      <c r="H3" s="2089"/>
      <c r="I3" s="2090"/>
      <c r="J3" s="2090"/>
      <c r="K3" s="2090"/>
      <c r="L3" s="2090"/>
      <c r="M3" s="1099"/>
      <c r="N3" s="35"/>
      <c r="O3" s="921"/>
    </row>
    <row r="4" spans="1:17" ht="30" customHeight="1">
      <c r="A4" s="2396" t="s">
        <v>38</v>
      </c>
      <c r="B4" s="1993"/>
      <c r="C4" s="1993"/>
      <c r="D4" s="1993"/>
      <c r="E4" s="1993"/>
      <c r="F4" s="2007" t="s">
        <v>1250</v>
      </c>
      <c r="G4" s="2007"/>
      <c r="H4" s="2089"/>
      <c r="I4" s="2090"/>
      <c r="J4" s="2090"/>
      <c r="K4" s="2090"/>
      <c r="L4" s="2090"/>
      <c r="M4" s="1099"/>
      <c r="N4" s="35"/>
      <c r="O4" s="921"/>
    </row>
    <row r="5" spans="1:17" ht="30" customHeight="1">
      <c r="A5" s="2396"/>
      <c r="B5" s="1993"/>
      <c r="C5" s="1993"/>
      <c r="D5" s="1993"/>
      <c r="E5" s="1993"/>
      <c r="F5" s="2008" t="s">
        <v>269</v>
      </c>
      <c r="G5" s="2008"/>
      <c r="H5" s="2674"/>
      <c r="I5" s="2675"/>
      <c r="J5" s="2675"/>
      <c r="K5" s="2675"/>
      <c r="L5" s="2675"/>
      <c r="M5" s="1100"/>
      <c r="N5" s="905"/>
      <c r="O5" s="922"/>
    </row>
    <row r="6" spans="1:17" ht="60" customHeight="1">
      <c r="A6" s="1107" t="s">
        <v>1227</v>
      </c>
      <c r="B6" s="1069" t="s">
        <v>6</v>
      </c>
      <c r="C6" s="1069" t="s">
        <v>168</v>
      </c>
      <c r="D6" s="1037" t="s">
        <v>1251</v>
      </c>
      <c r="E6" s="82" t="s">
        <v>64</v>
      </c>
      <c r="F6" s="2001" t="s">
        <v>1</v>
      </c>
      <c r="G6" s="2002"/>
      <c r="H6" s="2003"/>
      <c r="I6" s="1038" t="s">
        <v>66</v>
      </c>
      <c r="J6" s="1038" t="s">
        <v>1247</v>
      </c>
      <c r="K6" s="1039" t="s">
        <v>1248</v>
      </c>
      <c r="L6" s="1040" t="s">
        <v>2</v>
      </c>
      <c r="M6" s="1069" t="s">
        <v>1256</v>
      </c>
      <c r="N6" s="1069" t="s">
        <v>1257</v>
      </c>
      <c r="O6" s="1140" t="s">
        <v>183</v>
      </c>
    </row>
    <row r="7" spans="1:17" ht="20.100000000000001" customHeight="1">
      <c r="A7" s="2683">
        <v>1041</v>
      </c>
      <c r="B7" s="2683" t="s">
        <v>1300</v>
      </c>
      <c r="C7" s="2267" t="s">
        <v>1339</v>
      </c>
      <c r="D7" s="842"/>
      <c r="E7" s="812" t="s">
        <v>545</v>
      </c>
      <c r="F7" s="368" t="s">
        <v>546</v>
      </c>
      <c r="G7" s="369"/>
      <c r="H7" s="370"/>
      <c r="I7" s="790"/>
      <c r="J7" s="791"/>
      <c r="K7" s="791"/>
      <c r="L7" s="791"/>
      <c r="M7" s="1185" t="s">
        <v>28</v>
      </c>
      <c r="N7" s="2702" t="s">
        <v>618</v>
      </c>
      <c r="O7" s="2703" t="str">
        <f>HYPERLINK(VLOOKUP(F7,LINK,2,FALSE),VLOOKUP(F7,LINK,3,FALSE))</f>
        <v>EXCEL</v>
      </c>
    </row>
    <row r="8" spans="1:17" ht="20.100000000000001" customHeight="1">
      <c r="A8" s="2684"/>
      <c r="B8" s="2684"/>
      <c r="C8" s="2267"/>
      <c r="D8" s="843"/>
      <c r="E8" s="813" t="s">
        <v>547</v>
      </c>
      <c r="F8" s="375" t="s">
        <v>548</v>
      </c>
      <c r="G8" s="376"/>
      <c r="H8" s="377"/>
      <c r="I8" s="656"/>
      <c r="J8" s="657"/>
      <c r="K8" s="657"/>
      <c r="L8" s="657"/>
      <c r="M8" s="845"/>
      <c r="N8" s="2702"/>
      <c r="O8" s="2704"/>
    </row>
    <row r="9" spans="1:17" ht="20.100000000000001" customHeight="1">
      <c r="A9" s="2684"/>
      <c r="B9" s="2684"/>
      <c r="C9" s="2267"/>
      <c r="D9" s="843"/>
      <c r="E9" s="813" t="s">
        <v>549</v>
      </c>
      <c r="F9" s="375" t="s">
        <v>550</v>
      </c>
      <c r="G9" s="376"/>
      <c r="H9" s="377"/>
      <c r="I9" s="656"/>
      <c r="J9" s="657"/>
      <c r="K9" s="657"/>
      <c r="L9" s="657"/>
      <c r="M9" s="845"/>
      <c r="N9" s="2702"/>
      <c r="O9" s="2704"/>
    </row>
    <row r="10" spans="1:17" ht="20.100000000000001" customHeight="1">
      <c r="A10" s="2684"/>
      <c r="B10" s="2684"/>
      <c r="C10" s="2267"/>
      <c r="D10" s="843"/>
      <c r="E10" s="813" t="s">
        <v>551</v>
      </c>
      <c r="F10" s="375" t="s">
        <v>552</v>
      </c>
      <c r="G10" s="376"/>
      <c r="H10" s="377"/>
      <c r="I10" s="656"/>
      <c r="J10" s="657"/>
      <c r="K10" s="657"/>
      <c r="L10" s="657"/>
      <c r="M10" s="2705" t="s">
        <v>69</v>
      </c>
      <c r="N10" s="2702"/>
      <c r="O10" s="2704"/>
    </row>
    <row r="11" spans="1:17" ht="20.100000000000001" customHeight="1">
      <c r="A11" s="2684"/>
      <c r="B11" s="2684"/>
      <c r="C11" s="2267"/>
      <c r="D11" s="843"/>
      <c r="E11" s="813" t="s">
        <v>553</v>
      </c>
      <c r="F11" s="375" t="s">
        <v>29</v>
      </c>
      <c r="G11" s="376"/>
      <c r="H11" s="377"/>
      <c r="I11" s="656"/>
      <c r="J11" s="657"/>
      <c r="K11" s="657"/>
      <c r="L11" s="657"/>
      <c r="M11" s="2705"/>
      <c r="N11" s="2702"/>
      <c r="O11" s="2704"/>
    </row>
    <row r="12" spans="1:17" ht="20.100000000000001" customHeight="1">
      <c r="A12" s="2684"/>
      <c r="B12" s="2684"/>
      <c r="C12" s="2267"/>
      <c r="D12" s="843"/>
      <c r="E12" s="813" t="s">
        <v>551</v>
      </c>
      <c r="F12" s="375" t="s">
        <v>554</v>
      </c>
      <c r="G12" s="376"/>
      <c r="H12" s="377"/>
      <c r="I12" s="656"/>
      <c r="J12" s="657"/>
      <c r="K12" s="657"/>
      <c r="L12" s="657"/>
      <c r="M12" s="2705"/>
      <c r="N12" s="2702"/>
      <c r="O12" s="2704"/>
    </row>
    <row r="13" spans="1:17" ht="20.100000000000001" customHeight="1">
      <c r="A13" s="2684"/>
      <c r="B13" s="2684"/>
      <c r="C13" s="2267"/>
      <c r="D13" s="844"/>
      <c r="E13" s="815" t="s">
        <v>553</v>
      </c>
      <c r="F13" s="382" t="s">
        <v>555</v>
      </c>
      <c r="G13" s="383"/>
      <c r="H13" s="384"/>
      <c r="I13" s="794"/>
      <c r="J13" s="795"/>
      <c r="K13" s="795"/>
      <c r="L13" s="795"/>
      <c r="M13" s="2706"/>
      <c r="N13" s="2702"/>
      <c r="O13" s="2704"/>
    </row>
    <row r="14" spans="1:17" ht="20.100000000000001" customHeight="1">
      <c r="A14" s="2432">
        <v>1241</v>
      </c>
      <c r="B14" s="2432" t="s">
        <v>1298</v>
      </c>
      <c r="C14" s="2073" t="s">
        <v>594</v>
      </c>
      <c r="D14" s="140"/>
      <c r="E14" s="812" t="s">
        <v>595</v>
      </c>
      <c r="F14" s="2305" t="s">
        <v>1329</v>
      </c>
      <c r="G14" s="2306"/>
      <c r="H14" s="2307"/>
      <c r="I14" s="1289"/>
      <c r="J14" s="1289"/>
      <c r="K14" s="1289"/>
      <c r="L14" s="1289"/>
      <c r="M14" s="1157" t="s">
        <v>1330</v>
      </c>
      <c r="N14" s="1158" t="s">
        <v>1303</v>
      </c>
      <c r="O14" s="2707" t="s">
        <v>1305</v>
      </c>
    </row>
    <row r="15" spans="1:17" ht="20.100000000000001" customHeight="1">
      <c r="A15" s="2685"/>
      <c r="B15" s="2685"/>
      <c r="C15" s="2105"/>
      <c r="D15" s="140"/>
      <c r="E15" s="816" t="s">
        <v>596</v>
      </c>
      <c r="F15" s="1159" t="s">
        <v>1272</v>
      </c>
      <c r="G15" s="1076"/>
      <c r="H15" s="1077"/>
      <c r="I15" s="1160"/>
      <c r="J15" s="1160"/>
      <c r="K15" s="1160"/>
      <c r="L15" s="1160"/>
      <c r="M15" s="1161" t="s">
        <v>1332</v>
      </c>
      <c r="N15" s="1162" t="s">
        <v>1338</v>
      </c>
      <c r="O15" s="2708"/>
      <c r="P15" s="2700"/>
      <c r="Q15" s="2701"/>
    </row>
    <row r="16" spans="1:17" ht="20.100000000000001" customHeight="1">
      <c r="A16" s="2685"/>
      <c r="B16" s="2685"/>
      <c r="C16" s="2105"/>
      <c r="D16" s="1160"/>
      <c r="E16" s="1087" t="s">
        <v>30</v>
      </c>
      <c r="F16" s="1159" t="s">
        <v>597</v>
      </c>
      <c r="G16" s="1163"/>
      <c r="H16" s="1164"/>
      <c r="I16" s="1160"/>
      <c r="J16" s="1160"/>
      <c r="K16" s="1160"/>
      <c r="L16" s="1160"/>
      <c r="M16" s="442"/>
      <c r="N16" s="1165"/>
      <c r="O16" s="2708"/>
    </row>
    <row r="17" spans="1:15" ht="20.100000000000001" customHeight="1">
      <c r="A17" s="2685"/>
      <c r="B17" s="2685"/>
      <c r="C17" s="2105"/>
      <c r="D17" s="140"/>
      <c r="E17" s="817" t="s">
        <v>598</v>
      </c>
      <c r="F17" s="1075" t="s">
        <v>599</v>
      </c>
      <c r="G17" s="182"/>
      <c r="H17" s="183"/>
      <c r="I17" s="140"/>
      <c r="J17" s="140"/>
      <c r="K17" s="140"/>
      <c r="L17" s="140"/>
      <c r="M17" s="443" t="s">
        <v>1331</v>
      </c>
      <c r="N17" s="1166"/>
      <c r="O17" s="2708"/>
    </row>
    <row r="18" spans="1:15" ht="20.100000000000001" customHeight="1">
      <c r="A18" s="2685"/>
      <c r="B18" s="2685"/>
      <c r="C18" s="2105"/>
      <c r="D18" s="140"/>
      <c r="E18" s="817" t="s">
        <v>1333</v>
      </c>
      <c r="F18" s="1275" t="s">
        <v>1334</v>
      </c>
      <c r="G18" s="182"/>
      <c r="H18" s="183"/>
      <c r="I18" s="140"/>
      <c r="J18" s="140"/>
      <c r="K18" s="140"/>
      <c r="L18" s="140"/>
      <c r="M18" s="443" t="s">
        <v>1335</v>
      </c>
      <c r="N18" s="1166"/>
      <c r="O18" s="2708"/>
    </row>
    <row r="19" spans="1:15" ht="20.100000000000001" customHeight="1">
      <c r="A19" s="2685"/>
      <c r="B19" s="2685"/>
      <c r="C19" s="2105"/>
      <c r="D19" s="140"/>
      <c r="E19" s="817" t="s">
        <v>608</v>
      </c>
      <c r="F19" s="1075" t="s">
        <v>1197</v>
      </c>
      <c r="G19" s="182"/>
      <c r="H19" s="183"/>
      <c r="I19" s="140"/>
      <c r="J19" s="140"/>
      <c r="K19" s="140"/>
      <c r="L19" s="140"/>
      <c r="M19" s="1168" t="s">
        <v>1337</v>
      </c>
      <c r="N19" s="1166"/>
      <c r="O19" s="2708"/>
    </row>
    <row r="20" spans="1:15" ht="20.100000000000001" customHeight="1">
      <c r="A20" s="2685"/>
      <c r="B20" s="2685"/>
      <c r="C20" s="2105"/>
      <c r="D20" s="140"/>
      <c r="E20" s="1169" t="s">
        <v>600</v>
      </c>
      <c r="F20" s="1075" t="s">
        <v>601</v>
      </c>
      <c r="G20" s="182"/>
      <c r="H20" s="183"/>
      <c r="I20" s="140"/>
      <c r="J20" s="140"/>
      <c r="K20" s="140"/>
      <c r="L20" s="140"/>
      <c r="M20" s="443" t="s">
        <v>1336</v>
      </c>
      <c r="N20" s="1165"/>
      <c r="O20" s="2708"/>
    </row>
    <row r="21" spans="1:15" ht="20.100000000000001" customHeight="1">
      <c r="A21" s="2685"/>
      <c r="B21" s="2685"/>
      <c r="C21" s="2105"/>
      <c r="D21" s="140"/>
      <c r="E21" s="817" t="s">
        <v>1222</v>
      </c>
      <c r="F21" s="1075" t="s">
        <v>1221</v>
      </c>
      <c r="G21" s="182"/>
      <c r="H21" s="183"/>
      <c r="I21" s="140"/>
      <c r="J21" s="140"/>
      <c r="K21" s="140"/>
      <c r="L21" s="140"/>
      <c r="M21" s="1170" t="s">
        <v>1225</v>
      </c>
      <c r="N21" s="1281" t="s">
        <v>622</v>
      </c>
      <c r="O21" s="2708"/>
    </row>
    <row r="22" spans="1:15" ht="20.100000000000001" customHeight="1">
      <c r="A22" s="2689">
        <v>3001</v>
      </c>
      <c r="B22" s="2686" t="s">
        <v>1198</v>
      </c>
      <c r="C22" s="2380"/>
      <c r="D22" s="847"/>
      <c r="E22" s="2432" t="s">
        <v>1199</v>
      </c>
      <c r="F22" s="846" t="s">
        <v>1189</v>
      </c>
      <c r="G22" s="846"/>
      <c r="H22" s="846"/>
      <c r="I22" s="847"/>
      <c r="J22" s="847"/>
      <c r="K22" s="847"/>
      <c r="L22" s="847"/>
      <c r="M22" s="855" t="s">
        <v>1340</v>
      </c>
      <c r="N22" s="1086"/>
      <c r="O22" s="1090"/>
    </row>
    <row r="23" spans="1:15" ht="20.100000000000001" customHeight="1">
      <c r="A23" s="2690"/>
      <c r="B23" s="2687"/>
      <c r="C23" s="2688"/>
      <c r="D23" s="847"/>
      <c r="E23" s="2433"/>
      <c r="F23" s="846" t="s">
        <v>1341</v>
      </c>
      <c r="G23" s="846"/>
      <c r="H23" s="846"/>
      <c r="I23" s="847"/>
      <c r="J23" s="847"/>
      <c r="K23" s="847"/>
      <c r="L23" s="847"/>
      <c r="M23" s="1290" t="s">
        <v>1342</v>
      </c>
      <c r="N23" s="1286"/>
      <c r="O23" s="1288"/>
    </row>
    <row r="24" spans="1:15" ht="20.100000000000001" customHeight="1">
      <c r="A24" s="1089">
        <v>3121</v>
      </c>
      <c r="B24" s="2267" t="s">
        <v>1155</v>
      </c>
      <c r="C24" s="2267"/>
      <c r="D24" s="788"/>
      <c r="E24" s="1192" t="s">
        <v>1154</v>
      </c>
      <c r="F24" s="2694"/>
      <c r="G24" s="2695"/>
      <c r="H24" s="2696"/>
      <c r="I24" s="1193"/>
      <c r="J24" s="1193"/>
      <c r="K24" s="1193"/>
      <c r="L24" s="1193"/>
      <c r="M24" s="1194"/>
      <c r="N24" s="1194"/>
      <c r="O24" s="1285"/>
    </row>
    <row r="25" spans="1:15" ht="20.100000000000001" customHeight="1">
      <c r="A25" s="1283">
        <v>3002</v>
      </c>
      <c r="B25" s="2691" t="s">
        <v>1343</v>
      </c>
      <c r="C25" s="2692"/>
      <c r="D25" s="788"/>
      <c r="E25" s="1192" t="s">
        <v>1154</v>
      </c>
      <c r="F25" s="2694"/>
      <c r="G25" s="2695"/>
      <c r="H25" s="2696"/>
      <c r="I25" s="1193"/>
      <c r="J25" s="1193"/>
      <c r="K25" s="1193"/>
      <c r="L25" s="1193"/>
      <c r="M25" s="1194"/>
      <c r="N25" s="1194"/>
      <c r="O25" s="1285"/>
    </row>
    <row r="26" spans="1:15" ht="20.100000000000001" customHeight="1">
      <c r="A26" s="1283">
        <v>3003</v>
      </c>
      <c r="B26" s="2691" t="s">
        <v>1344</v>
      </c>
      <c r="C26" s="2692"/>
      <c r="D26" s="788"/>
      <c r="E26" s="1192" t="s">
        <v>1154</v>
      </c>
      <c r="F26" s="2694"/>
      <c r="G26" s="2695"/>
      <c r="H26" s="2696"/>
      <c r="I26" s="1193"/>
      <c r="J26" s="1193"/>
      <c r="K26" s="1193"/>
      <c r="L26" s="1193"/>
      <c r="M26" s="1194"/>
      <c r="N26" s="1194"/>
      <c r="O26" s="1285"/>
    </row>
    <row r="27" spans="1:15" ht="20.100000000000001" customHeight="1">
      <c r="A27" s="2234">
        <v>2211</v>
      </c>
      <c r="B27" s="1987" t="s">
        <v>874</v>
      </c>
      <c r="C27" s="1988"/>
      <c r="D27" s="801"/>
      <c r="E27" s="821" t="s">
        <v>1176</v>
      </c>
      <c r="F27" s="803" t="s">
        <v>1179</v>
      </c>
      <c r="G27" s="804"/>
      <c r="H27" s="501" t="s">
        <v>250</v>
      </c>
      <c r="I27" s="801"/>
      <c r="J27" s="801"/>
      <c r="K27" s="801"/>
      <c r="L27" s="801"/>
      <c r="M27" s="824" t="s">
        <v>1345</v>
      </c>
      <c r="N27" s="1189"/>
      <c r="O27" s="2697"/>
    </row>
    <row r="28" spans="1:15" ht="20.100000000000001" customHeight="1">
      <c r="A28" s="2596"/>
      <c r="B28" s="1989"/>
      <c r="C28" s="1990"/>
      <c r="D28" s="806"/>
      <c r="E28" s="851" t="s">
        <v>1190</v>
      </c>
      <c r="F28" s="852" t="s">
        <v>1191</v>
      </c>
      <c r="G28" s="853"/>
      <c r="H28" s="854" t="s">
        <v>1192</v>
      </c>
      <c r="I28" s="806"/>
      <c r="J28" s="806"/>
      <c r="K28" s="806"/>
      <c r="L28" s="806"/>
      <c r="M28" s="848"/>
      <c r="N28" s="1190"/>
      <c r="O28" s="2697"/>
    </row>
    <row r="29" spans="1:15" ht="20.100000000000001" customHeight="1">
      <c r="A29" s="2647"/>
      <c r="B29" s="1991"/>
      <c r="C29" s="1992"/>
      <c r="D29" s="799"/>
      <c r="E29" s="822" t="s">
        <v>1193</v>
      </c>
      <c r="F29" s="737" t="s">
        <v>1194</v>
      </c>
      <c r="G29" s="738"/>
      <c r="H29" s="504"/>
      <c r="I29" s="799"/>
      <c r="J29" s="799"/>
      <c r="K29" s="799"/>
      <c r="L29" s="799"/>
      <c r="M29" s="831"/>
      <c r="N29" s="1191"/>
      <c r="O29" s="2698"/>
    </row>
    <row r="30" spans="1:15" ht="20.100000000000001" customHeight="1">
      <c r="A30" s="1282">
        <v>2211</v>
      </c>
      <c r="B30" s="2054" t="s">
        <v>1347</v>
      </c>
      <c r="C30" s="2054"/>
      <c r="D30" s="1291"/>
      <c r="E30" s="1292"/>
      <c r="F30" s="2068"/>
      <c r="G30" s="2699"/>
      <c r="H30" s="2069"/>
      <c r="I30" s="1291"/>
      <c r="J30" s="1291"/>
      <c r="K30" s="1291"/>
      <c r="L30" s="1291"/>
      <c r="M30" s="1293" t="s">
        <v>1346</v>
      </c>
      <c r="N30" s="1294"/>
      <c r="O30" s="1284"/>
    </row>
    <row r="31" spans="1:15" ht="20.100000000000001" customHeight="1">
      <c r="A31" s="2055">
        <v>3491</v>
      </c>
      <c r="B31" s="2676" t="s">
        <v>1211</v>
      </c>
      <c r="C31" s="2676"/>
      <c r="D31" s="801"/>
      <c r="E31" s="131" t="s">
        <v>1349</v>
      </c>
      <c r="F31" s="342" t="s">
        <v>1183</v>
      </c>
      <c r="G31" s="343"/>
      <c r="H31" s="344" t="s">
        <v>1348</v>
      </c>
      <c r="I31" s="801"/>
      <c r="J31" s="801"/>
      <c r="K31" s="801"/>
      <c r="L31" s="801"/>
      <c r="M31" s="2679" t="s">
        <v>1353</v>
      </c>
      <c r="N31" s="1295"/>
      <c r="O31" s="1287"/>
    </row>
    <row r="32" spans="1:15" ht="20.100000000000001" customHeight="1">
      <c r="A32" s="2055"/>
      <c r="B32" s="2677"/>
      <c r="C32" s="2677"/>
      <c r="D32" s="31"/>
      <c r="E32" s="176" t="s">
        <v>1350</v>
      </c>
      <c r="F32" s="491" t="s">
        <v>1183</v>
      </c>
      <c r="G32" s="1299"/>
      <c r="H32" s="493" t="s">
        <v>1351</v>
      </c>
      <c r="I32" s="1296"/>
      <c r="J32" s="31"/>
      <c r="K32" s="31"/>
      <c r="L32" s="31"/>
      <c r="M32" s="2680"/>
      <c r="N32" s="1297"/>
      <c r="O32" s="1297"/>
    </row>
    <row r="33" spans="1:15" ht="20.100000000000001" customHeight="1">
      <c r="A33" s="2055"/>
      <c r="B33" s="2677"/>
      <c r="C33" s="2677"/>
      <c r="D33" s="752"/>
      <c r="E33" s="131" t="s">
        <v>1349</v>
      </c>
      <c r="F33" s="342" t="s">
        <v>1341</v>
      </c>
      <c r="G33" s="343"/>
      <c r="H33" s="344" t="s">
        <v>1348</v>
      </c>
      <c r="I33" s="1298"/>
      <c r="J33" s="752"/>
      <c r="K33" s="752"/>
      <c r="L33" s="752"/>
      <c r="M33" s="2681" t="s">
        <v>1352</v>
      </c>
      <c r="N33" s="1157"/>
      <c r="O33" s="1157"/>
    </row>
    <row r="34" spans="1:15" ht="20.100000000000001" customHeight="1">
      <c r="A34" s="2055"/>
      <c r="B34" s="2678"/>
      <c r="C34" s="2678"/>
      <c r="D34" s="31"/>
      <c r="E34" s="176" t="s">
        <v>1350</v>
      </c>
      <c r="F34" s="491" t="s">
        <v>1341</v>
      </c>
      <c r="G34" s="1299"/>
      <c r="H34" s="493" t="s">
        <v>1351</v>
      </c>
      <c r="I34" s="1296"/>
      <c r="J34" s="31"/>
      <c r="K34" s="31"/>
      <c r="L34" s="31"/>
      <c r="M34" s="2682"/>
      <c r="N34" s="1297"/>
      <c r="O34" s="1297"/>
    </row>
    <row r="35" spans="1:15" ht="12.9" customHeight="1">
      <c r="A35" s="841"/>
      <c r="C35"/>
      <c r="D35" s="823"/>
      <c r="F35" s="13"/>
      <c r="G35" s="350"/>
      <c r="H35"/>
      <c r="I35"/>
      <c r="L35" s="823"/>
      <c r="M35" s="823"/>
      <c r="N35" s="841"/>
      <c r="O35"/>
    </row>
    <row r="36" spans="1:15" ht="12.9" customHeight="1">
      <c r="A36" s="841"/>
      <c r="C36"/>
      <c r="D36" s="823"/>
      <c r="F36" s="13"/>
      <c r="G36" s="350"/>
      <c r="H36"/>
      <c r="I36"/>
      <c r="L36" s="823"/>
      <c r="M36" s="823"/>
      <c r="N36" s="841"/>
      <c r="O36"/>
    </row>
    <row r="37" spans="1:15" ht="12.9" customHeight="1">
      <c r="A37" s="1070"/>
      <c r="B37" s="7"/>
      <c r="C37" s="7"/>
      <c r="D37" s="1186"/>
      <c r="E37" s="7"/>
      <c r="F37" s="1187"/>
      <c r="G37" s="1188"/>
      <c r="H37" s="7"/>
      <c r="I37" s="7"/>
      <c r="J37" s="7"/>
      <c r="K37" s="7"/>
      <c r="L37" s="1186"/>
      <c r="M37" s="1186"/>
      <c r="N37" s="1070"/>
      <c r="O37" s="7"/>
    </row>
    <row r="38" spans="1:15" ht="29.25" customHeight="1">
      <c r="A38" s="975"/>
      <c r="B38" s="2693" t="s">
        <v>167</v>
      </c>
      <c r="C38" s="2693"/>
      <c r="D38" s="2693"/>
      <c r="E38" s="2693"/>
      <c r="F38" s="2693"/>
      <c r="G38" s="2693"/>
      <c r="H38" s="2693"/>
      <c r="I38" s="2693"/>
      <c r="J38" s="2693"/>
      <c r="K38" s="2693"/>
      <c r="L38" s="2693"/>
      <c r="M38" s="2693"/>
      <c r="N38" s="2693"/>
      <c r="O38" s="7"/>
    </row>
    <row r="39" spans="1:15" ht="29.25" customHeight="1">
      <c r="A39" s="749"/>
      <c r="C39"/>
      <c r="D39" s="823"/>
      <c r="F39" s="13"/>
      <c r="G39" s="350"/>
      <c r="H39"/>
      <c r="I39"/>
      <c r="L39" s="823"/>
      <c r="M39" s="823"/>
      <c r="N39" s="841"/>
      <c r="O39"/>
    </row>
    <row r="40" spans="1:15" ht="29.25" customHeight="1">
      <c r="A40" s="749"/>
      <c r="C40"/>
      <c r="D40" s="823"/>
      <c r="F40" s="13"/>
      <c r="G40" s="350"/>
      <c r="H40"/>
      <c r="I40"/>
      <c r="L40" s="823"/>
      <c r="M40" s="823"/>
      <c r="N40" s="841"/>
      <c r="O40"/>
    </row>
    <row r="41" spans="1:15" ht="29.25" customHeight="1">
      <c r="A41" s="77"/>
      <c r="C41"/>
      <c r="D41" s="823"/>
      <c r="F41" s="13"/>
      <c r="G41" s="350"/>
      <c r="H41"/>
      <c r="I41"/>
      <c r="L41" s="823"/>
      <c r="M41" s="823"/>
      <c r="N41" s="841"/>
      <c r="O41"/>
    </row>
  </sheetData>
  <mergeCells count="44">
    <mergeCell ref="P15:Q15"/>
    <mergeCell ref="B7:B13"/>
    <mergeCell ref="C7:C13"/>
    <mergeCell ref="N7:N13"/>
    <mergeCell ref="O7:O13"/>
    <mergeCell ref="M10:M13"/>
    <mergeCell ref="B14:B21"/>
    <mergeCell ref="C14:C21"/>
    <mergeCell ref="O14:O21"/>
    <mergeCell ref="B38:N38"/>
    <mergeCell ref="F24:H24"/>
    <mergeCell ref="F6:H6"/>
    <mergeCell ref="O27:O29"/>
    <mergeCell ref="F14:H14"/>
    <mergeCell ref="E22:E23"/>
    <mergeCell ref="F25:H25"/>
    <mergeCell ref="F26:H26"/>
    <mergeCell ref="F30:H30"/>
    <mergeCell ref="B30:C30"/>
    <mergeCell ref="F4:G4"/>
    <mergeCell ref="H4:L4"/>
    <mergeCell ref="F5:G5"/>
    <mergeCell ref="H5:L5"/>
    <mergeCell ref="A2:A3"/>
    <mergeCell ref="B2:E3"/>
    <mergeCell ref="F2:G2"/>
    <mergeCell ref="H2:L2"/>
    <mergeCell ref="F3:G3"/>
    <mergeCell ref="H3:L3"/>
    <mergeCell ref="A7:A13"/>
    <mergeCell ref="A14:A21"/>
    <mergeCell ref="A27:A29"/>
    <mergeCell ref="A4:A5"/>
    <mergeCell ref="B4:E5"/>
    <mergeCell ref="B22:C23"/>
    <mergeCell ref="A22:A23"/>
    <mergeCell ref="B25:C25"/>
    <mergeCell ref="B26:C26"/>
    <mergeCell ref="A31:A34"/>
    <mergeCell ref="B31:C34"/>
    <mergeCell ref="M31:M32"/>
    <mergeCell ref="M33:M34"/>
    <mergeCell ref="B24:C24"/>
    <mergeCell ref="B27:C29"/>
  </mergeCells>
  <phoneticPr fontId="14"/>
  <conditionalFormatting sqref="P15:Q15">
    <cfRule type="expression" priority="306" stopIfTrue="1">
      <formula>$L15="COMP"</formula>
    </cfRule>
    <cfRule type="expression" dxfId="101" priority="307" stopIfTrue="1">
      <formula>$L15=""</formula>
    </cfRule>
    <cfRule type="expression" priority="308" stopIfTrue="1">
      <formula>$L15="-"</formula>
    </cfRule>
    <cfRule type="expression" dxfId="100" priority="309" stopIfTrue="1">
      <formula>$L15=0</formula>
    </cfRule>
    <cfRule type="expression" dxfId="99" priority="310" stopIfTrue="1">
      <formula>$L15&lt;&gt;""</formula>
    </cfRule>
  </conditionalFormatting>
  <conditionalFormatting sqref="E15 E19:F19 M21 E20:H21">
    <cfRule type="expression" priority="11" stopIfTrue="1">
      <formula>$K15="COMP"</formula>
    </cfRule>
    <cfRule type="expression" dxfId="98" priority="12" stopIfTrue="1">
      <formula>$K15=""</formula>
    </cfRule>
    <cfRule type="expression" priority="13" stopIfTrue="1">
      <formula>$K15="-"</formula>
    </cfRule>
    <cfRule type="expression" dxfId="97" priority="14" stopIfTrue="1">
      <formula>$K15=0</formula>
    </cfRule>
    <cfRule type="expression" dxfId="96" priority="15" stopIfTrue="1">
      <formula>$K15&lt;&gt;""</formula>
    </cfRule>
  </conditionalFormatting>
  <conditionalFormatting sqref="E14:F14">
    <cfRule type="expression" priority="21" stopIfTrue="1">
      <formula>$K14="COMP"</formula>
    </cfRule>
    <cfRule type="expression" dxfId="95" priority="22" stopIfTrue="1">
      <formula>$K14=""</formula>
    </cfRule>
    <cfRule type="expression" priority="23" stopIfTrue="1">
      <formula>$K14="-"</formula>
    </cfRule>
    <cfRule type="expression" dxfId="94" priority="24" stopIfTrue="1">
      <formula>$K14=0</formula>
    </cfRule>
    <cfRule type="expression" dxfId="93" priority="25" stopIfTrue="1">
      <formula>$K14&lt;&gt;""</formula>
    </cfRule>
  </conditionalFormatting>
  <conditionalFormatting sqref="E14:F14">
    <cfRule type="expression" priority="16" stopIfTrue="1">
      <formula>$K14="COMP"</formula>
    </cfRule>
    <cfRule type="expression" dxfId="92" priority="17" stopIfTrue="1">
      <formula>$K14=""</formula>
    </cfRule>
    <cfRule type="expression" priority="18" stopIfTrue="1">
      <formula>$K14="-"</formula>
    </cfRule>
    <cfRule type="expression" dxfId="91" priority="19" stopIfTrue="1">
      <formula>$K14=0</formula>
    </cfRule>
    <cfRule type="expression" dxfId="90" priority="20" stopIfTrue="1">
      <formula>$K14&lt;&gt;""</formula>
    </cfRule>
  </conditionalFormatting>
  <conditionalFormatting sqref="F15">
    <cfRule type="expression" priority="31" stopIfTrue="1">
      <formula>$K15="COMP"</formula>
    </cfRule>
    <cfRule type="expression" dxfId="89" priority="32" stopIfTrue="1">
      <formula>$K15=""</formula>
    </cfRule>
    <cfRule type="expression" priority="33" stopIfTrue="1">
      <formula>$K15="-"</formula>
    </cfRule>
    <cfRule type="expression" dxfId="88" priority="34" stopIfTrue="1">
      <formula>$K15=0</formula>
    </cfRule>
    <cfRule type="expression" dxfId="87" priority="35" stopIfTrue="1">
      <formula>$K15&lt;&gt;""</formula>
    </cfRule>
  </conditionalFormatting>
  <conditionalFormatting sqref="F15">
    <cfRule type="expression" priority="26" stopIfTrue="1">
      <formula>$K15="COMP"</formula>
    </cfRule>
    <cfRule type="expression" dxfId="86" priority="27" stopIfTrue="1">
      <formula>$K15=""</formula>
    </cfRule>
    <cfRule type="expression" priority="28" stopIfTrue="1">
      <formula>$K15="-"</formula>
    </cfRule>
    <cfRule type="expression" dxfId="85" priority="29" stopIfTrue="1">
      <formula>$K15=0</formula>
    </cfRule>
    <cfRule type="expression" dxfId="84" priority="30" stopIfTrue="1">
      <formula>$K15&lt;&gt;""</formula>
    </cfRule>
  </conditionalFormatting>
  <conditionalFormatting sqref="E15">
    <cfRule type="expression" priority="6" stopIfTrue="1">
      <formula>$K15="COMP"</formula>
    </cfRule>
    <cfRule type="expression" dxfId="83" priority="7" stopIfTrue="1">
      <formula>$K15=""</formula>
    </cfRule>
    <cfRule type="expression" priority="8" stopIfTrue="1">
      <formula>$K15="-"</formula>
    </cfRule>
    <cfRule type="expression" dxfId="82" priority="9" stopIfTrue="1">
      <formula>$K15=0</formula>
    </cfRule>
    <cfRule type="expression" dxfId="81" priority="10" stopIfTrue="1">
      <formula>$K15&lt;&gt;""</formula>
    </cfRule>
  </conditionalFormatting>
  <conditionalFormatting sqref="E16:H18 G19:H19">
    <cfRule type="expression" priority="96" stopIfTrue="1">
      <formula>$K16="COMP"</formula>
    </cfRule>
    <cfRule type="expression" dxfId="80" priority="97" stopIfTrue="1">
      <formula>$K16=""</formula>
    </cfRule>
    <cfRule type="expression" priority="98" stopIfTrue="1">
      <formula>$K16="-"</formula>
    </cfRule>
    <cfRule type="expression" dxfId="79" priority="99" stopIfTrue="1">
      <formula>$K16=0</formula>
    </cfRule>
    <cfRule type="expression" dxfId="78" priority="100" stopIfTrue="1">
      <formula>$K16&lt;&gt;""</formula>
    </cfRule>
  </conditionalFormatting>
  <conditionalFormatting sqref="E16:F18">
    <cfRule type="expression" priority="61" stopIfTrue="1">
      <formula>$K16="COMP"</formula>
    </cfRule>
    <cfRule type="expression" dxfId="77" priority="62" stopIfTrue="1">
      <formula>$K16=""</formula>
    </cfRule>
    <cfRule type="expression" priority="63" stopIfTrue="1">
      <formula>$K16="-"</formula>
    </cfRule>
    <cfRule type="expression" dxfId="76" priority="64" stopIfTrue="1">
      <formula>$K16=0</formula>
    </cfRule>
    <cfRule type="expression" dxfId="75" priority="65" stopIfTrue="1">
      <formula>$K16&lt;&gt;""</formula>
    </cfRule>
  </conditionalFormatting>
  <conditionalFormatting sqref="E21:H21">
    <cfRule type="expression" priority="56" stopIfTrue="1">
      <formula>#REF!="COMP"</formula>
    </cfRule>
    <cfRule type="expression" dxfId="74" priority="57" stopIfTrue="1">
      <formula>#REF!=""</formula>
    </cfRule>
    <cfRule type="expression" priority="58" stopIfTrue="1">
      <formula>#REF!="-"</formula>
    </cfRule>
    <cfRule type="expression" dxfId="73" priority="59" stopIfTrue="1">
      <formula>#REF!=0</formula>
    </cfRule>
    <cfRule type="expression" dxfId="72" priority="60" stopIfTrue="1">
      <formula>#REF!&lt;&gt;""</formula>
    </cfRule>
  </conditionalFormatting>
  <conditionalFormatting sqref="M21">
    <cfRule type="expression" priority="36" stopIfTrue="1">
      <formula>#REF!="COMP"</formula>
    </cfRule>
    <cfRule type="expression" dxfId="71" priority="37" stopIfTrue="1">
      <formula>#REF!=""</formula>
    </cfRule>
    <cfRule type="expression" priority="38" stopIfTrue="1">
      <formula>#REF!="-"</formula>
    </cfRule>
    <cfRule type="expression" dxfId="70" priority="39" stopIfTrue="1">
      <formula>#REF!=0</formula>
    </cfRule>
    <cfRule type="expression" dxfId="69" priority="40" stopIfTrue="1">
      <formula>#REF!&lt;&gt;""</formula>
    </cfRule>
  </conditionalFormatting>
  <conditionalFormatting sqref="G19:H19">
    <cfRule type="expression" priority="91" stopIfTrue="1">
      <formula>$K21="COMP"</formula>
    </cfRule>
    <cfRule type="expression" dxfId="68" priority="92" stopIfTrue="1">
      <formula>$K21=""</formula>
    </cfRule>
    <cfRule type="expression" priority="93" stopIfTrue="1">
      <formula>$K21="-"</formula>
    </cfRule>
    <cfRule type="expression" dxfId="67" priority="94" stopIfTrue="1">
      <formula>$K21=0</formula>
    </cfRule>
    <cfRule type="expression" dxfId="66" priority="95" stopIfTrue="1">
      <formula>$K21&lt;&gt;""</formula>
    </cfRule>
  </conditionalFormatting>
  <conditionalFormatting sqref="E19:F19">
    <cfRule type="expression" priority="426" stopIfTrue="1">
      <formula>#REF!="COMP"</formula>
    </cfRule>
    <cfRule type="expression" dxfId="65" priority="427" stopIfTrue="1">
      <formula>#REF!=""</formula>
    </cfRule>
    <cfRule type="expression" priority="428" stopIfTrue="1">
      <formula>#REF!="-"</formula>
    </cfRule>
    <cfRule type="expression" dxfId="64" priority="429" stopIfTrue="1">
      <formula>#REF!=0</formula>
    </cfRule>
    <cfRule type="expression" dxfId="63" priority="430" stopIfTrue="1">
      <formula>#REF!&lt;&gt;""</formula>
    </cfRule>
  </conditionalFormatting>
  <conditionalFormatting sqref="E18">
    <cfRule type="expression" priority="436" stopIfTrue="1">
      <formula>#REF!="COMP"</formula>
    </cfRule>
    <cfRule type="expression" dxfId="62" priority="437" stopIfTrue="1">
      <formula>#REF!=""</formula>
    </cfRule>
    <cfRule type="expression" priority="438" stopIfTrue="1">
      <formula>#REF!="-"</formula>
    </cfRule>
    <cfRule type="expression" dxfId="61" priority="439" stopIfTrue="1">
      <formula>#REF!=0</formula>
    </cfRule>
    <cfRule type="expression" dxfId="60" priority="440" stopIfTrue="1">
      <formula>#REF!&lt;&gt;""</formula>
    </cfRule>
  </conditionalFormatting>
  <hyperlinks>
    <hyperlink ref="A1:O1" location="TEMPLATE!A1" display="BALL入りRD"/>
    <hyperlink ref="O7:O13" r:id="rId1" display="E"/>
  </hyperlinks>
  <printOptions horizontalCentered="1"/>
  <pageMargins left="0.23622047244094491" right="0.23622047244094491" top="0.39370078740157483" bottom="0.39370078740157483" header="0.31496062992125984" footer="0.31496062992125984"/>
  <pageSetup paperSize="9" scale="62" orientation="landscape" r:id="rId2"/>
  <rowBreaks count="1" manualBreakCount="1">
    <brk id="34" max="14"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464"/>
    <pageSetUpPr fitToPage="1"/>
  </sheetPr>
  <dimension ref="A1:Q63"/>
  <sheetViews>
    <sheetView showGridLines="0" view="pageBreakPreview" zoomScaleNormal="100" zoomScaleSheetLayoutView="100" workbookViewId="0"/>
  </sheetViews>
  <sheetFormatPr defaultRowHeight="13.8"/>
  <cols>
    <col min="1" max="1" width="9.5" bestFit="1" customWidth="1"/>
    <col min="2" max="2" width="18.09765625" bestFit="1" customWidth="1"/>
    <col min="3" max="3" width="11.8984375" style="781" bestFit="1" customWidth="1"/>
    <col min="4" max="4" width="5.59765625" customWidth="1"/>
    <col min="5" max="5" width="37" bestFit="1" customWidth="1"/>
    <col min="6" max="6" width="11.69921875" style="823" bestFit="1" customWidth="1"/>
    <col min="7" max="7" width="10.59765625" customWidth="1"/>
    <col min="8" max="8" width="5.59765625" style="13" customWidth="1"/>
    <col min="9" max="9" width="5.59765625" style="350" customWidth="1"/>
    <col min="10" max="12" width="5.59765625" customWidth="1"/>
    <col min="13" max="13" width="37.5" bestFit="1" customWidth="1"/>
    <col min="14" max="14" width="23.5" style="823" bestFit="1" customWidth="1"/>
    <col min="15" max="15" width="6.69921875" style="823" bestFit="1" customWidth="1"/>
  </cols>
  <sheetData>
    <row r="1" spans="1:17">
      <c r="A1" s="835" t="s">
        <v>173</v>
      </c>
      <c r="B1" s="835"/>
      <c r="C1" s="835"/>
      <c r="D1" s="835"/>
      <c r="E1" s="835"/>
      <c r="F1" s="835"/>
      <c r="G1" s="835"/>
      <c r="H1" s="835"/>
      <c r="I1" s="835"/>
      <c r="J1" s="835"/>
      <c r="K1" s="835"/>
      <c r="L1" s="835"/>
      <c r="M1" s="835"/>
      <c r="N1" s="835"/>
      <c r="O1" s="835"/>
    </row>
    <row r="2" spans="1:17" ht="30" customHeight="1">
      <c r="A2" s="2396" t="s">
        <v>5</v>
      </c>
      <c r="B2" s="1993"/>
      <c r="C2" s="1993"/>
      <c r="D2" s="1993"/>
      <c r="E2" s="1993"/>
      <c r="F2" s="2093" t="s">
        <v>268</v>
      </c>
      <c r="G2" s="2094"/>
      <c r="H2" s="2089"/>
      <c r="I2" s="2090"/>
      <c r="J2" s="2090"/>
      <c r="K2" s="2090"/>
      <c r="L2" s="2090"/>
      <c r="M2" s="837" t="s">
        <v>1187</v>
      </c>
      <c r="N2" s="904"/>
      <c r="O2" s="920"/>
    </row>
    <row r="3" spans="1:17" ht="30" customHeight="1">
      <c r="A3" s="2396"/>
      <c r="B3" s="1993"/>
      <c r="C3" s="1993"/>
      <c r="D3" s="1993"/>
      <c r="E3" s="1993"/>
      <c r="F3" s="2006" t="s">
        <v>1249</v>
      </c>
      <c r="G3" s="2006"/>
      <c r="H3" s="2089"/>
      <c r="I3" s="2090"/>
      <c r="J3" s="2090"/>
      <c r="K3" s="2090"/>
      <c r="L3" s="2090"/>
      <c r="M3" s="1099"/>
      <c r="N3" s="35"/>
      <c r="O3" s="921"/>
    </row>
    <row r="4" spans="1:17" ht="30" customHeight="1">
      <c r="A4" s="2396" t="s">
        <v>38</v>
      </c>
      <c r="B4" s="1993"/>
      <c r="C4" s="1993"/>
      <c r="D4" s="1993"/>
      <c r="E4" s="1993"/>
      <c r="F4" s="2007" t="s">
        <v>1250</v>
      </c>
      <c r="G4" s="2007"/>
      <c r="H4" s="2089"/>
      <c r="I4" s="2090"/>
      <c r="J4" s="2090"/>
      <c r="K4" s="2090"/>
      <c r="L4" s="2090"/>
      <c r="M4" s="1099"/>
      <c r="N4" s="35"/>
      <c r="O4" s="921"/>
    </row>
    <row r="5" spans="1:17" ht="30" customHeight="1">
      <c r="A5" s="2396"/>
      <c r="B5" s="1993"/>
      <c r="C5" s="1993"/>
      <c r="D5" s="1993"/>
      <c r="E5" s="1993"/>
      <c r="F5" s="2008" t="s">
        <v>269</v>
      </c>
      <c r="G5" s="2008"/>
      <c r="H5" s="2674"/>
      <c r="I5" s="2675"/>
      <c r="J5" s="2675"/>
      <c r="K5" s="2675"/>
      <c r="L5" s="2675"/>
      <c r="M5" s="1100"/>
      <c r="N5" s="905"/>
      <c r="O5" s="922"/>
    </row>
    <row r="6" spans="1:17" ht="60" customHeight="1">
      <c r="A6" s="1107" t="s">
        <v>1227</v>
      </c>
      <c r="B6" s="1069" t="s">
        <v>6</v>
      </c>
      <c r="C6" s="1069" t="s">
        <v>168</v>
      </c>
      <c r="D6" s="1037" t="s">
        <v>1251</v>
      </c>
      <c r="E6" s="82" t="s">
        <v>64</v>
      </c>
      <c r="F6" s="2001" t="s">
        <v>1</v>
      </c>
      <c r="G6" s="2002"/>
      <c r="H6" s="2003"/>
      <c r="I6" s="1038" t="s">
        <v>66</v>
      </c>
      <c r="J6" s="1038" t="s">
        <v>1247</v>
      </c>
      <c r="K6" s="1039" t="s">
        <v>1248</v>
      </c>
      <c r="L6" s="1040" t="s">
        <v>2</v>
      </c>
      <c r="M6" s="1069" t="s">
        <v>1256</v>
      </c>
      <c r="N6" s="1069" t="s">
        <v>1257</v>
      </c>
      <c r="O6" s="1140" t="s">
        <v>183</v>
      </c>
    </row>
    <row r="7" spans="1:17" ht="20.100000000000001" customHeight="1">
      <c r="A7" s="2683">
        <v>1041</v>
      </c>
      <c r="B7" s="2683" t="s">
        <v>1308</v>
      </c>
      <c r="C7" s="2267" t="s">
        <v>1309</v>
      </c>
      <c r="D7" s="782"/>
      <c r="E7" s="812" t="s">
        <v>545</v>
      </c>
      <c r="F7" s="368" t="s">
        <v>546</v>
      </c>
      <c r="G7" s="369"/>
      <c r="H7" s="370"/>
      <c r="I7" s="790"/>
      <c r="J7" s="791"/>
      <c r="K7" s="791"/>
      <c r="L7" s="791"/>
      <c r="M7" s="792" t="s">
        <v>28</v>
      </c>
      <c r="N7" s="2702" t="s">
        <v>618</v>
      </c>
      <c r="O7" s="2703" t="str">
        <f>HYPERLINK(VLOOKUP(F7,LINK,2,FALSE),VLOOKUP(F7,LINK,3,FALSE))</f>
        <v>EXCEL</v>
      </c>
    </row>
    <row r="8" spans="1:17" ht="20.100000000000001" customHeight="1">
      <c r="A8" s="2684"/>
      <c r="B8" s="2684"/>
      <c r="C8" s="2267"/>
      <c r="D8" s="783"/>
      <c r="E8" s="813" t="s">
        <v>547</v>
      </c>
      <c r="F8" s="375" t="s">
        <v>548</v>
      </c>
      <c r="G8" s="376"/>
      <c r="H8" s="377"/>
      <c r="I8" s="656"/>
      <c r="J8" s="657"/>
      <c r="K8" s="657"/>
      <c r="L8" s="657"/>
      <c r="M8" s="793"/>
      <c r="N8" s="2702"/>
      <c r="O8" s="2704"/>
    </row>
    <row r="9" spans="1:17" ht="20.100000000000001" customHeight="1">
      <c r="A9" s="2684"/>
      <c r="B9" s="2684"/>
      <c r="C9" s="2267"/>
      <c r="D9" s="783"/>
      <c r="E9" s="813" t="s">
        <v>549</v>
      </c>
      <c r="F9" s="375" t="s">
        <v>550</v>
      </c>
      <c r="G9" s="376"/>
      <c r="H9" s="377"/>
      <c r="I9" s="656"/>
      <c r="J9" s="657"/>
      <c r="K9" s="657"/>
      <c r="L9" s="657"/>
      <c r="M9" s="793"/>
      <c r="N9" s="2702"/>
      <c r="O9" s="2704"/>
    </row>
    <row r="10" spans="1:17" ht="20.100000000000001" customHeight="1">
      <c r="A10" s="2684"/>
      <c r="B10" s="2684"/>
      <c r="C10" s="2267"/>
      <c r="D10" s="783"/>
      <c r="E10" s="813" t="s">
        <v>551</v>
      </c>
      <c r="F10" s="375" t="s">
        <v>552</v>
      </c>
      <c r="G10" s="376"/>
      <c r="H10" s="377"/>
      <c r="I10" s="656"/>
      <c r="J10" s="657"/>
      <c r="K10" s="657"/>
      <c r="L10" s="657"/>
      <c r="M10" s="2705" t="s">
        <v>69</v>
      </c>
      <c r="N10" s="2702"/>
      <c r="O10" s="2704"/>
    </row>
    <row r="11" spans="1:17" ht="20.100000000000001" customHeight="1">
      <c r="A11" s="2684"/>
      <c r="B11" s="2684"/>
      <c r="C11" s="2267"/>
      <c r="D11" s="783"/>
      <c r="E11" s="813" t="s">
        <v>553</v>
      </c>
      <c r="F11" s="375" t="s">
        <v>29</v>
      </c>
      <c r="G11" s="376"/>
      <c r="H11" s="377"/>
      <c r="I11" s="656"/>
      <c r="J11" s="657"/>
      <c r="K11" s="657"/>
      <c r="L11" s="657"/>
      <c r="M11" s="2705"/>
      <c r="N11" s="2702"/>
      <c r="O11" s="2704"/>
    </row>
    <row r="12" spans="1:17" ht="20.100000000000001" customHeight="1">
      <c r="A12" s="2684"/>
      <c r="B12" s="2684"/>
      <c r="C12" s="2267"/>
      <c r="D12" s="783"/>
      <c r="E12" s="813" t="s">
        <v>551</v>
      </c>
      <c r="F12" s="375" t="s">
        <v>554</v>
      </c>
      <c r="G12" s="376"/>
      <c r="H12" s="377"/>
      <c r="I12" s="656"/>
      <c r="J12" s="657"/>
      <c r="K12" s="657"/>
      <c r="L12" s="657"/>
      <c r="M12" s="2705"/>
      <c r="N12" s="2702"/>
      <c r="O12" s="2704"/>
    </row>
    <row r="13" spans="1:17" ht="20.100000000000001" customHeight="1">
      <c r="A13" s="2684"/>
      <c r="B13" s="2684"/>
      <c r="C13" s="2267"/>
      <c r="D13" s="784"/>
      <c r="E13" s="815" t="s">
        <v>553</v>
      </c>
      <c r="F13" s="382" t="s">
        <v>555</v>
      </c>
      <c r="G13" s="383"/>
      <c r="H13" s="384"/>
      <c r="I13" s="794"/>
      <c r="J13" s="795"/>
      <c r="K13" s="795"/>
      <c r="L13" s="795"/>
      <c r="M13" s="2706"/>
      <c r="N13" s="2702"/>
      <c r="O13" s="2704"/>
    </row>
    <row r="14" spans="1:17" ht="20.100000000000001" customHeight="1">
      <c r="A14" s="2432">
        <v>1241</v>
      </c>
      <c r="B14" s="2432" t="s">
        <v>1298</v>
      </c>
      <c r="C14" s="2073" t="s">
        <v>1307</v>
      </c>
      <c r="D14" s="1156"/>
      <c r="E14" s="812" t="s">
        <v>595</v>
      </c>
      <c r="F14" s="2263"/>
      <c r="G14" s="2264"/>
      <c r="H14" s="2265"/>
      <c r="I14" s="1156"/>
      <c r="J14" s="1156"/>
      <c r="K14" s="1156"/>
      <c r="L14" s="1156"/>
      <c r="M14" s="1157" t="s">
        <v>1302</v>
      </c>
      <c r="N14" s="1158" t="s">
        <v>1303</v>
      </c>
      <c r="O14" s="2703" t="e">
        <f>HYPERLINK(VLOOKUP(F14,LINK,2,FALSE),VLOOKUP(F14,LINK,3,FALSE))</f>
        <v>#N/A</v>
      </c>
    </row>
    <row r="15" spans="1:17" ht="20.100000000000001" customHeight="1">
      <c r="A15" s="2685"/>
      <c r="B15" s="2685"/>
      <c r="C15" s="2757"/>
      <c r="D15" s="140"/>
      <c r="E15" s="816" t="s">
        <v>596</v>
      </c>
      <c r="F15" s="1159" t="s">
        <v>1272</v>
      </c>
      <c r="G15" s="1076"/>
      <c r="H15" s="1077"/>
      <c r="I15" s="1160"/>
      <c r="J15" s="1160"/>
      <c r="K15" s="1160"/>
      <c r="L15" s="1160"/>
      <c r="M15" s="1161" t="s">
        <v>1273</v>
      </c>
      <c r="N15" s="1162"/>
      <c r="O15" s="2703"/>
      <c r="P15" s="2700"/>
      <c r="Q15" s="2701"/>
    </row>
    <row r="16" spans="1:17" ht="20.100000000000001" customHeight="1">
      <c r="A16" s="2685"/>
      <c r="B16" s="2685"/>
      <c r="C16" s="2757"/>
      <c r="D16" s="1160"/>
      <c r="E16" s="1087" t="s">
        <v>30</v>
      </c>
      <c r="F16" s="1159" t="s">
        <v>597</v>
      </c>
      <c r="G16" s="1163"/>
      <c r="H16" s="1164"/>
      <c r="I16" s="1160"/>
      <c r="J16" s="1160"/>
      <c r="K16" s="1160"/>
      <c r="L16" s="1160"/>
      <c r="M16" s="442" t="s">
        <v>146</v>
      </c>
      <c r="N16" s="1165"/>
      <c r="O16" s="2703"/>
    </row>
    <row r="17" spans="1:15" ht="20.100000000000001" customHeight="1">
      <c r="A17" s="2685"/>
      <c r="B17" s="2685"/>
      <c r="C17" s="2757"/>
      <c r="D17" s="140"/>
      <c r="E17" s="817" t="s">
        <v>598</v>
      </c>
      <c r="F17" s="1075" t="s">
        <v>599</v>
      </c>
      <c r="G17" s="182"/>
      <c r="H17" s="183"/>
      <c r="I17" s="140"/>
      <c r="J17" s="140"/>
      <c r="K17" s="140"/>
      <c r="L17" s="140"/>
      <c r="M17" s="443" t="s">
        <v>144</v>
      </c>
      <c r="N17" s="1166"/>
      <c r="O17" s="2703"/>
    </row>
    <row r="18" spans="1:15" ht="20.100000000000001" customHeight="1">
      <c r="A18" s="2685"/>
      <c r="B18" s="2685"/>
      <c r="C18" s="2757"/>
      <c r="D18" s="140"/>
      <c r="E18" s="817" t="s">
        <v>605</v>
      </c>
      <c r="F18" s="1167" t="s">
        <v>606</v>
      </c>
      <c r="G18" s="182"/>
      <c r="H18" s="183"/>
      <c r="I18" s="140"/>
      <c r="J18" s="140"/>
      <c r="K18" s="140"/>
      <c r="L18" s="140"/>
      <c r="M18" s="1168" t="s">
        <v>1304</v>
      </c>
      <c r="N18" s="1166" t="s">
        <v>1223</v>
      </c>
      <c r="O18" s="2703"/>
    </row>
    <row r="19" spans="1:15" ht="20.100000000000001" customHeight="1">
      <c r="A19" s="2685"/>
      <c r="B19" s="2685"/>
      <c r="C19" s="2757"/>
      <c r="D19" s="140"/>
      <c r="E19" s="1169" t="s">
        <v>600</v>
      </c>
      <c r="F19" s="1075" t="s">
        <v>601</v>
      </c>
      <c r="G19" s="182"/>
      <c r="H19" s="183"/>
      <c r="I19" s="140"/>
      <c r="J19" s="140"/>
      <c r="K19" s="140"/>
      <c r="L19" s="140"/>
      <c r="M19" s="443"/>
      <c r="N19" s="1165"/>
      <c r="O19" s="2703"/>
    </row>
    <row r="20" spans="1:15" ht="20.100000000000001" customHeight="1">
      <c r="A20" s="2685"/>
      <c r="B20" s="2685"/>
      <c r="C20" s="2757"/>
      <c r="D20" s="2716"/>
      <c r="E20" s="2762" t="s">
        <v>31</v>
      </c>
      <c r="F20" s="1172"/>
      <c r="G20" s="1173" t="s">
        <v>537</v>
      </c>
      <c r="H20" s="1174"/>
      <c r="I20" s="1184"/>
      <c r="J20" s="1183"/>
      <c r="K20" s="1183"/>
      <c r="L20" s="1183"/>
      <c r="M20" s="2747" t="s">
        <v>160</v>
      </c>
      <c r="N20" s="2753"/>
      <c r="O20" s="2703"/>
    </row>
    <row r="21" spans="1:15" ht="20.100000000000001" customHeight="1">
      <c r="A21" s="2685"/>
      <c r="B21" s="2685"/>
      <c r="C21" s="2757"/>
      <c r="D21" s="2716"/>
      <c r="E21" s="2762"/>
      <c r="F21" s="1175" t="s">
        <v>602</v>
      </c>
      <c r="G21" s="1173" t="s">
        <v>538</v>
      </c>
      <c r="H21" s="1174"/>
      <c r="I21" s="1184"/>
      <c r="J21" s="1183"/>
      <c r="K21" s="1183"/>
      <c r="L21" s="1183"/>
      <c r="M21" s="2748"/>
      <c r="N21" s="2754"/>
      <c r="O21" s="2703"/>
    </row>
    <row r="22" spans="1:15" ht="20.100000000000001" customHeight="1">
      <c r="A22" s="2685"/>
      <c r="B22" s="2685"/>
      <c r="C22" s="2757"/>
      <c r="D22" s="2716"/>
      <c r="E22" s="2762"/>
      <c r="F22" s="1172"/>
      <c r="G22" s="1173" t="s">
        <v>539</v>
      </c>
      <c r="H22" s="1174"/>
      <c r="I22" s="1184"/>
      <c r="J22" s="1183"/>
      <c r="K22" s="1183"/>
      <c r="L22" s="1183"/>
      <c r="M22" s="2752"/>
      <c r="N22" s="2755"/>
      <c r="O22" s="2703"/>
    </row>
    <row r="23" spans="1:15" ht="20.100000000000001" customHeight="1">
      <c r="A23" s="2685"/>
      <c r="B23" s="2685"/>
      <c r="C23" s="2757"/>
      <c r="D23" s="2716"/>
      <c r="E23" s="2762" t="s">
        <v>32</v>
      </c>
      <c r="F23" s="1175" t="s">
        <v>603</v>
      </c>
      <c r="G23" s="1173" t="s">
        <v>537</v>
      </c>
      <c r="H23" s="1174"/>
      <c r="I23" s="1183"/>
      <c r="J23" s="1183"/>
      <c r="K23" s="1183"/>
      <c r="L23" s="1183"/>
      <c r="M23" s="2747" t="s">
        <v>161</v>
      </c>
      <c r="N23" s="2753"/>
      <c r="O23" s="2703"/>
    </row>
    <row r="24" spans="1:15" ht="20.100000000000001" customHeight="1">
      <c r="A24" s="2685"/>
      <c r="B24" s="2685"/>
      <c r="C24" s="2757"/>
      <c r="D24" s="2716"/>
      <c r="E24" s="2762"/>
      <c r="F24" s="1172"/>
      <c r="G24" s="1173" t="s">
        <v>538</v>
      </c>
      <c r="H24" s="1174"/>
      <c r="I24" s="1183"/>
      <c r="J24" s="1183"/>
      <c r="K24" s="1183"/>
      <c r="L24" s="1183"/>
      <c r="M24" s="2752"/>
      <c r="N24" s="2755"/>
      <c r="O24" s="2703"/>
    </row>
    <row r="25" spans="1:15" ht="20.100000000000001" customHeight="1">
      <c r="A25" s="2685"/>
      <c r="B25" s="2685"/>
      <c r="C25" s="2757"/>
      <c r="D25" s="1183"/>
      <c r="E25" s="1176" t="s">
        <v>604</v>
      </c>
      <c r="F25" s="1177" t="s">
        <v>540</v>
      </c>
      <c r="G25" s="1178"/>
      <c r="H25" s="1179"/>
      <c r="I25" s="1183"/>
      <c r="J25" s="1183"/>
      <c r="K25" s="1183"/>
      <c r="L25" s="1183"/>
      <c r="M25" s="1182" t="s">
        <v>145</v>
      </c>
      <c r="N25" s="2753" t="s">
        <v>621</v>
      </c>
      <c r="O25" s="2703"/>
    </row>
    <row r="26" spans="1:15" ht="20.100000000000001" customHeight="1">
      <c r="A26" s="2685"/>
      <c r="B26" s="2685"/>
      <c r="C26" s="2757"/>
      <c r="D26" s="2716"/>
      <c r="E26" s="2717" t="s">
        <v>607</v>
      </c>
      <c r="F26" s="1180"/>
      <c r="G26" s="1181" t="s">
        <v>538</v>
      </c>
      <c r="H26" s="1174"/>
      <c r="I26" s="1183"/>
      <c r="J26" s="1183"/>
      <c r="K26" s="1183"/>
      <c r="L26" s="1183"/>
      <c r="M26" s="2747" t="s">
        <v>1301</v>
      </c>
      <c r="N26" s="2754"/>
      <c r="O26" s="2703"/>
    </row>
    <row r="27" spans="1:15" ht="20.100000000000001" customHeight="1">
      <c r="A27" s="2685"/>
      <c r="B27" s="2685"/>
      <c r="C27" s="2757"/>
      <c r="D27" s="2716"/>
      <c r="E27" s="2718"/>
      <c r="F27" s="1172" t="s">
        <v>540</v>
      </c>
      <c r="G27" s="1173" t="s">
        <v>539</v>
      </c>
      <c r="H27" s="1174"/>
      <c r="I27" s="1183"/>
      <c r="J27" s="1183"/>
      <c r="K27" s="1183"/>
      <c r="L27" s="1183"/>
      <c r="M27" s="2748"/>
      <c r="N27" s="2754"/>
      <c r="O27" s="2703"/>
    </row>
    <row r="28" spans="1:15" ht="20.100000000000001" customHeight="1">
      <c r="A28" s="2685"/>
      <c r="B28" s="2685"/>
      <c r="C28" s="2757"/>
      <c r="D28" s="140"/>
      <c r="E28" s="817" t="s">
        <v>1222</v>
      </c>
      <c r="F28" s="1075" t="s">
        <v>1221</v>
      </c>
      <c r="G28" s="182"/>
      <c r="H28" s="183"/>
      <c r="I28" s="140"/>
      <c r="J28" s="140"/>
      <c r="K28" s="140"/>
      <c r="L28" s="140"/>
      <c r="M28" s="1170" t="s">
        <v>1225</v>
      </c>
      <c r="N28" s="2749" t="s">
        <v>622</v>
      </c>
      <c r="O28" s="2703"/>
    </row>
    <row r="29" spans="1:15" ht="20.100000000000001" customHeight="1">
      <c r="A29" s="2685"/>
      <c r="B29" s="2685"/>
      <c r="C29" s="2757"/>
      <c r="D29" s="140"/>
      <c r="E29" s="817" t="s">
        <v>608</v>
      </c>
      <c r="F29" s="1075" t="s">
        <v>1197</v>
      </c>
      <c r="G29" s="182"/>
      <c r="H29" s="183"/>
      <c r="I29" s="140"/>
      <c r="J29" s="140"/>
      <c r="K29" s="140"/>
      <c r="L29" s="140"/>
      <c r="M29" s="1170" t="s">
        <v>1226</v>
      </c>
      <c r="N29" s="2750"/>
      <c r="O29" s="2703"/>
    </row>
    <row r="30" spans="1:15" ht="20.100000000000001" customHeight="1">
      <c r="A30" s="2685"/>
      <c r="B30" s="2685"/>
      <c r="C30" s="2757"/>
      <c r="D30" s="140"/>
      <c r="E30" s="817" t="s">
        <v>609</v>
      </c>
      <c r="F30" s="1075" t="s">
        <v>610</v>
      </c>
      <c r="G30" s="182"/>
      <c r="H30" s="183"/>
      <c r="I30" s="140"/>
      <c r="J30" s="140"/>
      <c r="K30" s="140"/>
      <c r="L30" s="140"/>
      <c r="M30" s="2751" t="s">
        <v>140</v>
      </c>
      <c r="N30" s="2720" t="s">
        <v>141</v>
      </c>
      <c r="O30" s="2703"/>
    </row>
    <row r="31" spans="1:15" ht="20.100000000000001" customHeight="1">
      <c r="A31" s="2685"/>
      <c r="B31" s="2685"/>
      <c r="C31" s="2758"/>
      <c r="D31" s="1171"/>
      <c r="E31" s="278" t="s">
        <v>611</v>
      </c>
      <c r="F31" s="425" t="s">
        <v>612</v>
      </c>
      <c r="G31" s="426"/>
      <c r="H31" s="457"/>
      <c r="I31" s="1171"/>
      <c r="J31" s="1171"/>
      <c r="K31" s="1171"/>
      <c r="L31" s="1171"/>
      <c r="M31" s="2721"/>
      <c r="N31" s="2132"/>
      <c r="O31" s="2703"/>
    </row>
    <row r="32" spans="1:15" ht="39.9" customHeight="1">
      <c r="A32" s="2685"/>
      <c r="B32" s="2685"/>
      <c r="C32" s="2116" t="s">
        <v>726</v>
      </c>
      <c r="D32" s="849"/>
      <c r="E32" s="872" t="s">
        <v>734</v>
      </c>
      <c r="F32" s="487" t="s">
        <v>731</v>
      </c>
      <c r="G32" s="494"/>
      <c r="H32" s="499">
        <v>-99</v>
      </c>
      <c r="I32" s="849"/>
      <c r="J32" s="849"/>
      <c r="K32" s="1071"/>
      <c r="L32" s="849"/>
      <c r="M32" s="2719" t="s">
        <v>1196</v>
      </c>
      <c r="N32" s="2744" t="s">
        <v>727</v>
      </c>
      <c r="O32" s="2707"/>
    </row>
    <row r="33" spans="1:15" ht="20.100000000000001" customHeight="1">
      <c r="A33" s="2685"/>
      <c r="B33" s="2685"/>
      <c r="C33" s="2135"/>
      <c r="D33" s="452"/>
      <c r="E33" s="859" t="s">
        <v>728</v>
      </c>
      <c r="F33" s="488" t="s">
        <v>731</v>
      </c>
      <c r="G33" s="495"/>
      <c r="H33" s="500" t="s">
        <v>231</v>
      </c>
      <c r="I33" s="452"/>
      <c r="J33" s="489"/>
      <c r="K33" s="489"/>
      <c r="L33" s="452"/>
      <c r="M33" s="2720"/>
      <c r="N33" s="2745"/>
      <c r="O33" s="2708"/>
    </row>
    <row r="34" spans="1:15" ht="20.100000000000001" customHeight="1">
      <c r="A34" s="2433"/>
      <c r="B34" s="2433"/>
      <c r="C34" s="2117"/>
      <c r="D34" s="850"/>
      <c r="E34" s="278" t="s">
        <v>101</v>
      </c>
      <c r="F34" s="488" t="s">
        <v>732</v>
      </c>
      <c r="G34" s="495"/>
      <c r="H34" s="500" t="s">
        <v>232</v>
      </c>
      <c r="I34" s="850"/>
      <c r="J34" s="490"/>
      <c r="K34" s="490"/>
      <c r="L34" s="850"/>
      <c r="M34" s="2721"/>
      <c r="N34" s="2746"/>
      <c r="O34" s="2769"/>
    </row>
    <row r="35" spans="1:15" ht="20.100000000000001" customHeight="1">
      <c r="A35" s="2689">
        <v>3001</v>
      </c>
      <c r="B35" s="2686" t="s">
        <v>1207</v>
      </c>
      <c r="C35" s="2380"/>
      <c r="D35" s="847"/>
      <c r="E35" s="860" t="s">
        <v>1200</v>
      </c>
      <c r="F35" s="860" t="s">
        <v>1201</v>
      </c>
      <c r="G35" s="861"/>
      <c r="H35" s="862">
        <v>-99</v>
      </c>
      <c r="I35" s="847"/>
      <c r="J35" s="847"/>
      <c r="K35" s="847"/>
      <c r="L35" s="847"/>
      <c r="M35" s="2763" t="s">
        <v>1206</v>
      </c>
      <c r="N35" s="2738"/>
      <c r="O35" s="2735"/>
    </row>
    <row r="36" spans="1:15" ht="20.100000000000001" customHeight="1">
      <c r="A36" s="2709"/>
      <c r="B36" s="2714"/>
      <c r="C36" s="2715"/>
      <c r="D36" s="847"/>
      <c r="E36" s="860" t="s">
        <v>1202</v>
      </c>
      <c r="F36" s="860" t="s">
        <v>1201</v>
      </c>
      <c r="G36" s="863"/>
      <c r="H36" s="864">
        <v>-1</v>
      </c>
      <c r="I36" s="847"/>
      <c r="J36" s="788"/>
      <c r="K36" s="788"/>
      <c r="L36" s="847"/>
      <c r="M36" s="2764"/>
      <c r="N36" s="2739"/>
      <c r="O36" s="2736"/>
    </row>
    <row r="37" spans="1:15" ht="20.100000000000001" customHeight="1">
      <c r="A37" s="2709"/>
      <c r="B37" s="2714"/>
      <c r="C37" s="2715"/>
      <c r="D37" s="847"/>
      <c r="E37" s="860" t="s">
        <v>1203</v>
      </c>
      <c r="F37" s="860" t="s">
        <v>1201</v>
      </c>
      <c r="G37" s="863"/>
      <c r="H37" s="864">
        <v>-2</v>
      </c>
      <c r="I37" s="847"/>
      <c r="J37" s="788"/>
      <c r="K37" s="788"/>
      <c r="L37" s="847"/>
      <c r="M37" s="2764"/>
      <c r="N37" s="2739"/>
      <c r="O37" s="2736"/>
    </row>
    <row r="38" spans="1:15" ht="20.100000000000001" customHeight="1">
      <c r="A38" s="2709"/>
      <c r="B38" s="2714"/>
      <c r="C38" s="2715"/>
      <c r="D38" s="847"/>
      <c r="E38" s="860" t="s">
        <v>1204</v>
      </c>
      <c r="F38" s="860" t="s">
        <v>1201</v>
      </c>
      <c r="G38" s="863"/>
      <c r="H38" s="864">
        <v>-3</v>
      </c>
      <c r="I38" s="847"/>
      <c r="J38" s="788"/>
      <c r="K38" s="788"/>
      <c r="L38" s="847"/>
      <c r="M38" s="2764"/>
      <c r="N38" s="2739"/>
      <c r="O38" s="2736"/>
    </row>
    <row r="39" spans="1:15" ht="20.100000000000001" customHeight="1">
      <c r="A39" s="2690"/>
      <c r="B39" s="2687"/>
      <c r="C39" s="2688"/>
      <c r="D39" s="847"/>
      <c r="E39" s="860" t="s">
        <v>1205</v>
      </c>
      <c r="F39" s="860" t="s">
        <v>1201</v>
      </c>
      <c r="G39" s="863"/>
      <c r="H39" s="864">
        <v>-4</v>
      </c>
      <c r="I39" s="847"/>
      <c r="J39" s="788"/>
      <c r="K39" s="788"/>
      <c r="L39" s="847"/>
      <c r="M39" s="2765"/>
      <c r="N39" s="2740"/>
      <c r="O39" s="2737"/>
    </row>
    <row r="40" spans="1:15" ht="20.100000000000001" customHeight="1">
      <c r="A40" s="1089">
        <v>3121</v>
      </c>
      <c r="B40" s="2691" t="s">
        <v>1155</v>
      </c>
      <c r="C40" s="2692"/>
      <c r="D40" s="788"/>
      <c r="E40" s="2728" t="s">
        <v>1154</v>
      </c>
      <c r="F40" s="2729"/>
      <c r="G40" s="2729"/>
      <c r="H40" s="2729"/>
      <c r="I40" s="788"/>
      <c r="J40" s="788"/>
      <c r="K40" s="788"/>
      <c r="L40" s="788"/>
      <c r="M40" s="865"/>
      <c r="N40" s="865"/>
      <c r="O40" s="800"/>
    </row>
    <row r="41" spans="1:15" ht="20.100000000000001" customHeight="1">
      <c r="A41" s="2710">
        <v>3002</v>
      </c>
      <c r="B41" s="2686" t="s">
        <v>1156</v>
      </c>
      <c r="C41" s="2380"/>
      <c r="D41" s="856"/>
      <c r="E41" s="812" t="s">
        <v>1157</v>
      </c>
      <c r="F41" s="368" t="s">
        <v>1208</v>
      </c>
      <c r="G41" s="369"/>
      <c r="H41" s="370" t="s">
        <v>250</v>
      </c>
      <c r="I41" s="790"/>
      <c r="J41" s="791"/>
      <c r="K41" s="791"/>
      <c r="L41" s="791"/>
      <c r="M41" s="2766" t="s">
        <v>1206</v>
      </c>
      <c r="N41" s="2741"/>
      <c r="O41" s="2735"/>
    </row>
    <row r="42" spans="1:15" ht="20.100000000000001" customHeight="1">
      <c r="A42" s="2711"/>
      <c r="B42" s="2714"/>
      <c r="C42" s="2715"/>
      <c r="D42" s="857"/>
      <c r="E42" s="813" t="s">
        <v>1209</v>
      </c>
      <c r="F42" s="368" t="s">
        <v>1208</v>
      </c>
      <c r="G42" s="376"/>
      <c r="H42" s="377" t="s">
        <v>1160</v>
      </c>
      <c r="I42" s="656"/>
      <c r="J42" s="700"/>
      <c r="K42" s="700"/>
      <c r="L42" s="657"/>
      <c r="M42" s="2767"/>
      <c r="N42" s="2742"/>
      <c r="O42" s="2736"/>
    </row>
    <row r="43" spans="1:15" ht="20.100000000000001" customHeight="1">
      <c r="A43" s="2711"/>
      <c r="B43" s="2714"/>
      <c r="C43" s="2715"/>
      <c r="D43" s="858"/>
      <c r="E43" s="819" t="s">
        <v>1210</v>
      </c>
      <c r="F43" s="453" t="s">
        <v>1208</v>
      </c>
      <c r="G43" s="383"/>
      <c r="H43" s="384" t="s">
        <v>1161</v>
      </c>
      <c r="I43" s="711"/>
      <c r="J43" s="871"/>
      <c r="K43" s="871"/>
      <c r="L43" s="713"/>
      <c r="M43" s="2768"/>
      <c r="N43" s="2743"/>
      <c r="O43" s="2737"/>
    </row>
    <row r="44" spans="1:15" ht="20.100000000000001" customHeight="1">
      <c r="A44" s="2711"/>
      <c r="B44" s="2714"/>
      <c r="C44" s="2715"/>
      <c r="D44" s="785"/>
      <c r="E44" s="818" t="s">
        <v>1159</v>
      </c>
      <c r="F44" s="375" t="s">
        <v>1162</v>
      </c>
      <c r="G44" s="376"/>
      <c r="H44" s="377" t="s">
        <v>250</v>
      </c>
      <c r="I44" s="808"/>
      <c r="J44" s="808"/>
      <c r="K44" s="808"/>
      <c r="L44" s="809"/>
      <c r="M44" s="866"/>
      <c r="N44" s="866"/>
      <c r="O44" s="810"/>
    </row>
    <row r="45" spans="1:15" ht="20.100000000000001" customHeight="1">
      <c r="A45" s="2712"/>
      <c r="B45" s="2687"/>
      <c r="C45" s="2688"/>
      <c r="D45" s="786"/>
      <c r="E45" s="819" t="s">
        <v>1158</v>
      </c>
      <c r="F45" s="382" t="s">
        <v>1163</v>
      </c>
      <c r="G45" s="383"/>
      <c r="H45" s="384" t="s">
        <v>1164</v>
      </c>
      <c r="I45" s="711"/>
      <c r="J45" s="711"/>
      <c r="K45" s="711"/>
      <c r="L45" s="713"/>
      <c r="M45" s="867"/>
      <c r="N45" s="867"/>
      <c r="O45" s="811"/>
    </row>
    <row r="46" spans="1:15" ht="20.100000000000001" customHeight="1">
      <c r="A46" s="2713">
        <v>1061</v>
      </c>
      <c r="B46" s="2713" t="s">
        <v>1306</v>
      </c>
      <c r="C46" s="2272" t="s">
        <v>589</v>
      </c>
      <c r="D46" s="801"/>
      <c r="E46" s="812" t="s">
        <v>590</v>
      </c>
      <c r="F46" s="423" t="s">
        <v>591</v>
      </c>
      <c r="G46" s="424"/>
      <c r="H46" s="370"/>
      <c r="I46" s="801"/>
      <c r="J46" s="801"/>
      <c r="K46" s="801"/>
      <c r="L46" s="801"/>
      <c r="M46" s="868"/>
      <c r="N46" s="824" t="s">
        <v>620</v>
      </c>
      <c r="O46" s="2730" t="str">
        <f>HYPERLINK(VLOOKUP(F46,LINK,2,FALSE),VLOOKUP(F46,LINK,3,FALSE))</f>
        <v>EXCEL</v>
      </c>
    </row>
    <row r="47" spans="1:15" ht="20.100000000000001" customHeight="1">
      <c r="A47" s="2312"/>
      <c r="B47" s="2312"/>
      <c r="C47" s="2273"/>
      <c r="D47" s="796"/>
      <c r="E47" s="813" t="s">
        <v>592</v>
      </c>
      <c r="F47" s="449" t="s">
        <v>593</v>
      </c>
      <c r="G47" s="182"/>
      <c r="H47" s="377"/>
      <c r="I47" s="796"/>
      <c r="J47" s="796"/>
      <c r="K47" s="796"/>
      <c r="L47" s="796"/>
      <c r="M47" s="869"/>
      <c r="N47" s="826"/>
      <c r="O47" s="2725"/>
    </row>
    <row r="48" spans="1:15" ht="20.100000000000001" customHeight="1">
      <c r="A48" s="2312"/>
      <c r="B48" s="2312"/>
      <c r="C48" s="2273"/>
      <c r="D48" s="796"/>
      <c r="E48" s="813" t="s">
        <v>592</v>
      </c>
      <c r="F48" s="449" t="s">
        <v>1165</v>
      </c>
      <c r="G48" s="182"/>
      <c r="H48" s="377"/>
      <c r="I48" s="796"/>
      <c r="J48" s="796"/>
      <c r="K48" s="796"/>
      <c r="L48" s="796"/>
      <c r="M48" s="869"/>
      <c r="N48" s="826" t="s">
        <v>1172</v>
      </c>
      <c r="O48" s="2725"/>
    </row>
    <row r="49" spans="1:15" ht="20.100000000000001" customHeight="1">
      <c r="A49" s="2312"/>
      <c r="B49" s="2312"/>
      <c r="C49" s="2273"/>
      <c r="D49" s="796"/>
      <c r="E49" s="813" t="s">
        <v>1166</v>
      </c>
      <c r="F49" s="449" t="s">
        <v>1168</v>
      </c>
      <c r="G49" s="182"/>
      <c r="H49" s="377" t="s">
        <v>1164</v>
      </c>
      <c r="I49" s="796"/>
      <c r="J49" s="796"/>
      <c r="K49" s="796"/>
      <c r="L49" s="796"/>
      <c r="M49" s="869"/>
      <c r="N49" s="826"/>
      <c r="O49" s="2725"/>
    </row>
    <row r="50" spans="1:15" ht="20.100000000000001" customHeight="1">
      <c r="A50" s="2312"/>
      <c r="B50" s="2312"/>
      <c r="C50" s="2273"/>
      <c r="D50" s="796"/>
      <c r="E50" s="813" t="s">
        <v>1167</v>
      </c>
      <c r="F50" s="449" t="s">
        <v>1185</v>
      </c>
      <c r="G50" s="182"/>
      <c r="H50" s="377" t="s">
        <v>1169</v>
      </c>
      <c r="I50" s="796"/>
      <c r="J50" s="796"/>
      <c r="K50" s="796"/>
      <c r="L50" s="796"/>
      <c r="M50" s="869"/>
      <c r="N50" s="826"/>
      <c r="O50" s="2725"/>
    </row>
    <row r="51" spans="1:15" ht="20.100000000000001" customHeight="1">
      <c r="A51" s="2312"/>
      <c r="B51" s="2312"/>
      <c r="C51" s="2273"/>
      <c r="D51" s="796"/>
      <c r="E51" s="813" t="s">
        <v>407</v>
      </c>
      <c r="F51" s="449" t="s">
        <v>1170</v>
      </c>
      <c r="G51" s="182"/>
      <c r="H51" s="377"/>
      <c r="I51" s="796"/>
      <c r="J51" s="796"/>
      <c r="K51" s="796"/>
      <c r="L51" s="796"/>
      <c r="M51" s="869"/>
      <c r="N51" s="826"/>
      <c r="O51" s="2725"/>
    </row>
    <row r="52" spans="1:15" ht="20.100000000000001" customHeight="1">
      <c r="A52" s="2312"/>
      <c r="B52" s="2312"/>
      <c r="C52" s="2274"/>
      <c r="D52" s="799"/>
      <c r="E52" s="815" t="s">
        <v>406</v>
      </c>
      <c r="F52" s="425" t="s">
        <v>1171</v>
      </c>
      <c r="G52" s="426"/>
      <c r="H52" s="384"/>
      <c r="I52" s="799"/>
      <c r="J52" s="799"/>
      <c r="K52" s="799"/>
      <c r="L52" s="799"/>
      <c r="M52" s="870"/>
      <c r="N52" s="831"/>
      <c r="O52" s="2726"/>
    </row>
    <row r="53" spans="1:15" ht="20.100000000000001" customHeight="1">
      <c r="A53" s="2312"/>
      <c r="B53" s="2312"/>
      <c r="C53" s="2102" t="s">
        <v>78</v>
      </c>
      <c r="D53" s="797"/>
      <c r="E53" s="832" t="s">
        <v>72</v>
      </c>
      <c r="F53" s="497" t="s">
        <v>81</v>
      </c>
      <c r="G53" s="789"/>
      <c r="H53" s="833"/>
      <c r="I53" s="797"/>
      <c r="J53" s="797"/>
      <c r="K53" s="797"/>
      <c r="L53" s="797"/>
      <c r="M53" s="825"/>
      <c r="N53" s="2731" t="s">
        <v>1052</v>
      </c>
      <c r="O53" s="2734" t="e">
        <f>HYPERLINK(VLOOKUP(#REF!,LINK,2,FALSE),VLOOKUP(#REF!,LINK,3,FALSE))</f>
        <v>#REF!</v>
      </c>
    </row>
    <row r="54" spans="1:15" ht="20.100000000000001" customHeight="1">
      <c r="A54" s="2312"/>
      <c r="B54" s="2312"/>
      <c r="C54" s="2312"/>
      <c r="D54" s="796"/>
      <c r="E54" s="814" t="s">
        <v>73</v>
      </c>
      <c r="F54" s="345" t="s">
        <v>83</v>
      </c>
      <c r="G54" s="346"/>
      <c r="H54" s="502"/>
      <c r="I54" s="796"/>
      <c r="J54" s="796"/>
      <c r="K54" s="796"/>
      <c r="L54" s="796"/>
      <c r="M54" s="826"/>
      <c r="N54" s="2732"/>
      <c r="O54" s="2725"/>
    </row>
    <row r="55" spans="1:15" ht="20.100000000000001" customHeight="1">
      <c r="A55" s="2312"/>
      <c r="B55" s="2312"/>
      <c r="C55" s="2312"/>
      <c r="D55" s="796"/>
      <c r="E55" s="814" t="s">
        <v>74</v>
      </c>
      <c r="F55" s="345" t="s">
        <v>229</v>
      </c>
      <c r="G55" s="346"/>
      <c r="H55" s="502"/>
      <c r="I55" s="796"/>
      <c r="J55" s="796"/>
      <c r="K55" s="796"/>
      <c r="L55" s="796"/>
      <c r="M55" s="826"/>
      <c r="N55" s="2732"/>
      <c r="O55" s="2725"/>
    </row>
    <row r="56" spans="1:15" ht="20.100000000000001" customHeight="1">
      <c r="A56" s="2312"/>
      <c r="B56" s="2312"/>
      <c r="C56" s="2312"/>
      <c r="D56" s="796"/>
      <c r="E56" s="814" t="s">
        <v>79</v>
      </c>
      <c r="F56" s="345" t="s">
        <v>230</v>
      </c>
      <c r="G56" s="346"/>
      <c r="H56" s="502"/>
      <c r="I56" s="796"/>
      <c r="J56" s="796"/>
      <c r="K56" s="796"/>
      <c r="L56" s="796"/>
      <c r="M56" s="826"/>
      <c r="N56" s="2732"/>
      <c r="O56" s="2725"/>
    </row>
    <row r="57" spans="1:15" ht="20.100000000000001" customHeight="1">
      <c r="A57" s="2313"/>
      <c r="B57" s="2313"/>
      <c r="C57" s="2313"/>
      <c r="D57" s="799"/>
      <c r="E57" s="176" t="s">
        <v>75</v>
      </c>
      <c r="F57" s="491" t="s">
        <v>1173</v>
      </c>
      <c r="G57" s="492"/>
      <c r="H57" s="504"/>
      <c r="I57" s="799"/>
      <c r="J57" s="799"/>
      <c r="K57" s="799"/>
      <c r="L57" s="799"/>
      <c r="M57" s="829"/>
      <c r="N57" s="2733"/>
      <c r="O57" s="2726"/>
    </row>
    <row r="58" spans="1:15" ht="20.100000000000001" customHeight="1">
      <c r="A58" s="1088">
        <v>3491</v>
      </c>
      <c r="B58" s="2068" t="s">
        <v>1181</v>
      </c>
      <c r="C58" s="2069"/>
      <c r="D58" s="806"/>
      <c r="E58" s="820" t="s">
        <v>1182</v>
      </c>
      <c r="F58" s="2722" t="s">
        <v>1183</v>
      </c>
      <c r="G58" s="2723"/>
      <c r="H58" s="2724"/>
      <c r="I58" s="806"/>
      <c r="J58" s="806"/>
      <c r="K58" s="806"/>
      <c r="L58" s="806"/>
      <c r="M58" s="830" t="s">
        <v>1184</v>
      </c>
      <c r="N58" s="807"/>
      <c r="O58" s="802"/>
    </row>
    <row r="59" spans="1:15" ht="20.100000000000001" customHeight="1">
      <c r="A59" s="1083">
        <v>3191</v>
      </c>
      <c r="B59" s="1985" t="s">
        <v>1175</v>
      </c>
      <c r="C59" s="1986"/>
      <c r="D59" s="787"/>
      <c r="E59" s="2727" t="s">
        <v>1154</v>
      </c>
      <c r="F59" s="2727"/>
      <c r="G59" s="2727"/>
      <c r="H59" s="2727"/>
      <c r="I59" s="788"/>
      <c r="J59" s="788"/>
      <c r="K59" s="788"/>
      <c r="L59" s="788"/>
      <c r="M59" s="828"/>
      <c r="N59" s="827"/>
      <c r="O59" s="800"/>
    </row>
    <row r="60" spans="1:15" ht="20.100000000000001" customHeight="1">
      <c r="A60" s="2234" t="s">
        <v>1177</v>
      </c>
      <c r="B60" s="1987" t="s">
        <v>1178</v>
      </c>
      <c r="C60" s="1988"/>
      <c r="D60" s="801"/>
      <c r="E60" s="821" t="s">
        <v>1176</v>
      </c>
      <c r="F60" s="803" t="s">
        <v>1179</v>
      </c>
      <c r="G60" s="804"/>
      <c r="H60" s="501" t="s">
        <v>1180</v>
      </c>
      <c r="I60" s="801"/>
      <c r="J60" s="801"/>
      <c r="K60" s="801"/>
      <c r="L60" s="801"/>
      <c r="M60" s="824"/>
      <c r="N60" s="2759"/>
      <c r="O60" s="2697" t="e">
        <f>HYPERLINK(VLOOKUP(F60,LINK,2,FALSE),VLOOKUP(F60,LINK,3,FALSE))</f>
        <v>#N/A</v>
      </c>
    </row>
    <row r="61" spans="1:15" ht="20.100000000000001" customHeight="1">
      <c r="A61" s="2596"/>
      <c r="B61" s="1989"/>
      <c r="C61" s="1990"/>
      <c r="D61" s="806"/>
      <c r="E61" s="851" t="s">
        <v>1195</v>
      </c>
      <c r="F61" s="852" t="s">
        <v>1191</v>
      </c>
      <c r="G61" s="853"/>
      <c r="H61" s="854" t="s">
        <v>1192</v>
      </c>
      <c r="I61" s="806"/>
      <c r="J61" s="806"/>
      <c r="K61" s="806"/>
      <c r="L61" s="806"/>
      <c r="M61" s="848"/>
      <c r="N61" s="2760"/>
      <c r="O61" s="2697"/>
    </row>
    <row r="62" spans="1:15" ht="20.100000000000001" customHeight="1">
      <c r="A62" s="2647"/>
      <c r="B62" s="1991"/>
      <c r="C62" s="1992"/>
      <c r="D62" s="799"/>
      <c r="E62" s="822" t="s">
        <v>1193</v>
      </c>
      <c r="F62" s="737" t="s">
        <v>1194</v>
      </c>
      <c r="G62" s="738"/>
      <c r="H62" s="504"/>
      <c r="I62" s="799"/>
      <c r="J62" s="799"/>
      <c r="K62" s="799"/>
      <c r="L62" s="799"/>
      <c r="M62" s="831"/>
      <c r="N62" s="2761"/>
      <c r="O62" s="2698"/>
    </row>
    <row r="63" spans="1:15" s="1196" customFormat="1" ht="20.100000000000001" customHeight="1">
      <c r="A63" s="1195"/>
      <c r="B63" s="2756" t="s">
        <v>167</v>
      </c>
      <c r="C63" s="2756"/>
      <c r="D63" s="2756"/>
      <c r="E63" s="2756"/>
      <c r="F63" s="2756"/>
      <c r="G63" s="2756"/>
      <c r="H63" s="2756"/>
      <c r="I63" s="2756"/>
      <c r="J63" s="2756"/>
      <c r="K63" s="2756"/>
      <c r="L63" s="2756"/>
      <c r="M63" s="2756"/>
      <c r="N63" s="2756"/>
    </row>
  </sheetData>
  <mergeCells count="73">
    <mergeCell ref="P15:Q15"/>
    <mergeCell ref="B63:N63"/>
    <mergeCell ref="B7:B13"/>
    <mergeCell ref="C7:C13"/>
    <mergeCell ref="N7:N13"/>
    <mergeCell ref="O7:O13"/>
    <mergeCell ref="M10:M13"/>
    <mergeCell ref="C14:C31"/>
    <mergeCell ref="O14:O31"/>
    <mergeCell ref="N60:N62"/>
    <mergeCell ref="O60:O62"/>
    <mergeCell ref="E23:E24"/>
    <mergeCell ref="E20:E22"/>
    <mergeCell ref="M35:M39"/>
    <mergeCell ref="M41:M43"/>
    <mergeCell ref="O32:O34"/>
    <mergeCell ref="M26:M27"/>
    <mergeCell ref="N28:N29"/>
    <mergeCell ref="M30:M31"/>
    <mergeCell ref="N30:N31"/>
    <mergeCell ref="M20:M22"/>
    <mergeCell ref="N20:N22"/>
    <mergeCell ref="M23:M24"/>
    <mergeCell ref="N23:N24"/>
    <mergeCell ref="N25:N27"/>
    <mergeCell ref="M32:M34"/>
    <mergeCell ref="F58:H58"/>
    <mergeCell ref="O48:O52"/>
    <mergeCell ref="E59:H59"/>
    <mergeCell ref="E40:H40"/>
    <mergeCell ref="O46:O47"/>
    <mergeCell ref="N53:N57"/>
    <mergeCell ref="O53:O57"/>
    <mergeCell ref="O35:O39"/>
    <mergeCell ref="N35:N39"/>
    <mergeCell ref="O41:O43"/>
    <mergeCell ref="N41:N43"/>
    <mergeCell ref="N32:N34"/>
    <mergeCell ref="A2:A3"/>
    <mergeCell ref="B2:E3"/>
    <mergeCell ref="F2:G2"/>
    <mergeCell ref="H2:L2"/>
    <mergeCell ref="F3:G3"/>
    <mergeCell ref="H3:L3"/>
    <mergeCell ref="F6:H6"/>
    <mergeCell ref="A4:A5"/>
    <mergeCell ref="B4:E5"/>
    <mergeCell ref="F4:G4"/>
    <mergeCell ref="H4:L4"/>
    <mergeCell ref="F5:G5"/>
    <mergeCell ref="H5:L5"/>
    <mergeCell ref="A7:A13"/>
    <mergeCell ref="A14:A34"/>
    <mergeCell ref="F14:H14"/>
    <mergeCell ref="D20:D22"/>
    <mergeCell ref="D23:D24"/>
    <mergeCell ref="C32:C34"/>
    <mergeCell ref="B14:B34"/>
    <mergeCell ref="D26:D27"/>
    <mergeCell ref="E26:E27"/>
    <mergeCell ref="A35:A39"/>
    <mergeCell ref="A41:A45"/>
    <mergeCell ref="A46:A57"/>
    <mergeCell ref="A60:A62"/>
    <mergeCell ref="B35:C39"/>
    <mergeCell ref="B41:C45"/>
    <mergeCell ref="B58:C58"/>
    <mergeCell ref="B60:C62"/>
    <mergeCell ref="B59:C59"/>
    <mergeCell ref="B40:C40"/>
    <mergeCell ref="B46:B57"/>
    <mergeCell ref="C53:C57"/>
    <mergeCell ref="C46:C52"/>
  </mergeCells>
  <phoneticPr fontId="14"/>
  <conditionalFormatting sqref="F41:H45 E46:H52 E32:H34 P15:Q15">
    <cfRule type="expression" priority="401" stopIfTrue="1">
      <formula>$L15="COMP"</formula>
    </cfRule>
    <cfRule type="expression" dxfId="59" priority="402" stopIfTrue="1">
      <formula>$L15=""</formula>
    </cfRule>
    <cfRule type="expression" priority="403" stopIfTrue="1">
      <formula>$L15="-"</formula>
    </cfRule>
    <cfRule type="expression" dxfId="58" priority="404" stopIfTrue="1">
      <formula>$L15=0</formula>
    </cfRule>
    <cfRule type="expression" dxfId="57" priority="405" stopIfTrue="1">
      <formula>$L15&lt;&gt;""</formula>
    </cfRule>
  </conditionalFormatting>
  <conditionalFormatting sqref="E15 E28:H29">
    <cfRule type="expression" priority="6" stopIfTrue="1">
      <formula>$K15="COMP"</formula>
    </cfRule>
    <cfRule type="expression" dxfId="56" priority="7" stopIfTrue="1">
      <formula>$K15=""</formula>
    </cfRule>
    <cfRule type="expression" priority="8" stopIfTrue="1">
      <formula>$K15="-"</formula>
    </cfRule>
    <cfRule type="expression" dxfId="55" priority="9" stopIfTrue="1">
      <formula>$K15=0</formula>
    </cfRule>
    <cfRule type="expression" dxfId="54" priority="10" stopIfTrue="1">
      <formula>$K15&lt;&gt;""</formula>
    </cfRule>
  </conditionalFormatting>
  <conditionalFormatting sqref="E14:F14">
    <cfRule type="expression" priority="16" stopIfTrue="1">
      <formula>$K14="COMP"</formula>
    </cfRule>
    <cfRule type="expression" dxfId="53" priority="17" stopIfTrue="1">
      <formula>$K14=""</formula>
    </cfRule>
    <cfRule type="expression" priority="18" stopIfTrue="1">
      <formula>$K14="-"</formula>
    </cfRule>
    <cfRule type="expression" dxfId="52" priority="19" stopIfTrue="1">
      <formula>$K14=0</formula>
    </cfRule>
    <cfRule type="expression" dxfId="51" priority="20" stopIfTrue="1">
      <formula>$K14&lt;&gt;""</formula>
    </cfRule>
  </conditionalFormatting>
  <conditionalFormatting sqref="E14:F14">
    <cfRule type="expression" priority="11" stopIfTrue="1">
      <formula>$K14="COMP"</formula>
    </cfRule>
    <cfRule type="expression" dxfId="50" priority="12" stopIfTrue="1">
      <formula>$K14=""</formula>
    </cfRule>
    <cfRule type="expression" priority="13" stopIfTrue="1">
      <formula>$K14="-"</formula>
    </cfRule>
    <cfRule type="expression" dxfId="49" priority="14" stopIfTrue="1">
      <formula>$K14=0</formula>
    </cfRule>
    <cfRule type="expression" dxfId="48" priority="15" stopIfTrue="1">
      <formula>$K14&lt;&gt;""</formula>
    </cfRule>
  </conditionalFormatting>
  <conditionalFormatting sqref="F15">
    <cfRule type="expression" priority="26" stopIfTrue="1">
      <formula>$K15="COMP"</formula>
    </cfRule>
    <cfRule type="expression" dxfId="47" priority="27" stopIfTrue="1">
      <formula>$K15=""</formula>
    </cfRule>
    <cfRule type="expression" priority="28" stopIfTrue="1">
      <formula>$K15="-"</formula>
    </cfRule>
    <cfRule type="expression" dxfId="46" priority="29" stopIfTrue="1">
      <formula>$K15=0</formula>
    </cfRule>
    <cfRule type="expression" dxfId="45" priority="30" stopIfTrue="1">
      <formula>$K15&lt;&gt;""</formula>
    </cfRule>
  </conditionalFormatting>
  <conditionalFormatting sqref="F15">
    <cfRule type="expression" priority="21" stopIfTrue="1">
      <formula>$K15="COMP"</formula>
    </cfRule>
    <cfRule type="expression" dxfId="44" priority="22" stopIfTrue="1">
      <formula>$K15=""</formula>
    </cfRule>
    <cfRule type="expression" priority="23" stopIfTrue="1">
      <formula>$K15="-"</formula>
    </cfRule>
    <cfRule type="expression" dxfId="43" priority="24" stopIfTrue="1">
      <formula>$K15=0</formula>
    </cfRule>
    <cfRule type="expression" dxfId="42" priority="25" stopIfTrue="1">
      <formula>$K15&lt;&gt;""</formula>
    </cfRule>
  </conditionalFormatting>
  <conditionalFormatting sqref="M28:M29">
    <cfRule type="expression" priority="36" stopIfTrue="1">
      <formula>$K28="COMP"</formula>
    </cfRule>
    <cfRule type="expression" dxfId="41" priority="37" stopIfTrue="1">
      <formula>$K28=""</formula>
    </cfRule>
    <cfRule type="expression" priority="38" stopIfTrue="1">
      <formula>$K28="-"</formula>
    </cfRule>
    <cfRule type="expression" dxfId="40" priority="39" stopIfTrue="1">
      <formula>$K28=0</formula>
    </cfRule>
    <cfRule type="expression" dxfId="39" priority="40" stopIfTrue="1">
      <formula>$K28&lt;&gt;""</formula>
    </cfRule>
  </conditionalFormatting>
  <conditionalFormatting sqref="E30:H31">
    <cfRule type="expression" priority="66" stopIfTrue="1">
      <formula>$K30="COMP"</formula>
    </cfRule>
    <cfRule type="expression" dxfId="38" priority="67" stopIfTrue="1">
      <formula>$K30=""</formula>
    </cfRule>
    <cfRule type="expression" priority="68" stopIfTrue="1">
      <formula>$K30="-"</formula>
    </cfRule>
    <cfRule type="expression" dxfId="37" priority="69" stopIfTrue="1">
      <formula>$K30=0</formula>
    </cfRule>
    <cfRule type="expression" dxfId="36" priority="70" stopIfTrue="1">
      <formula>$K30&lt;&gt;""</formula>
    </cfRule>
  </conditionalFormatting>
  <conditionalFormatting sqref="E26:H26 F27:H27">
    <cfRule type="expression" priority="61" stopIfTrue="1">
      <formula>$K26="COMP"</formula>
    </cfRule>
    <cfRule type="expression" dxfId="35" priority="62" stopIfTrue="1">
      <formula>$K26=""</formula>
    </cfRule>
    <cfRule type="expression" priority="63" stopIfTrue="1">
      <formula>$K26="-"</formula>
    </cfRule>
    <cfRule type="expression" dxfId="34" priority="64" stopIfTrue="1">
      <formula>$K26=0</formula>
    </cfRule>
    <cfRule type="expression" dxfId="33" priority="65" stopIfTrue="1">
      <formula>$K26&lt;&gt;""</formula>
    </cfRule>
  </conditionalFormatting>
  <conditionalFormatting sqref="E15">
    <cfRule type="expression" priority="1" stopIfTrue="1">
      <formula>$K15="COMP"</formula>
    </cfRule>
    <cfRule type="expression" dxfId="32" priority="2" stopIfTrue="1">
      <formula>$K15=""</formula>
    </cfRule>
    <cfRule type="expression" priority="3" stopIfTrue="1">
      <formula>$K15="-"</formula>
    </cfRule>
    <cfRule type="expression" dxfId="31" priority="4" stopIfTrue="1">
      <formula>$K15=0</formula>
    </cfRule>
    <cfRule type="expression" dxfId="30" priority="5" stopIfTrue="1">
      <formula>$K15&lt;&gt;""</formula>
    </cfRule>
  </conditionalFormatting>
  <conditionalFormatting sqref="E16:H25">
    <cfRule type="expression" priority="91" stopIfTrue="1">
      <formula>$K16="COMP"</formula>
    </cfRule>
    <cfRule type="expression" dxfId="29" priority="92" stopIfTrue="1">
      <formula>$K16=""</formula>
    </cfRule>
    <cfRule type="expression" priority="93" stopIfTrue="1">
      <formula>$K16="-"</formula>
    </cfRule>
    <cfRule type="expression" dxfId="28" priority="94" stopIfTrue="1">
      <formula>$K16=0</formula>
    </cfRule>
    <cfRule type="expression" dxfId="27" priority="95" stopIfTrue="1">
      <formula>$K16&lt;&gt;""</formula>
    </cfRule>
  </conditionalFormatting>
  <conditionalFormatting sqref="E16:F17">
    <cfRule type="expression" priority="56" stopIfTrue="1">
      <formula>$K16="COMP"</formula>
    </cfRule>
    <cfRule type="expression" dxfId="26" priority="57" stopIfTrue="1">
      <formula>$K16=""</formula>
    </cfRule>
    <cfRule type="expression" priority="58" stopIfTrue="1">
      <formula>$K16="-"</formula>
    </cfRule>
    <cfRule type="expression" dxfId="25" priority="59" stopIfTrue="1">
      <formula>$K16=0</formula>
    </cfRule>
    <cfRule type="expression" dxfId="24" priority="60" stopIfTrue="1">
      <formula>$K16&lt;&gt;""</formula>
    </cfRule>
  </conditionalFormatting>
  <conditionalFormatting sqref="E28:H28">
    <cfRule type="expression" priority="51" stopIfTrue="1">
      <formula>$K25="COMP"</formula>
    </cfRule>
    <cfRule type="expression" dxfId="23" priority="52" stopIfTrue="1">
      <formula>$K25=""</formula>
    </cfRule>
    <cfRule type="expression" priority="53" stopIfTrue="1">
      <formula>$K25="-"</formula>
    </cfRule>
    <cfRule type="expression" dxfId="22" priority="54" stopIfTrue="1">
      <formula>$K25=0</formula>
    </cfRule>
    <cfRule type="expression" dxfId="21" priority="55" stopIfTrue="1">
      <formula>$K25&lt;&gt;""</formula>
    </cfRule>
  </conditionalFormatting>
  <conditionalFormatting sqref="F27:H27">
    <cfRule type="expression" priority="71" stopIfTrue="1">
      <formula>$K30="COMP"</formula>
    </cfRule>
    <cfRule type="expression" dxfId="20" priority="72" stopIfTrue="1">
      <formula>$K30=""</formula>
    </cfRule>
    <cfRule type="expression" priority="73" stopIfTrue="1">
      <formula>$K30="-"</formula>
    </cfRule>
    <cfRule type="expression" dxfId="19" priority="74" stopIfTrue="1">
      <formula>$K30=0</formula>
    </cfRule>
    <cfRule type="expression" dxfId="18" priority="75" stopIfTrue="1">
      <formula>$K30&lt;&gt;""</formula>
    </cfRule>
  </conditionalFormatting>
  <conditionalFormatting sqref="M28">
    <cfRule type="expression" priority="31" stopIfTrue="1">
      <formula>$K25="COMP"</formula>
    </cfRule>
    <cfRule type="expression" dxfId="17" priority="32" stopIfTrue="1">
      <formula>$K25=""</formula>
    </cfRule>
    <cfRule type="expression" priority="33" stopIfTrue="1">
      <formula>$K25="-"</formula>
    </cfRule>
    <cfRule type="expression" dxfId="16" priority="34" stopIfTrue="1">
      <formula>$K25=0</formula>
    </cfRule>
    <cfRule type="expression" dxfId="15" priority="35" stopIfTrue="1">
      <formula>$K25&lt;&gt;""</formula>
    </cfRule>
  </conditionalFormatting>
  <conditionalFormatting sqref="E25:H25">
    <cfRule type="expression" priority="46" stopIfTrue="1">
      <formula>$K26="COMP"</formula>
    </cfRule>
    <cfRule type="expression" dxfId="14" priority="47" stopIfTrue="1">
      <formula>$K26=""</formula>
    </cfRule>
    <cfRule type="expression" priority="48" stopIfTrue="1">
      <formula>$K26="-"</formula>
    </cfRule>
    <cfRule type="expression" dxfId="13" priority="49" stopIfTrue="1">
      <formula>$K26=0</formula>
    </cfRule>
    <cfRule type="expression" dxfId="12" priority="50" stopIfTrue="1">
      <formula>$K26&lt;&gt;""</formula>
    </cfRule>
  </conditionalFormatting>
  <conditionalFormatting sqref="E26:H26">
    <cfRule type="expression" priority="76" stopIfTrue="1">
      <formula>$K29="COMP"</formula>
    </cfRule>
    <cfRule type="expression" dxfId="11" priority="77" stopIfTrue="1">
      <formula>$K29=""</formula>
    </cfRule>
    <cfRule type="expression" priority="78" stopIfTrue="1">
      <formula>$K29="-"</formula>
    </cfRule>
    <cfRule type="expression" dxfId="10" priority="79" stopIfTrue="1">
      <formula>$K29=0</formula>
    </cfRule>
    <cfRule type="expression" dxfId="9" priority="80" stopIfTrue="1">
      <formula>$K29&lt;&gt;""</formula>
    </cfRule>
  </conditionalFormatting>
  <conditionalFormatting sqref="E29:H29">
    <cfRule type="expression" priority="81" stopIfTrue="1">
      <formula>$K18="COMP"</formula>
    </cfRule>
    <cfRule type="expression" dxfId="8" priority="82" stopIfTrue="1">
      <formula>$K18=""</formula>
    </cfRule>
    <cfRule type="expression" priority="83" stopIfTrue="1">
      <formula>$K18="-"</formula>
    </cfRule>
    <cfRule type="expression" dxfId="7" priority="84" stopIfTrue="1">
      <formula>$K18=0</formula>
    </cfRule>
    <cfRule type="expression" dxfId="6" priority="85" stopIfTrue="1">
      <formula>$K18&lt;&gt;""</formula>
    </cfRule>
  </conditionalFormatting>
  <conditionalFormatting sqref="E18:H18">
    <cfRule type="expression" priority="86" stopIfTrue="1">
      <formula>$K28="COMP"</formula>
    </cfRule>
    <cfRule type="expression" dxfId="5" priority="87" stopIfTrue="1">
      <formula>$K28=""</formula>
    </cfRule>
    <cfRule type="expression" priority="88" stopIfTrue="1">
      <formula>$K28="-"</formula>
    </cfRule>
    <cfRule type="expression" dxfId="4" priority="89" stopIfTrue="1">
      <formula>$K28=0</formula>
    </cfRule>
    <cfRule type="expression" dxfId="3" priority="90" stopIfTrue="1">
      <formula>$K28&lt;&gt;""</formula>
    </cfRule>
  </conditionalFormatting>
  <conditionalFormatting sqref="M29">
    <cfRule type="expression" priority="41" stopIfTrue="1">
      <formula>$K18="COMP"</formula>
    </cfRule>
    <cfRule type="expression" dxfId="2" priority="42" stopIfTrue="1">
      <formula>$K18=""</formula>
    </cfRule>
    <cfRule type="expression" priority="43" stopIfTrue="1">
      <formula>$K18="-"</formula>
    </cfRule>
    <cfRule type="expression" dxfId="1" priority="44" stopIfTrue="1">
      <formula>$K18=0</formula>
    </cfRule>
    <cfRule type="expression" dxfId="0" priority="45" stopIfTrue="1">
      <formula>$K18&lt;&gt;""</formula>
    </cfRule>
  </conditionalFormatting>
  <hyperlinks>
    <hyperlink ref="A1:O1" location="TEMPLATE!A1" display="BALL入りRD"/>
    <hyperlink ref="O7:O13" r:id="rId1" display="E"/>
    <hyperlink ref="N53:N57" r:id="rId2" display="(資料)kzw-Thai加工等問い合わせ回答\20181226_【内研加工限界】\内研加工限界.pdf"/>
  </hyperlinks>
  <pageMargins left="0.23622047244094491" right="0.23622047244094491" top="0" bottom="0" header="0.31496062992125984" footer="0.31496062992125984"/>
  <pageSetup paperSize="9" scale="41" orientation="landscape"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464"/>
    <pageSetUpPr fitToPage="1"/>
  </sheetPr>
  <dimension ref="A1:O43"/>
  <sheetViews>
    <sheetView showGridLines="0" view="pageBreakPreview" topLeftCell="A7" zoomScaleNormal="100" zoomScaleSheetLayoutView="100" workbookViewId="0"/>
  </sheetViews>
  <sheetFormatPr defaultRowHeight="13.8"/>
  <cols>
    <col min="1" max="1" width="9.5" bestFit="1" customWidth="1"/>
    <col min="2" max="2" width="25.19921875" customWidth="1"/>
    <col min="3" max="3" width="18.3984375" customWidth="1"/>
    <col min="4" max="4" width="5.59765625" customWidth="1"/>
    <col min="5" max="5" width="31.09765625" bestFit="1" customWidth="1"/>
    <col min="6" max="6" width="11.69921875" bestFit="1" customWidth="1"/>
    <col min="7" max="7" width="6.5" bestFit="1" customWidth="1"/>
    <col min="8" max="12" width="5.59765625" customWidth="1"/>
    <col min="13" max="13" width="42.8984375" bestFit="1" customWidth="1"/>
    <col min="14" max="14" width="8.5" bestFit="1" customWidth="1"/>
    <col min="15" max="15" width="6.69921875" bestFit="1" customWidth="1"/>
  </cols>
  <sheetData>
    <row r="1" spans="1:15" ht="14.4" thickBot="1">
      <c r="A1" s="1202" t="s">
        <v>1072</v>
      </c>
      <c r="B1" s="1202"/>
      <c r="C1" s="1202"/>
      <c r="D1" s="1202"/>
      <c r="E1" s="1202"/>
      <c r="F1" s="1202"/>
      <c r="G1" s="1202"/>
      <c r="H1" s="1202"/>
      <c r="I1" s="1202"/>
      <c r="J1" s="1202"/>
      <c r="K1" s="1202"/>
      <c r="L1" s="1202"/>
      <c r="M1" s="1202"/>
      <c r="N1" s="1202"/>
      <c r="O1" s="1202"/>
    </row>
    <row r="2" spans="1:15" ht="48.6" customHeight="1">
      <c r="A2" s="2770" t="s">
        <v>977</v>
      </c>
      <c r="B2" s="687" t="s">
        <v>6</v>
      </c>
      <c r="C2" s="1199" t="s">
        <v>70</v>
      </c>
      <c r="D2" s="699" t="s">
        <v>0</v>
      </c>
      <c r="E2" s="688" t="s">
        <v>487</v>
      </c>
      <c r="F2" s="2776" t="s">
        <v>1</v>
      </c>
      <c r="G2" s="2777"/>
      <c r="H2" s="2778"/>
      <c r="I2" s="689" t="s">
        <v>66</v>
      </c>
      <c r="J2" s="689"/>
      <c r="K2" s="690" t="s">
        <v>2</v>
      </c>
      <c r="L2" s="689" t="s">
        <v>1075</v>
      </c>
      <c r="M2" s="690" t="s">
        <v>67</v>
      </c>
      <c r="N2" s="1197"/>
      <c r="O2" s="691" t="s">
        <v>873</v>
      </c>
    </row>
    <row r="3" spans="1:15" ht="20.100000000000001" customHeight="1">
      <c r="A3" s="2771"/>
      <c r="B3" s="2780" t="s">
        <v>899</v>
      </c>
      <c r="C3" s="2361" t="s">
        <v>979</v>
      </c>
      <c r="D3" s="1203"/>
      <c r="E3" s="659" t="s">
        <v>900</v>
      </c>
      <c r="F3" s="342" t="s">
        <v>901</v>
      </c>
      <c r="G3" s="343"/>
      <c r="H3" s="344"/>
      <c r="I3" s="805"/>
      <c r="J3" s="805"/>
      <c r="K3" s="805"/>
      <c r="L3" s="805"/>
      <c r="M3" s="188" t="s">
        <v>981</v>
      </c>
      <c r="N3" s="631"/>
      <c r="O3" s="692"/>
    </row>
    <row r="4" spans="1:15" ht="20.100000000000001" customHeight="1">
      <c r="A4" s="2771"/>
      <c r="B4" s="2780"/>
      <c r="C4" s="2362"/>
      <c r="D4" s="1204"/>
      <c r="E4" s="660" t="s">
        <v>928</v>
      </c>
      <c r="F4" s="666" t="s">
        <v>929</v>
      </c>
      <c r="G4" s="376"/>
      <c r="H4" s="455"/>
      <c r="I4" s="798"/>
      <c r="J4" s="798"/>
      <c r="K4" s="798"/>
      <c r="L4" s="798"/>
      <c r="M4" s="1079"/>
      <c r="N4" s="637"/>
      <c r="O4" s="2783" t="str">
        <f>HYPERLINK(VLOOKUP(F4,LINK,2,FALSE),VLOOKUP(F4,LINK,3,FALSE))</f>
        <v>EXCEL</v>
      </c>
    </row>
    <row r="5" spans="1:15" ht="20.100000000000001" customHeight="1">
      <c r="A5" s="2771"/>
      <c r="B5" s="2780"/>
      <c r="C5" s="2362"/>
      <c r="D5" s="1204"/>
      <c r="E5" s="661" t="s">
        <v>930</v>
      </c>
      <c r="F5" s="666" t="s">
        <v>931</v>
      </c>
      <c r="G5" s="376"/>
      <c r="H5" s="455"/>
      <c r="I5" s="798"/>
      <c r="J5" s="798"/>
      <c r="K5" s="798"/>
      <c r="L5" s="798"/>
      <c r="M5" s="1079"/>
      <c r="N5" s="637"/>
      <c r="O5" s="2783"/>
    </row>
    <row r="6" spans="1:15" ht="20.100000000000001" customHeight="1">
      <c r="A6" s="2771"/>
      <c r="B6" s="2780"/>
      <c r="C6" s="2362"/>
      <c r="D6" s="1204"/>
      <c r="E6" s="661" t="s">
        <v>932</v>
      </c>
      <c r="F6" s="666" t="s">
        <v>933</v>
      </c>
      <c r="G6" s="376"/>
      <c r="H6" s="455"/>
      <c r="I6" s="798"/>
      <c r="J6" s="798"/>
      <c r="K6" s="798"/>
      <c r="L6" s="798"/>
      <c r="M6" s="1079"/>
      <c r="N6" s="637"/>
      <c r="O6" s="2783"/>
    </row>
    <row r="7" spans="1:15" ht="20.100000000000001" customHeight="1">
      <c r="A7" s="2771"/>
      <c r="B7" s="2780"/>
      <c r="C7" s="2362"/>
      <c r="D7" s="1204"/>
      <c r="E7" s="661" t="s">
        <v>934</v>
      </c>
      <c r="F7" s="666" t="s">
        <v>935</v>
      </c>
      <c r="G7" s="376"/>
      <c r="H7" s="455"/>
      <c r="I7" s="798"/>
      <c r="J7" s="798"/>
      <c r="K7" s="798"/>
      <c r="L7" s="798"/>
      <c r="M7" s="1079"/>
      <c r="N7" s="637"/>
      <c r="O7" s="2783"/>
    </row>
    <row r="8" spans="1:15" ht="20.100000000000001" customHeight="1">
      <c r="A8" s="2771"/>
      <c r="B8" s="2780"/>
      <c r="C8" s="2362"/>
      <c r="D8" s="1205"/>
      <c r="E8" s="661" t="s">
        <v>936</v>
      </c>
      <c r="F8" s="666" t="s">
        <v>937</v>
      </c>
      <c r="G8" s="376"/>
      <c r="H8" s="455"/>
      <c r="I8" s="798"/>
      <c r="J8" s="798"/>
      <c r="K8" s="798"/>
      <c r="L8" s="798"/>
      <c r="M8" s="1079"/>
      <c r="N8" s="637"/>
      <c r="O8" s="2783"/>
    </row>
    <row r="9" spans="1:15" ht="20.100000000000001" customHeight="1">
      <c r="A9" s="2771"/>
      <c r="B9" s="2780"/>
      <c r="C9" s="2362"/>
      <c r="D9" s="1205"/>
      <c r="E9" s="660" t="s">
        <v>938</v>
      </c>
      <c r="F9" s="666" t="s">
        <v>939</v>
      </c>
      <c r="G9" s="376"/>
      <c r="H9" s="455"/>
      <c r="I9" s="798"/>
      <c r="J9" s="798"/>
      <c r="K9" s="798"/>
      <c r="L9" s="798"/>
      <c r="M9" s="1079"/>
      <c r="N9" s="637"/>
      <c r="O9" s="2783"/>
    </row>
    <row r="10" spans="1:15" ht="20.100000000000001" customHeight="1">
      <c r="A10" s="2771"/>
      <c r="B10" s="2780"/>
      <c r="C10" s="2362"/>
      <c r="D10" s="1205"/>
      <c r="E10" s="660" t="s">
        <v>1310</v>
      </c>
      <c r="F10" s="666" t="s">
        <v>940</v>
      </c>
      <c r="G10" s="376"/>
      <c r="H10" s="455"/>
      <c r="I10" s="798"/>
      <c r="J10" s="798"/>
      <c r="K10" s="798"/>
      <c r="L10" s="798"/>
      <c r="M10" s="1079"/>
      <c r="N10" s="637"/>
      <c r="O10" s="2783"/>
    </row>
    <row r="11" spans="1:15" ht="20.100000000000001" customHeight="1">
      <c r="A11" s="2771"/>
      <c r="B11" s="2780"/>
      <c r="C11" s="2362"/>
      <c r="D11" s="1206"/>
      <c r="E11" s="660" t="s">
        <v>1311</v>
      </c>
      <c r="F11" s="666" t="s">
        <v>941</v>
      </c>
      <c r="G11" s="376"/>
      <c r="H11" s="455"/>
      <c r="I11" s="798"/>
      <c r="J11" s="798"/>
      <c r="K11" s="798"/>
      <c r="L11" s="798"/>
      <c r="M11" s="1079"/>
      <c r="N11" s="637"/>
      <c r="O11" s="2783"/>
    </row>
    <row r="12" spans="1:15" ht="20.100000000000001" customHeight="1">
      <c r="A12" s="2771"/>
      <c r="B12" s="2780"/>
      <c r="C12" s="2362"/>
      <c r="D12" s="1207"/>
      <c r="E12" s="450" t="s">
        <v>942</v>
      </c>
      <c r="F12" s="666" t="s">
        <v>943</v>
      </c>
      <c r="G12" s="376"/>
      <c r="H12" s="455"/>
      <c r="I12" s="798"/>
      <c r="J12" s="798"/>
      <c r="K12" s="798"/>
      <c r="L12" s="798"/>
      <c r="M12" s="1079"/>
      <c r="N12" s="637"/>
      <c r="O12" s="2783"/>
    </row>
    <row r="13" spans="1:15" ht="20.100000000000001" customHeight="1" thickBot="1">
      <c r="A13" s="2772"/>
      <c r="B13" s="2781"/>
      <c r="C13" s="2782"/>
      <c r="D13" s="1208"/>
      <c r="E13" s="694" t="s">
        <v>944</v>
      </c>
      <c r="F13" s="695" t="s">
        <v>945</v>
      </c>
      <c r="G13" s="696"/>
      <c r="H13" s="697"/>
      <c r="I13" s="1208"/>
      <c r="J13" s="1208"/>
      <c r="K13" s="1208"/>
      <c r="L13" s="1208"/>
      <c r="M13" s="693"/>
      <c r="N13" s="1198"/>
      <c r="O13" s="2784"/>
    </row>
    <row r="14" spans="1:15" ht="20.100000000000001" customHeight="1">
      <c r="B14" s="2785" t="s">
        <v>976</v>
      </c>
      <c r="C14" s="2785"/>
      <c r="D14" s="2785"/>
      <c r="E14" s="2785"/>
      <c r="F14" s="2785"/>
      <c r="G14" s="2785"/>
      <c r="H14" s="2785"/>
      <c r="I14" s="2785"/>
      <c r="J14" s="2785"/>
      <c r="K14" s="2785"/>
      <c r="L14" s="2785"/>
      <c r="M14" s="2785"/>
      <c r="N14" s="2785"/>
      <c r="O14" s="2785"/>
    </row>
    <row r="15" spans="1:15" ht="20.100000000000001" customHeight="1">
      <c r="B15" s="2779" t="s">
        <v>978</v>
      </c>
      <c r="C15" s="2779"/>
      <c r="D15" s="2779"/>
      <c r="E15" s="2779"/>
      <c r="F15" s="2779"/>
      <c r="G15" s="2779"/>
      <c r="H15" s="2779"/>
      <c r="I15" s="2779"/>
      <c r="J15" s="2779"/>
      <c r="K15" s="2779"/>
      <c r="L15" s="2779"/>
      <c r="M15" s="2779"/>
      <c r="N15" s="2779"/>
      <c r="O15" s="2779"/>
    </row>
    <row r="16" spans="1:15" ht="20.100000000000001" customHeight="1">
      <c r="A16" s="685"/>
      <c r="B16" s="685"/>
      <c r="C16" s="685"/>
      <c r="D16" s="685"/>
      <c r="E16" s="685"/>
      <c r="F16" s="685"/>
      <c r="G16" s="685"/>
      <c r="H16" s="685"/>
      <c r="I16" s="685"/>
      <c r="J16" s="685"/>
      <c r="K16" s="685"/>
      <c r="L16" s="685"/>
      <c r="M16" s="685"/>
      <c r="N16" s="1186"/>
      <c r="O16" s="686"/>
    </row>
    <row r="17" spans="1:15" ht="30" customHeight="1">
      <c r="A17" s="2396" t="s">
        <v>5</v>
      </c>
      <c r="B17" s="1993"/>
      <c r="C17" s="1993"/>
      <c r="D17" s="1993"/>
      <c r="E17" s="1993"/>
      <c r="F17" s="2093" t="s">
        <v>268</v>
      </c>
      <c r="G17" s="2094"/>
      <c r="H17" s="2089"/>
      <c r="I17" s="2090"/>
      <c r="J17" s="2090"/>
      <c r="K17" s="2090"/>
      <c r="L17" s="2090"/>
      <c r="M17" s="837" t="s">
        <v>1187</v>
      </c>
      <c r="N17" s="904"/>
      <c r="O17" s="920"/>
    </row>
    <row r="18" spans="1:15" ht="30" customHeight="1">
      <c r="A18" s="2396"/>
      <c r="B18" s="1993"/>
      <c r="C18" s="1993"/>
      <c r="D18" s="1993"/>
      <c r="E18" s="1993"/>
      <c r="F18" s="2006" t="s">
        <v>1249</v>
      </c>
      <c r="G18" s="2006"/>
      <c r="H18" s="2089"/>
      <c r="I18" s="2090"/>
      <c r="J18" s="2090"/>
      <c r="K18" s="2090"/>
      <c r="L18" s="2090"/>
      <c r="M18" s="1099"/>
      <c r="N18" s="35"/>
      <c r="O18" s="921"/>
    </row>
    <row r="19" spans="1:15" ht="30" customHeight="1">
      <c r="A19" s="2396" t="s">
        <v>38</v>
      </c>
      <c r="B19" s="1993"/>
      <c r="C19" s="1993"/>
      <c r="D19" s="1993"/>
      <c r="E19" s="1993"/>
      <c r="F19" s="2007" t="s">
        <v>1250</v>
      </c>
      <c r="G19" s="2007"/>
      <c r="H19" s="2089"/>
      <c r="I19" s="2090"/>
      <c r="J19" s="2090"/>
      <c r="K19" s="2090"/>
      <c r="L19" s="2090"/>
      <c r="M19" s="1099"/>
      <c r="N19" s="35"/>
      <c r="O19" s="921"/>
    </row>
    <row r="20" spans="1:15" ht="30" customHeight="1">
      <c r="A20" s="2396"/>
      <c r="B20" s="1993"/>
      <c r="C20" s="1993"/>
      <c r="D20" s="1993"/>
      <c r="E20" s="1993"/>
      <c r="F20" s="2008" t="s">
        <v>269</v>
      </c>
      <c r="G20" s="2008"/>
      <c r="H20" s="2674"/>
      <c r="I20" s="2675"/>
      <c r="J20" s="2675"/>
      <c r="K20" s="2675"/>
      <c r="L20" s="2675"/>
      <c r="M20" s="1100"/>
      <c r="N20" s="905"/>
      <c r="O20" s="922"/>
    </row>
    <row r="21" spans="1:15" ht="60" customHeight="1">
      <c r="A21" s="1107" t="s">
        <v>1227</v>
      </c>
      <c r="B21" s="1069" t="s">
        <v>6</v>
      </c>
      <c r="C21" s="1069" t="s">
        <v>168</v>
      </c>
      <c r="D21" s="1037" t="s">
        <v>1251</v>
      </c>
      <c r="E21" s="82" t="s">
        <v>64</v>
      </c>
      <c r="F21" s="2001" t="s">
        <v>1</v>
      </c>
      <c r="G21" s="2002"/>
      <c r="H21" s="2003"/>
      <c r="I21" s="1038" t="s">
        <v>66</v>
      </c>
      <c r="J21" s="1038" t="s">
        <v>1247</v>
      </c>
      <c r="K21" s="1039" t="s">
        <v>1248</v>
      </c>
      <c r="L21" s="1040" t="s">
        <v>2</v>
      </c>
      <c r="M21" s="1069" t="s">
        <v>1256</v>
      </c>
      <c r="N21" s="1069" t="s">
        <v>1257</v>
      </c>
      <c r="O21" s="1140" t="s">
        <v>183</v>
      </c>
    </row>
    <row r="22" spans="1:15" ht="20.100000000000001" customHeight="1">
      <c r="A22" s="2786"/>
      <c r="B22" s="2432" t="s">
        <v>899</v>
      </c>
      <c r="C22" s="2361" t="s">
        <v>980</v>
      </c>
      <c r="D22" s="387"/>
      <c r="E22" s="388" t="s">
        <v>900</v>
      </c>
      <c r="F22" s="342" t="s">
        <v>901</v>
      </c>
      <c r="G22" s="343"/>
      <c r="H22" s="344"/>
      <c r="I22" s="371"/>
      <c r="J22" s="372"/>
      <c r="K22" s="372"/>
      <c r="L22" s="372"/>
      <c r="M22" s="433" t="s">
        <v>902</v>
      </c>
      <c r="N22" s="433"/>
      <c r="O22" s="257"/>
    </row>
    <row r="23" spans="1:15" ht="20.100000000000001" customHeight="1">
      <c r="A23" s="2787"/>
      <c r="B23" s="2685"/>
      <c r="C23" s="2362"/>
      <c r="D23" s="417"/>
      <c r="E23" s="498" t="s">
        <v>903</v>
      </c>
      <c r="F23" s="663" t="s">
        <v>904</v>
      </c>
      <c r="G23" s="389"/>
      <c r="H23" s="458"/>
      <c r="I23" s="421"/>
      <c r="J23" s="392"/>
      <c r="K23" s="392"/>
      <c r="L23" s="392"/>
      <c r="M23" s="662" t="s">
        <v>905</v>
      </c>
      <c r="N23" s="662"/>
      <c r="O23" s="2029" t="str">
        <f>HYPERLINK(VLOOKUP(F23,LINK,2,FALSE),VLOOKUP(F23,LINK,3,FALSE))</f>
        <v>EXCEL</v>
      </c>
    </row>
    <row r="24" spans="1:15" ht="20.100000000000001" customHeight="1">
      <c r="A24" s="2787"/>
      <c r="B24" s="2685"/>
      <c r="C24" s="2362"/>
      <c r="D24" s="393"/>
      <c r="E24" s="412" t="s">
        <v>906</v>
      </c>
      <c r="F24" s="663" t="s">
        <v>907</v>
      </c>
      <c r="G24" s="389"/>
      <c r="H24" s="458"/>
      <c r="I24" s="378"/>
      <c r="J24" s="379"/>
      <c r="K24" s="379"/>
      <c r="L24" s="379"/>
      <c r="M24" s="662" t="s">
        <v>905</v>
      </c>
      <c r="N24" s="662"/>
      <c r="O24" s="2790"/>
    </row>
    <row r="25" spans="1:15" ht="20.100000000000001" customHeight="1">
      <c r="A25" s="2787"/>
      <c r="B25" s="2685"/>
      <c r="C25" s="2362"/>
      <c r="D25" s="393"/>
      <c r="E25" s="412" t="s">
        <v>908</v>
      </c>
      <c r="F25" s="663" t="s">
        <v>909</v>
      </c>
      <c r="G25" s="389"/>
      <c r="H25" s="458"/>
      <c r="I25" s="656"/>
      <c r="J25" s="657"/>
      <c r="K25" s="657"/>
      <c r="L25" s="657"/>
      <c r="M25" s="662" t="s">
        <v>905</v>
      </c>
      <c r="N25" s="662"/>
      <c r="O25" s="2790"/>
    </row>
    <row r="26" spans="1:15" ht="20.100000000000001" customHeight="1">
      <c r="A26" s="2787"/>
      <c r="B26" s="2685"/>
      <c r="C26" s="2362"/>
      <c r="D26" s="393"/>
      <c r="E26" s="412" t="s">
        <v>910</v>
      </c>
      <c r="F26" s="663" t="s">
        <v>911</v>
      </c>
      <c r="G26" s="389"/>
      <c r="H26" s="458"/>
      <c r="I26" s="656"/>
      <c r="J26" s="700"/>
      <c r="K26" s="700"/>
      <c r="L26" s="657"/>
      <c r="M26" s="662" t="s">
        <v>912</v>
      </c>
      <c r="N26" s="662"/>
      <c r="O26" s="2790"/>
    </row>
    <row r="27" spans="1:15" ht="20.100000000000001" customHeight="1">
      <c r="A27" s="2787"/>
      <c r="B27" s="2685"/>
      <c r="C27" s="2362"/>
      <c r="D27" s="393"/>
      <c r="E27" s="412" t="s">
        <v>913</v>
      </c>
      <c r="F27" s="663" t="s">
        <v>914</v>
      </c>
      <c r="G27" s="389"/>
      <c r="H27" s="458"/>
      <c r="I27" s="378"/>
      <c r="J27" s="379"/>
      <c r="K27" s="379"/>
      <c r="L27" s="379"/>
      <c r="M27" s="662" t="s">
        <v>915</v>
      </c>
      <c r="N27" s="662"/>
      <c r="O27" s="2790"/>
    </row>
    <row r="28" spans="1:15" ht="20.100000000000001" customHeight="1">
      <c r="A28" s="2787"/>
      <c r="B28" s="2685"/>
      <c r="C28" s="2362"/>
      <c r="D28" s="393"/>
      <c r="E28" s="412" t="s">
        <v>916</v>
      </c>
      <c r="F28" s="663" t="s">
        <v>917</v>
      </c>
      <c r="G28" s="389"/>
      <c r="H28" s="458"/>
      <c r="I28" s="378"/>
      <c r="J28" s="657"/>
      <c r="K28" s="657"/>
      <c r="L28" s="379"/>
      <c r="M28" s="662" t="s">
        <v>915</v>
      </c>
      <c r="N28" s="662"/>
      <c r="O28" s="2790"/>
    </row>
    <row r="29" spans="1:15" ht="20.100000000000001" customHeight="1">
      <c r="A29" s="2787"/>
      <c r="B29" s="2685"/>
      <c r="C29" s="2362"/>
      <c r="D29" s="393"/>
      <c r="E29" s="412" t="s">
        <v>918</v>
      </c>
      <c r="F29" s="663" t="s">
        <v>919</v>
      </c>
      <c r="G29" s="389"/>
      <c r="H29" s="458"/>
      <c r="I29" s="378"/>
      <c r="J29" s="657"/>
      <c r="K29" s="657"/>
      <c r="L29" s="379"/>
      <c r="M29" s="662" t="s">
        <v>915</v>
      </c>
      <c r="N29" s="662"/>
      <c r="O29" s="2790"/>
    </row>
    <row r="30" spans="1:15" ht="20.100000000000001" customHeight="1">
      <c r="A30" s="2787"/>
      <c r="B30" s="2685"/>
      <c r="C30" s="2362"/>
      <c r="D30" s="393"/>
      <c r="E30" s="412" t="s">
        <v>920</v>
      </c>
      <c r="F30" s="663" t="s">
        <v>921</v>
      </c>
      <c r="G30" s="389"/>
      <c r="H30" s="458"/>
      <c r="I30" s="378"/>
      <c r="J30" s="657"/>
      <c r="K30" s="657"/>
      <c r="L30" s="379"/>
      <c r="M30" s="662" t="s">
        <v>905</v>
      </c>
      <c r="N30" s="662"/>
      <c r="O30" s="2790"/>
    </row>
    <row r="31" spans="1:15" ht="20.100000000000001" customHeight="1">
      <c r="A31" s="2787"/>
      <c r="B31" s="2685"/>
      <c r="C31" s="2362"/>
      <c r="D31" s="2791"/>
      <c r="E31" s="2583" t="s">
        <v>1144</v>
      </c>
      <c r="F31" s="422"/>
      <c r="G31" s="664" t="s">
        <v>806</v>
      </c>
      <c r="H31" s="413"/>
      <c r="I31" s="2794"/>
      <c r="J31" s="2773"/>
      <c r="K31" s="2773"/>
      <c r="L31" s="2773"/>
      <c r="M31" s="2797" t="s">
        <v>115</v>
      </c>
      <c r="N31" s="1091"/>
      <c r="O31" s="2790"/>
    </row>
    <row r="32" spans="1:15" ht="20.100000000000001" customHeight="1">
      <c r="A32" s="2787"/>
      <c r="B32" s="2685"/>
      <c r="C32" s="2362"/>
      <c r="D32" s="2362"/>
      <c r="E32" s="2602"/>
      <c r="F32" s="415" t="s">
        <v>952</v>
      </c>
      <c r="G32" s="475" t="s">
        <v>950</v>
      </c>
      <c r="H32" s="416"/>
      <c r="I32" s="2795"/>
      <c r="J32" s="2774"/>
      <c r="K32" s="2774"/>
      <c r="L32" s="2774"/>
      <c r="M32" s="2798"/>
      <c r="N32" s="1092"/>
      <c r="O32" s="2790"/>
    </row>
    <row r="33" spans="1:15" ht="20.100000000000001" customHeight="1">
      <c r="A33" s="2787"/>
      <c r="B33" s="2685"/>
      <c r="C33" s="2362"/>
      <c r="D33" s="2792"/>
      <c r="E33" s="2793"/>
      <c r="F33" s="418"/>
      <c r="G33" s="419" t="s">
        <v>951</v>
      </c>
      <c r="H33" s="420"/>
      <c r="I33" s="2796"/>
      <c r="J33" s="2775"/>
      <c r="K33" s="2775"/>
      <c r="L33" s="2775"/>
      <c r="M33" s="2799"/>
      <c r="N33" s="1093"/>
      <c r="O33" s="2790"/>
    </row>
    <row r="34" spans="1:15" ht="20.100000000000001" customHeight="1">
      <c r="A34" s="2787"/>
      <c r="B34" s="2685"/>
      <c r="C34" s="2362"/>
      <c r="D34" s="393"/>
      <c r="E34" s="459" t="s">
        <v>1146</v>
      </c>
      <c r="F34" s="663" t="s">
        <v>952</v>
      </c>
      <c r="G34" s="389" t="s">
        <v>982</v>
      </c>
      <c r="H34" s="458"/>
      <c r="I34" s="656"/>
      <c r="J34" s="700"/>
      <c r="K34" s="700"/>
      <c r="L34" s="700"/>
      <c r="M34" s="439" t="s">
        <v>1145</v>
      </c>
      <c r="N34" s="1072"/>
      <c r="O34" s="2790"/>
    </row>
    <row r="35" spans="1:15" ht="20.100000000000001" customHeight="1">
      <c r="A35" s="2787"/>
      <c r="B35" s="2685"/>
      <c r="C35" s="2362"/>
      <c r="D35" s="774"/>
      <c r="E35" s="2800" t="s">
        <v>1147</v>
      </c>
      <c r="F35" s="663" t="s">
        <v>1148</v>
      </c>
      <c r="G35" s="389"/>
      <c r="H35" s="458"/>
      <c r="I35" s="656"/>
      <c r="J35" s="657"/>
      <c r="K35" s="657"/>
      <c r="L35" s="657"/>
      <c r="M35" s="772"/>
      <c r="N35" s="1072"/>
      <c r="O35" s="2790"/>
    </row>
    <row r="36" spans="1:15" ht="20.100000000000001" customHeight="1">
      <c r="A36" s="2787"/>
      <c r="B36" s="2685"/>
      <c r="C36" s="2362"/>
      <c r="D36" s="774"/>
      <c r="E36" s="2801"/>
      <c r="F36" s="663" t="s">
        <v>1149</v>
      </c>
      <c r="G36" s="389"/>
      <c r="H36" s="458"/>
      <c r="I36" s="656"/>
      <c r="J36" s="657"/>
      <c r="K36" s="657"/>
      <c r="L36" s="657"/>
      <c r="M36" s="772"/>
      <c r="N36" s="1072"/>
      <c r="O36" s="2790"/>
    </row>
    <row r="37" spans="1:15" ht="20.100000000000001" customHeight="1">
      <c r="A37" s="2787"/>
      <c r="B37" s="2685"/>
      <c r="C37" s="2362"/>
      <c r="D37" s="393"/>
      <c r="E37" s="412" t="s">
        <v>922</v>
      </c>
      <c r="F37" s="663" t="s">
        <v>923</v>
      </c>
      <c r="G37" s="389"/>
      <c r="H37" s="458"/>
      <c r="I37" s="656"/>
      <c r="J37" s="658"/>
      <c r="K37" s="658"/>
      <c r="L37" s="657"/>
      <c r="M37" s="439" t="s">
        <v>118</v>
      </c>
      <c r="N37" s="1072"/>
      <c r="O37" s="2790"/>
    </row>
    <row r="38" spans="1:15" ht="20.100000000000001" customHeight="1">
      <c r="A38" s="2787"/>
      <c r="B38" s="2685"/>
      <c r="C38" s="2362"/>
      <c r="D38" s="393"/>
      <c r="E38" s="412" t="s">
        <v>924</v>
      </c>
      <c r="F38" s="663" t="s">
        <v>925</v>
      </c>
      <c r="G38" s="389"/>
      <c r="H38" s="458"/>
      <c r="I38" s="656"/>
      <c r="J38" s="658"/>
      <c r="K38" s="658"/>
      <c r="L38" s="657"/>
      <c r="M38" s="439" t="s">
        <v>118</v>
      </c>
      <c r="N38" s="1072"/>
      <c r="O38" s="2790"/>
    </row>
    <row r="39" spans="1:15" ht="20.100000000000001" customHeight="1">
      <c r="A39" s="2787"/>
      <c r="B39" s="2685"/>
      <c r="C39" s="2362"/>
      <c r="D39" s="771"/>
      <c r="E39" s="2789" t="s">
        <v>926</v>
      </c>
      <c r="F39" s="778" t="s">
        <v>927</v>
      </c>
      <c r="G39" s="495"/>
      <c r="H39" s="779"/>
      <c r="I39" s="776"/>
      <c r="J39" s="780"/>
      <c r="K39" s="780"/>
      <c r="L39" s="780"/>
      <c r="M39" s="777" t="s">
        <v>1151</v>
      </c>
      <c r="N39" s="777"/>
      <c r="O39" s="722" t="str">
        <f>HYPERLINK(VLOOKUP(F39,LINK,2,FALSE),VLOOKUP(F39,LINK,3,FALSE))</f>
        <v>-</v>
      </c>
    </row>
    <row r="40" spans="1:15" ht="20.100000000000001" customHeight="1">
      <c r="A40" s="2788"/>
      <c r="B40" s="2433"/>
      <c r="C40" s="2363"/>
      <c r="D40" s="775"/>
      <c r="E40" s="2368"/>
      <c r="F40" s="665" t="s">
        <v>1150</v>
      </c>
      <c r="G40" s="383"/>
      <c r="H40" s="456"/>
      <c r="I40" s="701"/>
      <c r="J40" s="702"/>
      <c r="K40" s="702"/>
      <c r="L40" s="702"/>
      <c r="M40" s="773" t="s">
        <v>1152</v>
      </c>
      <c r="N40" s="1073"/>
      <c r="O40" s="770"/>
    </row>
    <row r="41" spans="1:15" ht="20.100000000000001" customHeight="1">
      <c r="A41" s="769" t="s">
        <v>1142</v>
      </c>
      <c r="B41" t="s">
        <v>1188</v>
      </c>
      <c r="N41" s="447"/>
    </row>
    <row r="42" spans="1:15" ht="20.100000000000001" customHeight="1">
      <c r="A42" s="769" t="s">
        <v>1143</v>
      </c>
      <c r="B42" t="s">
        <v>1219</v>
      </c>
      <c r="N42" s="447"/>
    </row>
    <row r="43" spans="1:15" ht="20.100000000000001" customHeight="1">
      <c r="A43" s="1200" t="s">
        <v>1153</v>
      </c>
      <c r="B43" s="1201"/>
      <c r="C43" s="1201"/>
      <c r="D43" s="1201"/>
      <c r="E43" s="1201"/>
      <c r="F43" s="823"/>
      <c r="G43" s="823"/>
      <c r="H43" s="823"/>
      <c r="I43" s="823"/>
      <c r="J43" s="823"/>
      <c r="K43" s="823"/>
      <c r="L43" s="823"/>
      <c r="M43" s="823"/>
      <c r="N43" s="823"/>
      <c r="O43" s="823"/>
    </row>
  </sheetData>
  <mergeCells count="33">
    <mergeCell ref="A22:A40"/>
    <mergeCell ref="B22:B40"/>
    <mergeCell ref="C22:C40"/>
    <mergeCell ref="E39:E40"/>
    <mergeCell ref="O23:O38"/>
    <mergeCell ref="J31:J33"/>
    <mergeCell ref="L31:L33"/>
    <mergeCell ref="D31:D33"/>
    <mergeCell ref="E31:E33"/>
    <mergeCell ref="I31:I33"/>
    <mergeCell ref="M31:M33"/>
    <mergeCell ref="E35:E36"/>
    <mergeCell ref="B15:O15"/>
    <mergeCell ref="B3:B13"/>
    <mergeCell ref="C3:C13"/>
    <mergeCell ref="O4:O13"/>
    <mergeCell ref="B14:O14"/>
    <mergeCell ref="A2:A13"/>
    <mergeCell ref="F21:H21"/>
    <mergeCell ref="K31:K33"/>
    <mergeCell ref="A19:A20"/>
    <mergeCell ref="B19:E20"/>
    <mergeCell ref="F19:G19"/>
    <mergeCell ref="H19:L19"/>
    <mergeCell ref="F20:G20"/>
    <mergeCell ref="H20:L20"/>
    <mergeCell ref="A17:A18"/>
    <mergeCell ref="B17:E18"/>
    <mergeCell ref="F17:G17"/>
    <mergeCell ref="H17:L17"/>
    <mergeCell ref="F18:G18"/>
    <mergeCell ref="H18:L18"/>
    <mergeCell ref="F2:H2"/>
  </mergeCells>
  <phoneticPr fontId="14"/>
  <hyperlinks>
    <hyperlink ref="A1:O1" location="TEMPLATE!A1" display="ROLLER PIN"/>
  </hyperlinks>
  <pageMargins left="0.70866141732283472" right="0.70866141732283472" top="0" bottom="0" header="0.31496062992125984" footer="0.31496062992125984"/>
  <pageSetup paperSize="9" scale="57" orientation="landscape" r:id="rId1"/>
  <colBreaks count="1" manualBreakCount="1">
    <brk id="3" max="36"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464"/>
    <pageSetUpPr fitToPage="1"/>
  </sheetPr>
  <dimension ref="A1:O12"/>
  <sheetViews>
    <sheetView showGridLines="0" view="pageBreakPreview" zoomScaleNormal="100" zoomScaleSheetLayoutView="100" workbookViewId="0"/>
  </sheetViews>
  <sheetFormatPr defaultRowHeight="13.8"/>
  <cols>
    <col min="1" max="1" width="9.5" bestFit="1" customWidth="1"/>
    <col min="2" max="2" width="18.5" bestFit="1" customWidth="1"/>
    <col min="3" max="3" width="14.8984375" customWidth="1"/>
    <col min="4" max="4" width="5.59765625" customWidth="1"/>
    <col min="5" max="5" width="20.59765625" bestFit="1" customWidth="1"/>
    <col min="6" max="6" width="12.59765625" bestFit="1" customWidth="1"/>
    <col min="7" max="7" width="14.5" bestFit="1" customWidth="1"/>
    <col min="8" max="9" width="5.59765625" style="13" customWidth="1"/>
    <col min="10" max="12" width="5.59765625" customWidth="1"/>
    <col min="13" max="13" width="19.09765625" customWidth="1"/>
    <col min="14" max="14" width="15.09765625" bestFit="1" customWidth="1"/>
    <col min="15" max="15" width="6.69921875" bestFit="1" customWidth="1"/>
  </cols>
  <sheetData>
    <row r="1" spans="1:15">
      <c r="A1" s="835" t="s">
        <v>1073</v>
      </c>
      <c r="B1" s="835"/>
      <c r="C1" s="835"/>
      <c r="D1" s="835"/>
      <c r="E1" s="835"/>
      <c r="F1" s="835"/>
      <c r="G1" s="835"/>
      <c r="H1" s="835"/>
      <c r="I1" s="835"/>
      <c r="J1" s="835"/>
      <c r="K1" s="835"/>
      <c r="L1" s="835"/>
      <c r="M1" s="835"/>
      <c r="N1" s="835"/>
      <c r="O1" s="835"/>
    </row>
    <row r="2" spans="1:15" ht="30" customHeight="1">
      <c r="A2" s="2396" t="s">
        <v>5</v>
      </c>
      <c r="B2" s="1993"/>
      <c r="C2" s="1993"/>
      <c r="D2" s="1993"/>
      <c r="E2" s="1993"/>
      <c r="F2" s="2093" t="s">
        <v>268</v>
      </c>
      <c r="G2" s="2094"/>
      <c r="H2" s="2089"/>
      <c r="I2" s="2090"/>
      <c r="J2" s="2090"/>
      <c r="K2" s="2090"/>
      <c r="L2" s="2090"/>
      <c r="M2" s="837" t="s">
        <v>1187</v>
      </c>
      <c r="N2" s="904"/>
      <c r="O2" s="920"/>
    </row>
    <row r="3" spans="1:15" ht="30" customHeight="1">
      <c r="A3" s="2396"/>
      <c r="B3" s="1993"/>
      <c r="C3" s="1993"/>
      <c r="D3" s="1993"/>
      <c r="E3" s="1993"/>
      <c r="F3" s="2006" t="s">
        <v>1249</v>
      </c>
      <c r="G3" s="2006"/>
      <c r="H3" s="2089"/>
      <c r="I3" s="2090"/>
      <c r="J3" s="2090"/>
      <c r="K3" s="2090"/>
      <c r="L3" s="2090"/>
      <c r="M3" s="1099"/>
      <c r="N3" s="35"/>
      <c r="O3" s="921"/>
    </row>
    <row r="4" spans="1:15" ht="30" customHeight="1">
      <c r="A4" s="2396" t="s">
        <v>38</v>
      </c>
      <c r="B4" s="1993"/>
      <c r="C4" s="1993"/>
      <c r="D4" s="1993"/>
      <c r="E4" s="1993"/>
      <c r="F4" s="2007" t="s">
        <v>1250</v>
      </c>
      <c r="G4" s="2007"/>
      <c r="H4" s="2089"/>
      <c r="I4" s="2090"/>
      <c r="J4" s="2090"/>
      <c r="K4" s="2090"/>
      <c r="L4" s="2090"/>
      <c r="M4" s="1099"/>
      <c r="N4" s="35"/>
      <c r="O4" s="921"/>
    </row>
    <row r="5" spans="1:15" ht="30" customHeight="1">
      <c r="A5" s="2396"/>
      <c r="B5" s="1993"/>
      <c r="C5" s="1993"/>
      <c r="D5" s="1993"/>
      <c r="E5" s="1993"/>
      <c r="F5" s="2008" t="s">
        <v>269</v>
      </c>
      <c r="G5" s="2008"/>
      <c r="H5" s="2674"/>
      <c r="I5" s="2675"/>
      <c r="J5" s="2675"/>
      <c r="K5" s="2675"/>
      <c r="L5" s="2675"/>
      <c r="M5" s="1100"/>
      <c r="N5" s="905"/>
      <c r="O5" s="922"/>
    </row>
    <row r="6" spans="1:15" ht="60" customHeight="1">
      <c r="A6" s="1107" t="s">
        <v>1227</v>
      </c>
      <c r="B6" s="1069" t="s">
        <v>6</v>
      </c>
      <c r="C6" s="1069" t="s">
        <v>168</v>
      </c>
      <c r="D6" s="1037" t="s">
        <v>1251</v>
      </c>
      <c r="E6" s="82" t="s">
        <v>64</v>
      </c>
      <c r="F6" s="2001" t="s">
        <v>1</v>
      </c>
      <c r="G6" s="2002"/>
      <c r="H6" s="2003"/>
      <c r="I6" s="1038" t="s">
        <v>66</v>
      </c>
      <c r="J6" s="1038" t="s">
        <v>1247</v>
      </c>
      <c r="K6" s="1039" t="s">
        <v>1248</v>
      </c>
      <c r="L6" s="1040" t="s">
        <v>2</v>
      </c>
      <c r="M6" s="1069" t="s">
        <v>1256</v>
      </c>
      <c r="N6" s="1069" t="s">
        <v>1257</v>
      </c>
      <c r="O6" s="1140" t="s">
        <v>183</v>
      </c>
    </row>
    <row r="7" spans="1:15" ht="20.100000000000001" customHeight="1">
      <c r="A7" s="2805" t="s">
        <v>1312</v>
      </c>
      <c r="B7" s="2144" t="s">
        <v>1313</v>
      </c>
      <c r="C7" s="2334" t="s">
        <v>954</v>
      </c>
      <c r="D7" s="188"/>
      <c r="E7" s="245" t="s">
        <v>955</v>
      </c>
      <c r="F7" s="681" t="s">
        <v>965</v>
      </c>
      <c r="G7" s="673"/>
      <c r="H7" s="674" t="s">
        <v>963</v>
      </c>
      <c r="I7" s="188"/>
      <c r="J7" s="467"/>
      <c r="K7" s="188"/>
      <c r="L7" s="188"/>
      <c r="M7" s="305"/>
      <c r="N7" s="2802"/>
      <c r="O7" s="2067" t="str">
        <f>HYPERLINK(VLOOKUP(F7,LINK,2,FALSE),VLOOKUP(F7,LINK,3,FALSE))</f>
        <v>EXCEL</v>
      </c>
    </row>
    <row r="8" spans="1:15" ht="20.100000000000001" customHeight="1">
      <c r="A8" s="2805"/>
      <c r="B8" s="2144"/>
      <c r="C8" s="2115"/>
      <c r="D8" s="485"/>
      <c r="E8" s="667" t="s">
        <v>956</v>
      </c>
      <c r="F8" s="682" t="s">
        <v>966</v>
      </c>
      <c r="G8" s="675"/>
      <c r="H8" s="676" t="s">
        <v>812</v>
      </c>
      <c r="I8" s="485"/>
      <c r="J8" s="485"/>
      <c r="K8" s="485"/>
      <c r="L8" s="1079"/>
      <c r="M8" s="306"/>
      <c r="N8" s="2803"/>
      <c r="O8" s="2029"/>
    </row>
    <row r="9" spans="1:15" ht="20.100000000000001" customHeight="1">
      <c r="A9" s="2805"/>
      <c r="B9" s="2144"/>
      <c r="C9" s="2115"/>
      <c r="D9" s="485"/>
      <c r="E9" s="667" t="s">
        <v>957</v>
      </c>
      <c r="F9" s="682" t="s">
        <v>375</v>
      </c>
      <c r="G9" s="675"/>
      <c r="H9" s="676" t="s">
        <v>813</v>
      </c>
      <c r="I9" s="485"/>
      <c r="J9" s="485"/>
      <c r="K9" s="485"/>
      <c r="L9" s="1079"/>
      <c r="M9" s="306"/>
      <c r="N9" s="2803"/>
      <c r="O9" s="2029"/>
    </row>
    <row r="10" spans="1:15" ht="20.100000000000001" customHeight="1">
      <c r="A10" s="2805"/>
      <c r="B10" s="2144"/>
      <c r="C10" s="2651"/>
      <c r="D10" s="486"/>
      <c r="E10" s="668" t="s">
        <v>958</v>
      </c>
      <c r="F10" s="683" t="s">
        <v>375</v>
      </c>
      <c r="G10" s="677"/>
      <c r="H10" s="678" t="s">
        <v>964</v>
      </c>
      <c r="I10" s="486"/>
      <c r="J10" s="486"/>
      <c r="K10" s="486"/>
      <c r="L10" s="1080"/>
      <c r="M10" s="440"/>
      <c r="N10" s="2804"/>
      <c r="O10" s="2030"/>
    </row>
    <row r="11" spans="1:15" ht="20.100000000000001" customHeight="1">
      <c r="A11" s="2805"/>
      <c r="B11" s="2144"/>
      <c r="C11" s="2114" t="s">
        <v>959</v>
      </c>
      <c r="D11" s="188"/>
      <c r="E11" s="669" t="s">
        <v>960</v>
      </c>
      <c r="F11" s="684" t="s">
        <v>970</v>
      </c>
      <c r="G11" s="679"/>
      <c r="H11" s="680"/>
      <c r="I11" s="188"/>
      <c r="J11" s="188"/>
      <c r="K11" s="188"/>
      <c r="L11" s="188"/>
      <c r="M11" s="305"/>
      <c r="N11" s="670"/>
      <c r="O11" s="257" t="str">
        <f>HYPERLINK(VLOOKUP(F11,LINK,2,FALSE),VLOOKUP(F11,LINK,3,FALSE))</f>
        <v>EXCEL</v>
      </c>
    </row>
    <row r="12" spans="1:15" ht="20.100000000000001" customHeight="1">
      <c r="A12" s="2805"/>
      <c r="B12" s="2144"/>
      <c r="C12" s="2651"/>
      <c r="D12" s="486"/>
      <c r="E12" s="671" t="s">
        <v>961</v>
      </c>
      <c r="F12" s="683" t="s">
        <v>369</v>
      </c>
      <c r="G12" s="677"/>
      <c r="H12" s="678"/>
      <c r="I12" s="486"/>
      <c r="J12" s="486"/>
      <c r="K12" s="486"/>
      <c r="L12" s="1080"/>
      <c r="M12" s="440"/>
      <c r="N12" s="672" t="s">
        <v>962</v>
      </c>
      <c r="O12" s="256"/>
    </row>
  </sheetData>
  <mergeCells count="19">
    <mergeCell ref="A4:A5"/>
    <mergeCell ref="A2:A3"/>
    <mergeCell ref="B2:E3"/>
    <mergeCell ref="F2:G2"/>
    <mergeCell ref="H2:L2"/>
    <mergeCell ref="F3:G3"/>
    <mergeCell ref="H3:L3"/>
    <mergeCell ref="O7:O10"/>
    <mergeCell ref="C7:C10"/>
    <mergeCell ref="C11:C12"/>
    <mergeCell ref="N7:N10"/>
    <mergeCell ref="A7:A12"/>
    <mergeCell ref="B7:B12"/>
    <mergeCell ref="F6:H6"/>
    <mergeCell ref="B4:E5"/>
    <mergeCell ref="F4:G4"/>
    <mergeCell ref="H4:L4"/>
    <mergeCell ref="F5:G5"/>
    <mergeCell ref="H5:L5"/>
  </mergeCells>
  <phoneticPr fontId="14"/>
  <hyperlinks>
    <hyperlink ref="A1:O1" location="TEMPLATE!A1" display="LOCK NUT"/>
  </hyperlinks>
  <pageMargins left="0.70866141732283472" right="0.70866141732283472" top="0.74803149606299213" bottom="0.74803149606299213" header="0.31496062992125984" footer="0.31496062992125984"/>
  <pageSetup paperSize="9" scale="74"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P14"/>
  <sheetViews>
    <sheetView showGridLines="0" view="pageBreakPreview" zoomScaleNormal="100" zoomScaleSheetLayoutView="100" workbookViewId="0">
      <selection activeCell="F13" sqref="F13"/>
    </sheetView>
  </sheetViews>
  <sheetFormatPr defaultRowHeight="13.8"/>
  <cols>
    <col min="1" max="1" width="10.3984375" customWidth="1"/>
    <col min="2" max="2" width="17.69921875" customWidth="1"/>
    <col min="3" max="3" width="21.3984375" bestFit="1" customWidth="1"/>
    <col min="4" max="4" width="5.59765625" customWidth="1"/>
    <col min="5" max="5" width="23.8984375" bestFit="1" customWidth="1"/>
    <col min="6" max="7" width="15.19921875" customWidth="1"/>
    <col min="8" max="12" width="5.59765625" customWidth="1"/>
    <col min="13" max="13" width="11" bestFit="1" customWidth="1"/>
    <col min="14" max="14" width="52.69921875" bestFit="1" customWidth="1"/>
    <col min="15" max="15" width="7.5" style="1009" customWidth="1"/>
    <col min="16" max="16" width="11.09765625" customWidth="1"/>
  </cols>
  <sheetData>
    <row r="1" spans="1:16">
      <c r="A1" s="835" t="s">
        <v>1261</v>
      </c>
      <c r="B1" s="835"/>
      <c r="C1" s="835"/>
      <c r="D1" s="835"/>
      <c r="E1" s="835"/>
      <c r="F1" s="835"/>
      <c r="G1" s="835"/>
      <c r="H1" s="835"/>
      <c r="I1" s="835"/>
      <c r="J1" s="835"/>
      <c r="K1" s="835"/>
      <c r="L1" s="835"/>
      <c r="M1" s="835"/>
      <c r="N1" s="835"/>
      <c r="O1" s="1849"/>
    </row>
    <row r="2" spans="1:16" ht="30" customHeight="1">
      <c r="A2" s="2013" t="s">
        <v>5</v>
      </c>
      <c r="B2" s="1993"/>
      <c r="C2" s="1993"/>
      <c r="D2" s="1993"/>
      <c r="E2" s="1993"/>
      <c r="F2" s="2006" t="s">
        <v>1391</v>
      </c>
      <c r="G2" s="2006"/>
      <c r="H2" s="2009"/>
      <c r="I2" s="2009"/>
      <c r="J2" s="2009"/>
      <c r="K2" s="2009"/>
      <c r="L2" s="2009"/>
      <c r="M2" s="904" t="s">
        <v>1187</v>
      </c>
      <c r="N2" s="838" t="s">
        <v>1393</v>
      </c>
      <c r="O2" s="1744"/>
    </row>
    <row r="3" spans="1:16" ht="30" customHeight="1">
      <c r="A3" s="2014"/>
      <c r="B3" s="1993"/>
      <c r="C3" s="1993"/>
      <c r="D3" s="1993"/>
      <c r="E3" s="1993"/>
      <c r="F3" s="2006" t="s">
        <v>1371</v>
      </c>
      <c r="G3" s="2006"/>
      <c r="H3" s="2009"/>
      <c r="I3" s="2009"/>
      <c r="J3" s="2009"/>
      <c r="K3" s="2009"/>
      <c r="L3" s="2009"/>
      <c r="M3" s="35"/>
      <c r="N3" s="7"/>
      <c r="O3" s="839"/>
    </row>
    <row r="4" spans="1:16" ht="30" customHeight="1">
      <c r="A4" s="2013" t="s">
        <v>38</v>
      </c>
      <c r="B4" s="1993"/>
      <c r="C4" s="1993"/>
      <c r="D4" s="1993"/>
      <c r="E4" s="1993"/>
      <c r="F4" s="2007" t="s">
        <v>1392</v>
      </c>
      <c r="G4" s="2007"/>
      <c r="H4" s="2009"/>
      <c r="I4" s="2009"/>
      <c r="J4" s="2009"/>
      <c r="K4" s="2009"/>
      <c r="L4" s="2009"/>
      <c r="M4" s="35"/>
      <c r="N4" s="7"/>
      <c r="O4" s="839"/>
    </row>
    <row r="5" spans="1:16" ht="30" customHeight="1">
      <c r="A5" s="2014"/>
      <c r="B5" s="1993"/>
      <c r="C5" s="1993"/>
      <c r="D5" s="1993"/>
      <c r="E5" s="1993"/>
      <c r="F5" s="2008" t="s">
        <v>1372</v>
      </c>
      <c r="G5" s="2008"/>
      <c r="H5" s="2009"/>
      <c r="I5" s="2009"/>
      <c r="J5" s="2009"/>
      <c r="K5" s="2009"/>
      <c r="L5" s="2009"/>
      <c r="M5" s="35"/>
      <c r="N5" s="7"/>
      <c r="O5" s="839"/>
    </row>
    <row r="6" spans="1:16" ht="60" customHeight="1">
      <c r="A6" s="908" t="s">
        <v>1227</v>
      </c>
      <c r="B6" s="2004" t="s">
        <v>6</v>
      </c>
      <c r="C6" s="2005"/>
      <c r="D6" s="1323" t="s">
        <v>1407</v>
      </c>
      <c r="E6" s="82" t="s">
        <v>64</v>
      </c>
      <c r="F6" s="2001" t="s">
        <v>1</v>
      </c>
      <c r="G6" s="2002"/>
      <c r="H6" s="2003"/>
      <c r="I6" s="1038" t="s">
        <v>66</v>
      </c>
      <c r="J6" s="1038" t="s">
        <v>1376</v>
      </c>
      <c r="K6" s="1372" t="s">
        <v>1377</v>
      </c>
      <c r="L6" s="1372" t="s">
        <v>1375</v>
      </c>
      <c r="M6" s="1069" t="s">
        <v>1378</v>
      </c>
      <c r="N6" s="1069" t="s">
        <v>1387</v>
      </c>
      <c r="O6" s="1322" t="s">
        <v>1379</v>
      </c>
    </row>
    <row r="7" spans="1:16" ht="24.6" customHeight="1">
      <c r="A7" s="2140">
        <v>1021</v>
      </c>
      <c r="B7" s="2116" t="s">
        <v>1625</v>
      </c>
      <c r="C7" s="2157" t="s">
        <v>1623</v>
      </c>
      <c r="D7" s="1846"/>
      <c r="E7" s="1846" t="s">
        <v>34</v>
      </c>
      <c r="F7" s="1850" t="s">
        <v>1626</v>
      </c>
      <c r="G7" s="1848"/>
      <c r="H7" s="1848"/>
      <c r="I7" s="264"/>
      <c r="J7" s="265"/>
      <c r="K7" s="265"/>
      <c r="L7" s="265"/>
      <c r="M7" s="10"/>
      <c r="N7" s="2159"/>
      <c r="O7" s="298" t="e">
        <f t="shared" ref="O7:O9" si="0">HYPERLINK(VLOOKUP(F7,LINK,2,FALSE),VLOOKUP(F7,LINK,3,FALSE))</f>
        <v>#N/A</v>
      </c>
    </row>
    <row r="8" spans="1:16" ht="24.6" customHeight="1">
      <c r="A8" s="2140"/>
      <c r="B8" s="2117"/>
      <c r="C8" s="2158"/>
      <c r="D8" s="1847"/>
      <c r="E8" s="1847" t="s">
        <v>1624</v>
      </c>
      <c r="F8" s="1851" t="s">
        <v>1627</v>
      </c>
      <c r="G8" s="1852"/>
      <c r="H8" s="1852"/>
      <c r="I8" s="270"/>
      <c r="J8" s="271"/>
      <c r="K8" s="271"/>
      <c r="L8" s="271"/>
      <c r="M8" s="11"/>
      <c r="N8" s="2160"/>
      <c r="O8" s="299" t="e">
        <f t="shared" si="0"/>
        <v>#N/A</v>
      </c>
    </row>
    <row r="9" spans="1:16" ht="24.6" customHeight="1">
      <c r="A9" s="2139">
        <v>1011</v>
      </c>
      <c r="B9" s="1996" t="s">
        <v>1441</v>
      </c>
      <c r="C9" s="2162" t="s">
        <v>1134</v>
      </c>
      <c r="D9" s="1846"/>
      <c r="E9" s="1846" t="s">
        <v>56</v>
      </c>
      <c r="F9" s="1850" t="s">
        <v>162</v>
      </c>
      <c r="G9" s="1848"/>
      <c r="H9" s="1848"/>
      <c r="I9" s="264"/>
      <c r="J9" s="277"/>
      <c r="K9" s="277"/>
      <c r="L9" s="277"/>
      <c r="M9" s="15"/>
      <c r="N9" s="101"/>
      <c r="O9" s="2127" t="str">
        <f t="shared" si="0"/>
        <v>EXCEL</v>
      </c>
    </row>
    <row r="10" spans="1:16" ht="24.6" customHeight="1">
      <c r="A10" s="2141"/>
      <c r="B10" s="2117"/>
      <c r="C10" s="2163"/>
      <c r="D10" s="1847"/>
      <c r="E10" s="1847" t="s">
        <v>57</v>
      </c>
      <c r="F10" s="1851" t="s">
        <v>163</v>
      </c>
      <c r="G10" s="1852"/>
      <c r="H10" s="1852"/>
      <c r="I10" s="270"/>
      <c r="J10" s="271"/>
      <c r="K10" s="271"/>
      <c r="L10" s="271"/>
      <c r="M10" s="11"/>
      <c r="N10" s="102"/>
      <c r="O10" s="2128"/>
      <c r="P10" t="s">
        <v>1120</v>
      </c>
    </row>
    <row r="11" spans="1:16" ht="20.100000000000001" customHeight="1">
      <c r="A11" s="975"/>
      <c r="B11" s="301"/>
    </row>
    <row r="12" spans="1:16" ht="31.5" customHeight="1">
      <c r="A12" s="975"/>
    </row>
    <row r="13" spans="1:16" ht="31.5" customHeight="1">
      <c r="A13" s="975"/>
    </row>
    <row r="14" spans="1:16" ht="31.5" customHeight="1">
      <c r="A14" s="975"/>
    </row>
  </sheetData>
  <mergeCells count="22">
    <mergeCell ref="A9:A10"/>
    <mergeCell ref="B9:B10"/>
    <mergeCell ref="C9:C10"/>
    <mergeCell ref="O9:O10"/>
    <mergeCell ref="B6:C6"/>
    <mergeCell ref="F6:H6"/>
    <mergeCell ref="A7:A8"/>
    <mergeCell ref="B7:B8"/>
    <mergeCell ref="C7:C8"/>
    <mergeCell ref="N7:N8"/>
    <mergeCell ref="A4:A5"/>
    <mergeCell ref="B4:E5"/>
    <mergeCell ref="F4:G4"/>
    <mergeCell ref="H4:L4"/>
    <mergeCell ref="F5:G5"/>
    <mergeCell ref="H5:L5"/>
    <mergeCell ref="A2:A3"/>
    <mergeCell ref="B2:E3"/>
    <mergeCell ref="F2:G2"/>
    <mergeCell ref="H2:L2"/>
    <mergeCell ref="F3:G3"/>
    <mergeCell ref="H3:L3"/>
  </mergeCells>
  <phoneticPr fontId="14"/>
  <pageMargins left="0.70866141732283472" right="0.70866141732283472" top="0.74803149606299213" bottom="0.74803149606299213" header="0.31496062992125984" footer="0.31496062992125984"/>
  <pageSetup paperSize="9" scale="59" orientation="landscape" r:id="rId1"/>
  <colBreaks count="1" manualBreakCount="1">
    <brk id="15" max="104857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33" sqref="G33"/>
    </sheetView>
  </sheetViews>
  <sheetFormatPr defaultRowHeight="13.8"/>
  <sheetData/>
  <phoneticPr fontId="14"/>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8"/>
  <sheetData/>
  <phoneticPr fontId="1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33</vt:i4>
      </vt:variant>
    </vt:vector>
  </HeadingPairs>
  <TitlesOfParts>
    <vt:vector size="68" baseType="lpstr">
      <vt:lpstr>LINK LIST</vt:lpstr>
      <vt:lpstr>TEMPLATE</vt:lpstr>
      <vt:lpstr>M-BODY</vt:lpstr>
      <vt:lpstr>F-BODY</vt:lpstr>
      <vt:lpstr>ABR BODY</vt:lpstr>
      <vt:lpstr>ROLLER BODY</vt:lpstr>
      <vt:lpstr>レシプロボディ</vt:lpstr>
      <vt:lpstr>RACE</vt:lpstr>
      <vt:lpstr>RACE2</vt:lpstr>
      <vt:lpstr>SLEEVE</vt:lpstr>
      <vt:lpstr>SLEEVE IDG</vt:lpstr>
      <vt:lpstr>BOEING SLEEVE</vt:lpstr>
      <vt:lpstr>BALL(1)</vt:lpstr>
      <vt:lpstr>BALL(2)</vt:lpstr>
      <vt:lpstr>BALL(3)</vt:lpstr>
      <vt:lpstr>BALL(4)</vt:lpstr>
      <vt:lpstr>BALL(内径にTFE)</vt:lpstr>
      <vt:lpstr>BALL(5)</vt:lpstr>
      <vt:lpstr>BALL(6)</vt:lpstr>
      <vt:lpstr>INNER in BALL</vt:lpstr>
      <vt:lpstr>レシプロ－</vt:lpstr>
      <vt:lpstr>JWAVE</vt:lpstr>
      <vt:lpstr>SPH(DT)</vt:lpstr>
      <vt:lpstr>SPH(D→T)</vt:lpstr>
      <vt:lpstr>SPH(D→DT)</vt:lpstr>
      <vt:lpstr>SPH 中型</vt:lpstr>
      <vt:lpstr>3PCS</vt:lpstr>
      <vt:lpstr>ボール入りRD</vt:lpstr>
      <vt:lpstr>S_ROLLER_ASSY</vt:lpstr>
      <vt:lpstr>D_ROLLER_ASSY</vt:lpstr>
      <vt:lpstr>ROLLER PIN</vt:lpstr>
      <vt:lpstr>LOCK NUT</vt:lpstr>
      <vt:lpstr>PB</vt:lpstr>
      <vt:lpstr>Sheet1</vt:lpstr>
      <vt:lpstr>Sheet2</vt:lpstr>
      <vt:lpstr>LINK</vt:lpstr>
      <vt:lpstr>'3PCS'!Print_Area</vt:lpstr>
      <vt:lpstr>'ABR BODY'!Print_Area</vt:lpstr>
      <vt:lpstr>'BALL(1)'!Print_Area</vt:lpstr>
      <vt:lpstr>'BALL(2)'!Print_Area</vt:lpstr>
      <vt:lpstr>'BALL(3)'!Print_Area</vt:lpstr>
      <vt:lpstr>'BALL(4)'!Print_Area</vt:lpstr>
      <vt:lpstr>'BALL(5)'!Print_Area</vt:lpstr>
      <vt:lpstr>'BALL(6)'!Print_Area</vt:lpstr>
      <vt:lpstr>'BALL(内径にTFE)'!Print_Area</vt:lpstr>
      <vt:lpstr>'BOEING SLEEVE'!Print_Area</vt:lpstr>
      <vt:lpstr>D_ROLLER_ASSY!Print_Area</vt:lpstr>
      <vt:lpstr>'F-BODY'!Print_Area</vt:lpstr>
      <vt:lpstr>'INNER in BALL'!Print_Area</vt:lpstr>
      <vt:lpstr>JWAVE!Print_Area</vt:lpstr>
      <vt:lpstr>'LOCK NUT'!Print_Area</vt:lpstr>
      <vt:lpstr>'M-BODY'!Print_Area</vt:lpstr>
      <vt:lpstr>PB!Print_Area</vt:lpstr>
      <vt:lpstr>RACE!Print_Area</vt:lpstr>
      <vt:lpstr>RACE2!Print_Area</vt:lpstr>
      <vt:lpstr>'ROLLER BODY'!Print_Area</vt:lpstr>
      <vt:lpstr>'ROLLER PIN'!Print_Area</vt:lpstr>
      <vt:lpstr>S_ROLLER_ASSY!Print_Area</vt:lpstr>
      <vt:lpstr>SLEEVE!Print_Area</vt:lpstr>
      <vt:lpstr>'SLEEVE IDG'!Print_Area</vt:lpstr>
      <vt:lpstr>'SPH 中型'!Print_Area</vt:lpstr>
      <vt:lpstr>'SPH(D→DT)'!Print_Area</vt:lpstr>
      <vt:lpstr>'SPH(D→T)'!Print_Area</vt:lpstr>
      <vt:lpstr>'SPH(DT)'!Print_Area</vt:lpstr>
      <vt:lpstr>TEMPLATE!Print_Area</vt:lpstr>
      <vt:lpstr>ボール入りRD!Print_Area</vt:lpstr>
      <vt:lpstr>レシプロ－!Print_Area</vt:lpstr>
      <vt:lpstr>レシプロボディ!Print_Area</vt:lpstr>
    </vt:vector>
  </TitlesOfParts>
  <Company>Minebea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kz10497</dc:creator>
  <cp:lastModifiedBy>Apisit Suwannakate</cp:lastModifiedBy>
  <cp:lastPrinted>2026-03-25T00:47:18Z</cp:lastPrinted>
  <dcterms:created xsi:type="dcterms:W3CDTF">2013-05-10T00:57:10Z</dcterms:created>
  <dcterms:modified xsi:type="dcterms:W3CDTF">2026-04-20T06:42:52Z</dcterms:modified>
</cp:coreProperties>
</file>