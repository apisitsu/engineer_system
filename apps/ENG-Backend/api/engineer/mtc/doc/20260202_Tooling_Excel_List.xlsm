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L:\"/>
    </mc:Choice>
  </mc:AlternateContent>
  <bookViews>
    <workbookView xWindow="0" yWindow="0" windowWidth="28800" windowHeight="12795"/>
  </bookViews>
  <sheets>
    <sheet name="Sheet1" sheetId="1" r:id="rId1"/>
  </sheets>
  <definedNames>
    <definedName name="_xlnm._FilterDatabase" localSheetId="0" hidden="1">Sheet1!$A$1:$K$1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2" i="1" l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59" i="1"/>
  <c r="M58" i="1"/>
  <c r="M57" i="1"/>
  <c r="M56" i="1"/>
  <c r="M55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</calcChain>
</file>

<file path=xl/sharedStrings.xml><?xml version="1.0" encoding="utf-8"?>
<sst xmlns="http://schemas.openxmlformats.org/spreadsheetml/2006/main" count="630" uniqueCount="382">
  <si>
    <t>20160324_TOOLING LIST_KS-450C_ROLLER PIN</t>
  </si>
  <si>
    <t>20160609_TOOLING LIST_Sigma-18-I_ROLLER PIN</t>
  </si>
  <si>
    <t>20200212_TOOLING LIST_CENTERLESS-GRINDING-JIG</t>
  </si>
  <si>
    <t>20210708_TOOLING LIST_ミクロンセンタレス</t>
  </si>
  <si>
    <t>20180119_TFE_BONDINGツーリングリスト(フランジスリーブ)</t>
  </si>
  <si>
    <t>20171219_ミネロン治具_TOOLING LIST</t>
  </si>
  <si>
    <t>20200415_TOOLING LIST_RELEASE-JIG</t>
  </si>
  <si>
    <t>松井田外研アーバー一覧_JAxxxx</t>
  </si>
  <si>
    <t>KS-500RD_TOOLING LIST 20181011_IDY</t>
  </si>
  <si>
    <t>20210628_TOOLING LIST_KS400B(SPHERICAL GRIND)</t>
  </si>
  <si>
    <t>UK-ball IZMI球研治具共用LIST</t>
  </si>
  <si>
    <t>20141022_TSG-300W_CHUTE&amp;SPACER_LIST</t>
  </si>
  <si>
    <t>20170508_TOOLING LIST_TSG300(FACE GRIND)_SEIBU</t>
  </si>
  <si>
    <t>UK BALL_THAI移管_TOOLING LIST_TSG300(FACE GRIND)</t>
  </si>
  <si>
    <t>20160329_TOOLING LIST_巾ラップキャリア</t>
  </si>
  <si>
    <t>20220408_4832-XX_TOOLING LIST_IDY</t>
  </si>
  <si>
    <t>ASRD&amp;ARRD,スリーブ抜き、挿入治具用、型式適応表</t>
  </si>
  <si>
    <t>20150609_TOOLING LIST_KS-B22G</t>
  </si>
  <si>
    <t>20220901_TOOLING LIST_BRYANT_B(ID GRIND)</t>
  </si>
  <si>
    <t>KS-B22RD_内研機_20120419</t>
  </si>
  <si>
    <t>20200909_内研機KS-B100治具</t>
  </si>
  <si>
    <t>20210625_クイルTOOLING LIST_4652・4674(山本)</t>
  </si>
  <si>
    <t>MSB_SURFACE-GRINDING_TOOLING(20150213yamamoto)</t>
  </si>
  <si>
    <t>20171222_グリス入れ冶具(NZxxxx)</t>
  </si>
  <si>
    <t>20170330_トラックローラー_ASSY・すきま測定治具リスト</t>
  </si>
  <si>
    <t>TOOLING LIST_BEAM WELDING_20180801</t>
  </si>
  <si>
    <t>20191520_ニップルインサート治具リスト(4577-01-XXXX)</t>
  </si>
  <si>
    <t>20210412_4577-04・21_ハンドプレス用挿入上治具(山本)</t>
  </si>
  <si>
    <t>シール溶接済SPH挿入治具(中井寿)</t>
  </si>
  <si>
    <t>20170512_スリーブ挿入ピン(4577-22メカパーツ用)</t>
  </si>
  <si>
    <t>回転塗布機治具（3PIECE-RODEND用）</t>
  </si>
  <si>
    <t>20130329_500トンプレス用GP在庫リスト（山本）</t>
  </si>
  <si>
    <t>20181004_シムブロック（4571-17・18）</t>
  </si>
  <si>
    <t>20220909_4571-05-1xxx リングシム寸法表</t>
  </si>
  <si>
    <t>20191118_端面レーザーマーキング用治具(4819-14)</t>
  </si>
  <si>
    <t>20201112_TOOLING LIST_PAX2-CHUCK-JAW</t>
  </si>
  <si>
    <t>20180611_TOOLING LIST_TW-10_COLLET(THAI)</t>
  </si>
  <si>
    <t>ローラーピン_コレットチャック一覧表20140116</t>
  </si>
  <si>
    <t>20200325_TOOLING LIST_BBS KINMEI</t>
  </si>
  <si>
    <t>20180801_OKK用シム寸法表</t>
  </si>
  <si>
    <t>20160530_TOOLING LIST_巾仕上用ハイドラグリップリスト</t>
  </si>
  <si>
    <t>20180124_TOOLING LIST_MASTER BALL(4800-40,ZZ)</t>
  </si>
  <si>
    <t>20201019_球削アーバー(4649-05)</t>
  </si>
  <si>
    <t>20200619_TOOLING LIST_BODY COLLET</t>
  </si>
  <si>
    <t xml:space="preserve">内径仕上_ボディホルダーガイドピン </t>
  </si>
  <si>
    <t>20210916_TOOLING LIST_薄型ボディホルダー</t>
  </si>
  <si>
    <t>BD5XXX_ボディーホルダーLIST</t>
  </si>
  <si>
    <t>TOOLING LIST_マツダ旋盤_MS-50-S_20130506</t>
  </si>
  <si>
    <t>20220418_設計計算のみ有効・結果はACCESSに入力の事_FTL_TOOLING_LIST</t>
  </si>
  <si>
    <t>20210315_TOOLING LIST_J-WAVE</t>
  </si>
  <si>
    <t>20201209_TOOLING LIST_X-100</t>
  </si>
  <si>
    <t>20201209_TOOLING LIST_XD-8</t>
  </si>
  <si>
    <t>TOOLINGリスト_TAKAMAZ_NHBB</t>
  </si>
  <si>
    <t>4691-02-XXXX_ストッパー寸法表</t>
  </si>
  <si>
    <t>4691-07-0XXX_コレット寸法表</t>
  </si>
  <si>
    <t>4691-14-XXXX_CLLET BODY COLLAR_TOOLING LIST</t>
  </si>
  <si>
    <t>20210210_TOOLING LIST_SUPER SPHERE FINISH</t>
    <phoneticPr fontId="1"/>
  </si>
  <si>
    <t>20161129_内球ホーニング治具寸法表</t>
  </si>
  <si>
    <t>20150325_TOOLING LIST_HONING-FIXTURE</t>
  </si>
  <si>
    <t>20080107_機番5821号機用チャック</t>
  </si>
  <si>
    <t>20151201_KS-D80用チャック爪リスト</t>
  </si>
  <si>
    <t>20170306_大型アキシャル抜け荷重試験用治具</t>
  </si>
  <si>
    <t>20210804_回転トルク測定用治具リスト</t>
  </si>
  <si>
    <t>20230609_TOOLING LIST_4864-02-XXXX</t>
  </si>
  <si>
    <t>20210622_KS-B80_レバーピニオン内研_治具リスト</t>
  </si>
  <si>
    <t>9901-16_SYMMETRY MEASURING JIG (FOR SPHERICAL)寸法リスト</t>
  </si>
  <si>
    <t>検討依頼No.3168_組切削振分測定用治具の検討</t>
  </si>
  <si>
    <t>MASTER　RING GAUGE_9901-20-XXXX</t>
  </si>
  <si>
    <t>ローラー入りSPH＆RD_アキシャルすきま測定機用治具リスト</t>
  </si>
  <si>
    <t>202104_9738-04_AP隙間測定治具_IDY</t>
  </si>
  <si>
    <t>20200409_9738-05_4800-68_小型アキシャルすきま測定治具リスト</t>
  </si>
  <si>
    <t>20200824_小型ラジアル隙間測定機用クランプヘッド</t>
  </si>
  <si>
    <t>20220706_ABR_RADIAL CLEARANCE TOOLING</t>
    <phoneticPr fontId="1"/>
  </si>
  <si>
    <t>20160507_ラジアルすきま測定機センター用ピン</t>
  </si>
  <si>
    <t>20200304_KEY WAY MILLING TOOLING LIST</t>
    <phoneticPr fontId="1"/>
  </si>
  <si>
    <t>20160525_KEY WAY MILLING JIG_TOOLING LIST(4831-02-XXXXTYPE)</t>
  </si>
  <si>
    <t>20181005_TOOLING LIST_CENTER PIN</t>
  </si>
  <si>
    <t>20220824_スギノマシンタップ用治具</t>
  </si>
  <si>
    <t>20170208_2TKR系アイテムのツーリングリスト</t>
  </si>
  <si>
    <t>ローラーピン芯高</t>
  </si>
  <si>
    <t>20160119_トリム工程対象のレースリスト</t>
  </si>
  <si>
    <t>レシプロ加工治具リスト20170602</t>
  </si>
  <si>
    <t>20180821_KS-500RD_投入型式シュー対応表</t>
  </si>
  <si>
    <t>IDE製作中_20180828_TOOLING LIST_KS-500RD(SPHERICAL GRIND)</t>
  </si>
  <si>
    <t>20160905_4828-06・07（M8プラグ）寸法表</t>
  </si>
  <si>
    <t>20180629_MSB用ツーリング社内図面化リスト</t>
  </si>
  <si>
    <t>QUILL&amp;BOLT LIST20151009</t>
  </si>
  <si>
    <t>TEIKEN LIST_JURAIRAT LIST_20150112</t>
  </si>
  <si>
    <t>砥石先(password_10250)</t>
  </si>
  <si>
    <t>20151013_BRYANT_PLUG-GAUGE(REF ONLY)</t>
  </si>
  <si>
    <t>（磯貝）マスターリングゲージ</t>
  </si>
  <si>
    <t>PEXXXX クランププレート</t>
    <phoneticPr fontId="1"/>
  </si>
  <si>
    <t>20171220_ミネロン治具_TOOLING LIST</t>
  </si>
  <si>
    <t>20180803_TOOLING LIST_ロッドエンドボディ用レーザマーキング治具</t>
  </si>
  <si>
    <t>20190705_マスキング治具</t>
  </si>
  <si>
    <t>KS-B22RD_BoreSortToolingList</t>
  </si>
  <si>
    <t>20200629_GC・CNヤトイ計算式</t>
    <phoneticPr fontId="1"/>
  </si>
  <si>
    <t>SHANK HOLDER</t>
    <phoneticPr fontId="1"/>
  </si>
  <si>
    <t>フォーミングバイト</t>
    <phoneticPr fontId="1"/>
  </si>
  <si>
    <t>BODY内径溝入れバイト</t>
  </si>
  <si>
    <t>RECESS</t>
  </si>
  <si>
    <t>シール溝</t>
  </si>
  <si>
    <t>Q-</t>
  </si>
  <si>
    <t>4693-05-XXXX-XX_20160525_コロマント式ニップル加工治具リスト</t>
    <phoneticPr fontId="1"/>
  </si>
  <si>
    <t xml:space="preserve">ニップル加工 </t>
  </si>
  <si>
    <t>MAZAK</t>
  </si>
  <si>
    <t>R16A</t>
  </si>
  <si>
    <t>04</t>
  </si>
  <si>
    <t>OKK</t>
  </si>
  <si>
    <t>シム</t>
  </si>
  <si>
    <t>KS-B80</t>
  </si>
  <si>
    <t>KS-B22G</t>
  </si>
  <si>
    <t>KS-450C</t>
  </si>
  <si>
    <t>KL20</t>
  </si>
  <si>
    <t>01</t>
  </si>
  <si>
    <t>02</t>
  </si>
  <si>
    <t>KS-500RD</t>
  </si>
  <si>
    <t>08</t>
  </si>
  <si>
    <t>FTL</t>
  </si>
  <si>
    <t>42</t>
  </si>
  <si>
    <t>MS-50-S</t>
  </si>
  <si>
    <t>PSG-64</t>
  </si>
  <si>
    <t>BRYANT</t>
  </si>
  <si>
    <t>外研</t>
  </si>
  <si>
    <t>OC-16A</t>
  </si>
  <si>
    <t>GI20-N</t>
  </si>
  <si>
    <t>05</t>
  </si>
  <si>
    <t>06</t>
  </si>
  <si>
    <t>巾ラップ</t>
  </si>
  <si>
    <t>03</t>
  </si>
  <si>
    <t>ヤトイ</t>
  </si>
  <si>
    <t>07</t>
  </si>
  <si>
    <t>シムブロック</t>
  </si>
  <si>
    <t>リングシム</t>
  </si>
  <si>
    <t>スリーブ挿入　グリス注入</t>
  </si>
  <si>
    <t>組立</t>
  </si>
  <si>
    <t>ニップル挿入</t>
  </si>
  <si>
    <t>ハンドプレス挿入</t>
  </si>
  <si>
    <t>0４</t>
  </si>
  <si>
    <t>SPH挿入治具</t>
  </si>
  <si>
    <t>スリーブ挿入治具</t>
  </si>
  <si>
    <t>球削アーバー</t>
  </si>
  <si>
    <t>ACCESS</t>
  </si>
  <si>
    <t>内径仕上げ</t>
  </si>
  <si>
    <t>ボディーホルダーガイドピン</t>
  </si>
  <si>
    <t>ボディーホルダー</t>
  </si>
  <si>
    <t>クランププレート</t>
  </si>
  <si>
    <t>KS-400B</t>
  </si>
  <si>
    <t>IG-15N</t>
  </si>
  <si>
    <t>MC-710V</t>
  </si>
  <si>
    <t>ARBOR etc..</t>
  </si>
  <si>
    <t>接着</t>
  </si>
  <si>
    <t>ロータリードレッサー</t>
  </si>
  <si>
    <t>マスターボール</t>
  </si>
  <si>
    <t>ロールダイス</t>
  </si>
  <si>
    <t>ミネロン塗布</t>
  </si>
  <si>
    <t>ALL</t>
  </si>
  <si>
    <t>OTHER</t>
  </si>
  <si>
    <t>Sigma-18-l</t>
  </si>
  <si>
    <t>TW-10</t>
  </si>
  <si>
    <t>シーラント塗布</t>
  </si>
  <si>
    <t>レーザーマーキング</t>
  </si>
  <si>
    <t>KN-312B</t>
  </si>
  <si>
    <t>溝研</t>
  </si>
  <si>
    <t>09</t>
  </si>
  <si>
    <t>溝研　MSB</t>
  </si>
  <si>
    <t>SCV-1122TE</t>
  </si>
  <si>
    <t>タップ加工</t>
  </si>
  <si>
    <t>リベット</t>
  </si>
  <si>
    <t>X-100</t>
  </si>
  <si>
    <t>コレット一式</t>
  </si>
  <si>
    <t>XD-8</t>
  </si>
  <si>
    <t>スギノ</t>
  </si>
  <si>
    <t>TOYO</t>
  </si>
  <si>
    <t>KS-B22RD</t>
  </si>
  <si>
    <t>BORE SORT</t>
  </si>
  <si>
    <t>MPC600Ⅲ</t>
  </si>
  <si>
    <t>シャフト カラー マスキング</t>
  </si>
  <si>
    <t>J-WAVE</t>
  </si>
  <si>
    <t>PAK2</t>
  </si>
  <si>
    <t>ダイヤフラムチャック爪</t>
  </si>
  <si>
    <t>KS-400B5</t>
  </si>
  <si>
    <t>組み合わせ</t>
  </si>
  <si>
    <t>68</t>
  </si>
  <si>
    <t>KS-B100</t>
  </si>
  <si>
    <t>爪</t>
  </si>
  <si>
    <t>KS-400B6(KS-400)</t>
  </si>
  <si>
    <t>PILOT PIN</t>
  </si>
  <si>
    <t>揺動トルク</t>
  </si>
  <si>
    <t>←データベース</t>
  </si>
  <si>
    <t>抜け荷重</t>
  </si>
  <si>
    <t>アキシャルすきま測定</t>
  </si>
  <si>
    <t>ラジアルすきま測定</t>
  </si>
  <si>
    <t>大型抜け荷重</t>
  </si>
  <si>
    <t>回転トルク</t>
  </si>
  <si>
    <t>同芯度測定</t>
  </si>
  <si>
    <t>SPH振分測定</t>
  </si>
  <si>
    <t>ゆるめ前SPH振り分け測定</t>
  </si>
  <si>
    <t>マスターリング</t>
  </si>
  <si>
    <t>GI-5N GI-20N</t>
  </si>
  <si>
    <t>ローラーピン加工</t>
  </si>
  <si>
    <t>B-12</t>
  </si>
  <si>
    <t>500トンプレス</t>
  </si>
  <si>
    <t>GP</t>
  </si>
  <si>
    <t>外研アーバー</t>
  </si>
  <si>
    <t>JA</t>
  </si>
  <si>
    <t>グリス入れ</t>
  </si>
  <si>
    <t>NZ</t>
  </si>
  <si>
    <t>キー溝カッター</t>
  </si>
  <si>
    <t>X-52</t>
  </si>
  <si>
    <t>レシプロ</t>
  </si>
  <si>
    <t>NHBB</t>
  </si>
  <si>
    <t>TAKAMAZ</t>
  </si>
  <si>
    <t>振り分け測定</t>
  </si>
  <si>
    <t>16</t>
  </si>
  <si>
    <t>リスト</t>
  </si>
  <si>
    <t>N-</t>
  </si>
  <si>
    <t>19</t>
  </si>
  <si>
    <t>設計</t>
  </si>
  <si>
    <t>リスト　Excelファイル名</t>
  </si>
  <si>
    <t>分類コード</t>
  </si>
  <si>
    <t>治具選定</t>
  </si>
  <si>
    <t>20240612_揺動トルク測定治具設計基準</t>
    <phoneticPr fontId="1"/>
  </si>
  <si>
    <t>新_転造ダイス先端R</t>
    <phoneticPr fontId="1"/>
  </si>
  <si>
    <t>20240711_TOOLING_LIST_ROLLER BLADE</t>
    <phoneticPr fontId="1"/>
  </si>
  <si>
    <t>工程(Process)</t>
  </si>
  <si>
    <t>マシン(Machine)</t>
  </si>
  <si>
    <t>詳細(Detail)</t>
  </si>
  <si>
    <t>図番(DWG/NO.)</t>
  </si>
  <si>
    <t>20180523_PLATE選定_4001-01-XXXX_(IDY)</t>
  </si>
  <si>
    <t>マシニング(MACHINING)</t>
  </si>
  <si>
    <t>HX400iα</t>
  </si>
  <si>
    <t>ドリルインスペクションホール(DRILL INSPECT HOLE)</t>
  </si>
  <si>
    <t>タイ(THAI)</t>
  </si>
  <si>
    <t>ボディーコレット(BODY COLLET)</t>
  </si>
  <si>
    <t>転造(ROLLING)</t>
  </si>
  <si>
    <t>ローラーブレード(ROLLER BLADE)</t>
  </si>
  <si>
    <t>巾切削(MILL)</t>
  </si>
  <si>
    <t>4011-01-XXXX_BLADE_LIST.xlsx</t>
  </si>
  <si>
    <t>ネジ下研</t>
  </si>
  <si>
    <t>BLADE</t>
  </si>
  <si>
    <t>研磨(GRIND)</t>
  </si>
  <si>
    <t>内研 (ID GRIND)　CBN</t>
  </si>
  <si>
    <t>内研 (ID GRIND)</t>
  </si>
  <si>
    <t>ローラーピン (ROLLER PIN)</t>
  </si>
  <si>
    <t>松井田(MTD)</t>
  </si>
  <si>
    <t>トリム(TRIM)</t>
  </si>
  <si>
    <t>球研(OD GRIND)</t>
  </si>
  <si>
    <t>組切削(TURN SPH)</t>
  </si>
  <si>
    <t>コレットチャック(COLLET CHUCK)</t>
  </si>
  <si>
    <t>ｷｰ溝加工(KEY WAY MILLING)</t>
  </si>
  <si>
    <t>ハイドラグリップ(HYDRA GRIP)</t>
  </si>
  <si>
    <t>コレット(COLLET)</t>
  </si>
  <si>
    <t>平研(SURFACE GRIND)</t>
  </si>
  <si>
    <t>巾研(FACE GRIND)</t>
  </si>
  <si>
    <t>巾研(FACE GRIND)CARRIER</t>
  </si>
  <si>
    <t>センタレス(CENTER LESS)</t>
  </si>
  <si>
    <t>超仕上げ(SUPER FINISH)</t>
  </si>
  <si>
    <t>仕上げ(FINISH)</t>
  </si>
  <si>
    <t>メカパーツ(MECHANICAL PARTS)</t>
  </si>
  <si>
    <t>シール溶接(WELD SEAL)</t>
  </si>
  <si>
    <t>内径仕上げ(FINISH ID)</t>
  </si>
  <si>
    <t>薄型ボディーホルダー(BODY HOLDER (NEW TYPE))</t>
  </si>
  <si>
    <t>4652-18-XXXX_TOOLING LIST_BODY HOLDER YATOI TYPE</t>
  </si>
  <si>
    <t>内球研(ID OD GRIND)</t>
  </si>
  <si>
    <t>GI-20N</t>
  </si>
  <si>
    <t>ボディーホルダーヤトイタイプ(BODY HOLDER YATOI TYPE)</t>
  </si>
  <si>
    <t>チャック(CHUCK)</t>
  </si>
  <si>
    <t>20210210_TOOLING LIST_SUPER SPHERE FINISH</t>
  </si>
  <si>
    <t>カラー(COLLAR)</t>
  </si>
  <si>
    <t>マスキング治具(MASKING JIG)</t>
  </si>
  <si>
    <t>20210520_ロータリードレッサー分類表(坂本).xls</t>
  </si>
  <si>
    <t>内研 (ID GRIND) ワークストッパー</t>
  </si>
  <si>
    <t>巾研(FACE GRIND)CHUTE COVER</t>
  </si>
  <si>
    <t>センタレス(CENTERLESS)</t>
  </si>
  <si>
    <t>検査(CHECK)</t>
  </si>
  <si>
    <t>内研(ID GRIND) クイル＆ボルト</t>
  </si>
  <si>
    <t>レシプロ全般</t>
  </si>
  <si>
    <t>ストッパー(STOPPER)</t>
    <phoneticPr fontId="1"/>
  </si>
  <si>
    <t>内研 (ID GRIND)</t>
    <phoneticPr fontId="1"/>
  </si>
  <si>
    <t>内研 (ID GRIND)プラグゲージ(PLUG GAUGE)</t>
    <phoneticPr fontId="1"/>
  </si>
  <si>
    <t>切削(TURNING)</t>
  </si>
  <si>
    <t>切削(TURNING)</t>
    <phoneticPr fontId="1"/>
  </si>
  <si>
    <t>3DプリンターLIST [20240923イノベーターに統合予定]</t>
    <phoneticPr fontId="1"/>
  </si>
  <si>
    <t>20230523_リベッティングマシン用治具(4843-XX-XXXX)リスト.xlsx</t>
    <phoneticPr fontId="1"/>
  </si>
  <si>
    <t>20221024_X-52_キー溝カッターリスト</t>
    <phoneticPr fontId="1"/>
  </si>
  <si>
    <t>CBN LIST_20150121</t>
    <phoneticPr fontId="1"/>
  </si>
  <si>
    <t>20240918_内研機IG-15N_TOOLING LIST</t>
    <phoneticPr fontId="1"/>
  </si>
  <si>
    <t>（計算式追加予定_山本）20240912_TOOLING LIST_KS-400B6</t>
    <phoneticPr fontId="1"/>
  </si>
  <si>
    <t>02</t>
    <phoneticPr fontId="1"/>
  </si>
  <si>
    <t>08</t>
    <phoneticPr fontId="1"/>
  </si>
  <si>
    <t>20240426_抜け荷重試験治具設計基準</t>
    <phoneticPr fontId="1"/>
  </si>
  <si>
    <t>(磯貝)スギノマシンSCV-1122TE(3409機)用芯金リスト</t>
    <phoneticPr fontId="1"/>
  </si>
  <si>
    <t>20241204_TOOLING LIST_KL-20(TRIM)</t>
  </si>
  <si>
    <t>4649-03-XXXX_SHANK HOLDER</t>
  </si>
  <si>
    <t>20250106_COLLET CHUCK_4674-05-XXXX</t>
  </si>
  <si>
    <t>BLANK HEAD</t>
  </si>
  <si>
    <t>内研</t>
  </si>
  <si>
    <t>GI-5N</t>
  </si>
  <si>
    <t>20241223_TOOLING LIST_KS-400B5</t>
    <phoneticPr fontId="1"/>
  </si>
  <si>
    <t>20250217_TOOLING LIST_4853-XX_和泉用治具</t>
    <phoneticPr fontId="1"/>
  </si>
  <si>
    <t>20241223_TOOLING LIST_KS-B80</t>
    <phoneticPr fontId="1"/>
  </si>
  <si>
    <t>ファイル破損したエクセルの内容を下記に張り付け、M列が「FALSE」になった部分を修正して、「A-K列」に移植すること</t>
    <rPh sb="4" eb="6">
      <t>ハソン</t>
    </rPh>
    <rPh sb="13" eb="15">
      <t>ナイヨウ</t>
    </rPh>
    <rPh sb="16" eb="18">
      <t>カキ</t>
    </rPh>
    <rPh sb="19" eb="20">
      <t>ハ</t>
    </rPh>
    <rPh sb="21" eb="22">
      <t>ツ</t>
    </rPh>
    <rPh sb="25" eb="26">
      <t>レツ</t>
    </rPh>
    <rPh sb="38" eb="40">
      <t>ブブン</t>
    </rPh>
    <rPh sb="41" eb="43">
      <t>シュウセイ</t>
    </rPh>
    <rPh sb="50" eb="51">
      <t>レツ</t>
    </rPh>
    <rPh sb="53" eb="55">
      <t>イショク</t>
    </rPh>
    <phoneticPr fontId="1"/>
  </si>
  <si>
    <t>MACHINING</t>
    <phoneticPr fontId="1"/>
  </si>
  <si>
    <t>SUPER FINISH</t>
  </si>
  <si>
    <t>GRIND</t>
  </si>
  <si>
    <t>FINISH ID</t>
  </si>
  <si>
    <t>SAND BRAST</t>
  </si>
  <si>
    <t>DRY FILM</t>
  </si>
  <si>
    <t>MILL</t>
    <phoneticPr fontId="1"/>
  </si>
  <si>
    <t>SWAGE</t>
    <phoneticPr fontId="1"/>
  </si>
  <si>
    <t>ASRD</t>
    <phoneticPr fontId="1"/>
  </si>
  <si>
    <t>MECHA PARTS</t>
    <phoneticPr fontId="1"/>
  </si>
  <si>
    <t>HAND PRESS</t>
    <phoneticPr fontId="1"/>
  </si>
  <si>
    <t>TKR</t>
    <phoneticPr fontId="1"/>
  </si>
  <si>
    <t>ゆるめ(RELEASE)</t>
    <phoneticPr fontId="1"/>
  </si>
  <si>
    <t>RELEASE</t>
  </si>
  <si>
    <t>WELD SEEL</t>
    <phoneticPr fontId="1"/>
  </si>
  <si>
    <t>TURNING</t>
    <phoneticPr fontId="1"/>
  </si>
  <si>
    <t>内径仕上げ(FINISH ID)</t>
    <phoneticPr fontId="1"/>
  </si>
  <si>
    <t>超仕上げ(SUPER FINISH)</t>
    <phoneticPr fontId="1"/>
  </si>
  <si>
    <t>サンドブラスト(SAND BRAST)</t>
    <phoneticPr fontId="1"/>
  </si>
  <si>
    <t>ドライフィルム(DRY FILM)</t>
    <phoneticPr fontId="1"/>
  </si>
  <si>
    <t>研磨(GRIND)</t>
    <phoneticPr fontId="1"/>
  </si>
  <si>
    <t>BONDING</t>
    <phoneticPr fontId="1"/>
  </si>
  <si>
    <t>ROLLING</t>
    <phoneticPr fontId="1"/>
  </si>
  <si>
    <t>SEALANT</t>
    <phoneticPr fontId="1"/>
  </si>
  <si>
    <t>MARKING</t>
    <phoneticPr fontId="1"/>
  </si>
  <si>
    <t>IZUMI</t>
    <phoneticPr fontId="1"/>
  </si>
  <si>
    <t>IB-1V・SCV</t>
    <phoneticPr fontId="1"/>
  </si>
  <si>
    <t>RIVET</t>
    <phoneticPr fontId="1"/>
  </si>
  <si>
    <t>SUPER FINISH</t>
    <phoneticPr fontId="1"/>
  </si>
  <si>
    <t>MINELON</t>
    <phoneticPr fontId="1"/>
  </si>
  <si>
    <t>TORQUE</t>
    <phoneticPr fontId="1"/>
  </si>
  <si>
    <t>AX</t>
    <phoneticPr fontId="1"/>
  </si>
  <si>
    <t>AP</t>
    <phoneticPr fontId="1"/>
  </si>
  <si>
    <t>AP(SMALL)</t>
    <phoneticPr fontId="1"/>
  </si>
  <si>
    <t>AR(LARGE)</t>
    <phoneticPr fontId="1"/>
  </si>
  <si>
    <t>RP(ROLLER)</t>
    <phoneticPr fontId="1"/>
  </si>
  <si>
    <t>9901-16_SYMMETRY MEASURING JIG (FOR SPHERICAL)寸法リスト</t>
    <phoneticPr fontId="1"/>
  </si>
  <si>
    <t>SYMMETRY</t>
  </si>
  <si>
    <t>MASTER RING</t>
    <phoneticPr fontId="1"/>
  </si>
  <si>
    <t>20190524_TOOLING LIST_CONCENTRICITY MEASURING PIN</t>
    <phoneticPr fontId="1"/>
  </si>
  <si>
    <t>CONCENTRICITY</t>
  </si>
  <si>
    <t>PRESS</t>
    <phoneticPr fontId="1"/>
  </si>
  <si>
    <t>OD</t>
    <phoneticPr fontId="1"/>
  </si>
  <si>
    <t>6AXIS</t>
    <phoneticPr fontId="1"/>
  </si>
  <si>
    <t>KEYWAY</t>
    <phoneticPr fontId="1"/>
  </si>
  <si>
    <t>RP(THAI)</t>
    <phoneticPr fontId="1"/>
  </si>
  <si>
    <t>GREASE</t>
    <phoneticPr fontId="1"/>
  </si>
  <si>
    <t>CITIZEN b12</t>
    <phoneticPr fontId="1"/>
  </si>
  <si>
    <t>TSG300(SEIBU)</t>
    <phoneticPr fontId="1"/>
  </si>
  <si>
    <t>HAMAI</t>
    <phoneticPr fontId="1"/>
  </si>
  <si>
    <t>NISSIN</t>
    <phoneticPr fontId="1"/>
  </si>
  <si>
    <t>OMIYA</t>
    <phoneticPr fontId="1"/>
  </si>
  <si>
    <t>BBS KINMEI</t>
    <phoneticPr fontId="1"/>
  </si>
  <si>
    <t>4652・4674</t>
    <phoneticPr fontId="1"/>
  </si>
  <si>
    <t>01・03</t>
    <phoneticPr fontId="1"/>
  </si>
  <si>
    <t>4021・4853</t>
    <phoneticPr fontId="1"/>
  </si>
  <si>
    <t>RECIPRO</t>
    <phoneticPr fontId="1"/>
  </si>
  <si>
    <t>20250730_ミネロン塗布治具(MUSASHI用)</t>
    <rPh sb="13" eb="17">
      <t>トフジグ</t>
    </rPh>
    <rPh sb="25" eb="26">
      <t>ヨウ</t>
    </rPh>
    <phoneticPr fontId="1"/>
  </si>
  <si>
    <t>ミネロン塗布</t>
    <rPh sb="4" eb="6">
      <t>トフ</t>
    </rPh>
    <phoneticPr fontId="1"/>
  </si>
  <si>
    <t>MUSASHI</t>
    <phoneticPr fontId="1"/>
  </si>
  <si>
    <t>ミネロン塗布治具</t>
    <rPh sb="6" eb="8">
      <t>ジグ</t>
    </rPh>
    <phoneticPr fontId="1"/>
  </si>
  <si>
    <t>06</t>
    <phoneticPr fontId="1"/>
  </si>
  <si>
    <t>CHART番号</t>
    <phoneticPr fontId="1"/>
  </si>
  <si>
    <t>チャート</t>
    <phoneticPr fontId="1"/>
  </si>
  <si>
    <t>チャート</t>
    <phoneticPr fontId="1"/>
  </si>
  <si>
    <t>CH・RD</t>
    <phoneticPr fontId="1"/>
  </si>
  <si>
    <t>FO-1</t>
    <phoneticPr fontId="1"/>
  </si>
  <si>
    <t>01</t>
    <phoneticPr fontId="1"/>
  </si>
  <si>
    <t>20260202_TOOLING LIST_FO-1 COLLET(4657-01-Rxxx)</t>
    <phoneticPr fontId="1"/>
  </si>
  <si>
    <t>PBベアリング　KVD300CRⅡ</t>
    <phoneticPr fontId="1"/>
  </si>
  <si>
    <t>KVD300CRⅡ</t>
    <phoneticPr fontId="1"/>
  </si>
  <si>
    <t>巾研</t>
    <rPh sb="0" eb="2">
      <t>ハバケン</t>
    </rPh>
    <phoneticPr fontId="1"/>
  </si>
  <si>
    <t>01</t>
    <phoneticPr fontId="1"/>
  </si>
  <si>
    <t>04</t>
    <phoneticPr fontId="1"/>
  </si>
  <si>
    <t>電着砥石</t>
    <rPh sb="0" eb="4">
      <t>デンチャクトイシ</t>
    </rPh>
    <phoneticPr fontId="1"/>
  </si>
  <si>
    <t>KS-B22RD</t>
    <phoneticPr fontId="1"/>
  </si>
  <si>
    <t>IG-15N/GI-20N</t>
    <phoneticPr fontId="1"/>
  </si>
  <si>
    <t>03</t>
    <phoneticPr fontId="1"/>
  </si>
  <si>
    <t>20210625_クイルTOOLING LIST_4652・4674(山本).xls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</si>
</sst>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u/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0"/>
      <name val="游ゴシック"/>
      <family val="3"/>
      <charset val="128"/>
    </font>
    <font>
      <sz val="11"/>
      <color theme="1"/>
      <name val="Tahoma"/>
      <family val="2"/>
    </font>
    <font>
      <u/>
      <sz val="11"/>
      <color theme="1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0000"/>
        <bgColor rgb="FFFF00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0" fontId="4" fillId="0" borderId="1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2" fillId="0" borderId="1" xfId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3" fillId="3" borderId="1" xfId="1" applyFont="1" applyFill="1" applyBorder="1" applyAlignment="1">
      <alignment vertical="center" shrinkToFi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176" fontId="4" fillId="0" borderId="1" xfId="0" applyNumberFormat="1" applyFont="1" applyBorder="1" applyAlignment="1">
      <alignment horizontal="center" vertical="center" shrinkToFit="1"/>
    </xf>
    <xf numFmtId="0" fontId="0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shrinkToFit="1"/>
    </xf>
    <xf numFmtId="0" fontId="4" fillId="4" borderId="1" xfId="0" applyFont="1" applyFill="1" applyBorder="1" applyAlignment="1">
      <alignment vertical="center" shrinkToFit="1"/>
    </xf>
    <xf numFmtId="0" fontId="4" fillId="4" borderId="1" xfId="0" applyFont="1" applyFill="1" applyBorder="1" applyAlignment="1">
      <alignment horizontal="center" vertical="center"/>
    </xf>
    <xf numFmtId="176" fontId="4" fillId="0" borderId="1" xfId="0" quotePrefix="1" applyNumberFormat="1" applyFont="1" applyBorder="1" applyAlignment="1">
      <alignment horizontal="center" vertical="center" shrinkToFit="1"/>
    </xf>
    <xf numFmtId="176" fontId="4" fillId="4" borderId="1" xfId="0" applyNumberFormat="1" applyFont="1" applyFill="1" applyBorder="1" applyAlignment="1">
      <alignment horizontal="center" vertical="center" shrinkToFit="1"/>
    </xf>
    <xf numFmtId="0" fontId="4" fillId="4" borderId="1" xfId="0" applyFont="1" applyFill="1" applyBorder="1" applyAlignment="1">
      <alignment horizontal="center" vertical="center" shrinkToFit="1"/>
    </xf>
    <xf numFmtId="49" fontId="4" fillId="4" borderId="1" xfId="0" applyNumberFormat="1" applyFont="1" applyFill="1" applyBorder="1" applyAlignment="1">
      <alignment horizontal="center" vertical="center" shrinkToFit="1"/>
    </xf>
    <xf numFmtId="0" fontId="0" fillId="0" borderId="1" xfId="0" applyBorder="1">
      <alignment vertical="center"/>
    </xf>
    <xf numFmtId="0" fontId="7" fillId="0" borderId="1" xfId="0" applyFont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shrinkToFit="1"/>
    </xf>
    <xf numFmtId="0" fontId="4" fillId="4" borderId="1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5" borderId="1" xfId="0" applyFont="1" applyFill="1" applyBorder="1" applyAlignment="1">
      <alignment vertical="center" shrinkToFit="1"/>
    </xf>
    <xf numFmtId="0" fontId="4" fillId="5" borderId="1" xfId="0" applyFont="1" applyFill="1" applyBorder="1" applyAlignment="1">
      <alignment horizontal="center"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0" fontId="4" fillId="5" borderId="1" xfId="0" applyFont="1" applyFill="1" applyBorder="1" applyAlignment="1">
      <alignment horizontal="center" vertical="center" shrinkToFit="1"/>
    </xf>
    <xf numFmtId="0" fontId="0" fillId="0" borderId="1" xfId="0" applyFont="1" applyBorder="1" applyAlignment="1">
      <alignment vertical="center" shrinkToFit="1"/>
    </xf>
    <xf numFmtId="0" fontId="7" fillId="0" borderId="1" xfId="0" applyFont="1" applyBorder="1" applyAlignment="1">
      <alignment horizontal="center" vertical="center" shrinkToFit="1"/>
    </xf>
    <xf numFmtId="49" fontId="7" fillId="0" borderId="1" xfId="0" applyNumberFormat="1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6" fillId="0" borderId="1" xfId="0" applyFont="1" applyBorder="1" applyAlignment="1">
      <alignment vertical="center" shrinkToFit="1"/>
    </xf>
    <xf numFmtId="0" fontId="4" fillId="0" borderId="2" xfId="0" applyFont="1" applyBorder="1" applyAlignment="1">
      <alignment vertical="center" shrinkToFit="1"/>
    </xf>
    <xf numFmtId="0" fontId="4" fillId="0" borderId="2" xfId="0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176" fontId="4" fillId="4" borderId="2" xfId="0" applyNumberFormat="1" applyFont="1" applyFill="1" applyBorder="1" applyAlignment="1">
      <alignment horizontal="center" vertical="center" shrinkToFit="1"/>
    </xf>
    <xf numFmtId="0" fontId="4" fillId="4" borderId="2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vertical="center"/>
    </xf>
    <xf numFmtId="176" fontId="4" fillId="0" borderId="2" xfId="0" quotePrefix="1" applyNumberFormat="1" applyFont="1" applyBorder="1" applyAlignment="1">
      <alignment horizontal="center" vertical="center" shrinkToFit="1"/>
    </xf>
    <xf numFmtId="0" fontId="4" fillId="5" borderId="2" xfId="0" applyFont="1" applyFill="1" applyBorder="1" applyAlignment="1">
      <alignment vertical="center" shrinkToFit="1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shrinkToFit="1"/>
    </xf>
    <xf numFmtId="0" fontId="4" fillId="0" borderId="2" xfId="0" quotePrefix="1" applyFont="1" applyBorder="1" applyAlignment="1">
      <alignment horizontal="center" vertical="center" shrinkToFit="1"/>
    </xf>
    <xf numFmtId="0" fontId="2" fillId="0" borderId="2" xfId="1" applyBorder="1" applyAlignment="1">
      <alignment vertical="center" shrinkToFit="1"/>
    </xf>
    <xf numFmtId="0" fontId="2" fillId="0" borderId="3" xfId="1" applyBorder="1" applyAlignment="1">
      <alignment vertical="center" shrinkToFit="1"/>
    </xf>
    <xf numFmtId="0" fontId="0" fillId="0" borderId="0" xfId="0" applyBorder="1" applyAlignment="1">
      <alignment vertical="center"/>
    </xf>
    <xf numFmtId="0" fontId="4" fillId="0" borderId="4" xfId="0" applyFont="1" applyBorder="1" applyAlignment="1">
      <alignment vertical="center" shrinkToFit="1"/>
    </xf>
    <xf numFmtId="0" fontId="4" fillId="0" borderId="4" xfId="0" applyFont="1" applyBorder="1" applyAlignment="1">
      <alignment horizontal="center" vertical="center"/>
    </xf>
    <xf numFmtId="176" fontId="4" fillId="4" borderId="4" xfId="0" applyNumberFormat="1" applyFont="1" applyFill="1" applyBorder="1" applyAlignment="1">
      <alignment horizontal="center" vertical="center" shrinkToFit="1"/>
    </xf>
    <xf numFmtId="0" fontId="4" fillId="4" borderId="4" xfId="0" applyFont="1" applyFill="1" applyBorder="1" applyAlignment="1">
      <alignment horizontal="center" vertical="center" shrinkToFit="1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vertical="center" wrapText="1" shrinkToFit="1"/>
    </xf>
    <xf numFmtId="0" fontId="9" fillId="0" borderId="1" xfId="0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0" fontId="2" fillId="0" borderId="1" xfId="1" applyBorder="1">
      <alignment vertical="center"/>
    </xf>
    <xf numFmtId="0" fontId="2" fillId="0" borderId="0" xfId="1" applyBorder="1" applyAlignment="1">
      <alignment vertical="center" shrinkToFit="1"/>
    </xf>
    <xf numFmtId="0" fontId="4" fillId="0" borderId="5" xfId="0" applyFont="1" applyBorder="1" applyAlignment="1">
      <alignment vertical="center" shrinkToFit="1"/>
    </xf>
    <xf numFmtId="0" fontId="4" fillId="0" borderId="5" xfId="0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0" fillId="0" borderId="5" xfId="0" applyFont="1" applyBorder="1" applyAlignment="1">
      <alignment vertical="center"/>
    </xf>
    <xf numFmtId="0" fontId="8" fillId="5" borderId="2" xfId="0" applyFont="1" applyFill="1" applyBorder="1" applyAlignment="1">
      <alignment vertical="center" shrinkToFit="1"/>
    </xf>
    <xf numFmtId="49" fontId="4" fillId="5" borderId="2" xfId="0" applyNumberFormat="1" applyFont="1" applyFill="1" applyBorder="1" applyAlignment="1">
      <alignment horizontal="center" vertical="center" shrinkToFit="1"/>
    </xf>
    <xf numFmtId="0" fontId="4" fillId="0" borderId="0" xfId="0" applyFont="1" applyBorder="1" applyAlignment="1">
      <alignment vertical="center" shrinkToFit="1"/>
    </xf>
    <xf numFmtId="0" fontId="4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/>
    </xf>
    <xf numFmtId="176" fontId="4" fillId="0" borderId="4" xfId="0" quotePrefix="1" applyNumberFormat="1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../&#20849;&#26377;&#12489;&#12521;&#12452;&#12502;/RD%20Development%20Technology%20Review%20Request/Tooling%20Select/DesignStandards_Dimensions_InventoryData/&#30740;&#30952;_&#20869;&#30740;_GC&#12539;CN&#12516;&#12488;&#12452;&#35373;&#35336;(&#26494;&#26412;)/4652-18-XXXX_TOOLING%20LIST_BODY%20HOLDER%20YATOI%20TYPE.xlsx" TargetMode="External"/><Relationship Id="rId21" Type="http://schemas.openxmlformats.org/officeDocument/2006/relationships/hyperlink" Target="DesignStandards_Dimensions_InventoryData\&#30740;&#30952;_&#20869;&#30740;_4021-XX_KS-B80(&#22338;&#26412;)\20241223_TOOLING%20LIST_KS-B80.xlsx" TargetMode="External"/><Relationship Id="rId42" Type="http://schemas.openxmlformats.org/officeDocument/2006/relationships/hyperlink" Target="DesignStandards_Dimensions_InventoryData/&#20999;&#21066;_TW-10(THAI)_COLLET&#65288;&#23665;&#26412;&#65289;/20180611_TOOLING%20LIST_TW-10_COLLET(THAI).xlsx" TargetMode="External"/><Relationship Id="rId63" Type="http://schemas.openxmlformats.org/officeDocument/2006/relationships/hyperlink" Target="DesignStandards_Dimensions_InventoryData/&#36229;&#20181;&#19978;&#12370;_&#20869;&#24452;_4568-XX(GH&#12539;GB)_&#12507;&#12540;&#12491;&#12531;&#12464;&#29992;&#27835;&#20855;(&#20013;&#20117;&#23551;)/20150325_TOOLING%20LIST_HONING-FIXTURE.xlsx" TargetMode="External"/><Relationship Id="rId84" Type="http://schemas.openxmlformats.org/officeDocument/2006/relationships/hyperlink" Target="DesignStandards_Dimensions_InventoryData/&#12510;&#12471;&#12491;&#12531;&#12464;_&#12461;&#12540;&#28317;&#21152;&#24037;&#29992;&#27835;&#20855;_SCV-1122TE%20&amp;%20IB-1V&#65288;&#27018;&#21407;&#65289;/20160525_KEY%20WAY%20MILLING%20JIG_TOOLING%20LIST(4831-02-XXXXTYPE).xlsx" TargetMode="External"/><Relationship Id="rId16" Type="http://schemas.openxmlformats.org/officeDocument/2006/relationships/hyperlink" Target="DesignStandards_Dimensions_InventoryData\&#30740;&#30952;_&#24062;&#30740;_4564-XX_&#27996;&#20117;&#24062;&#12521;&#12483;&#12503;&#30436;5B\20160329_TOOLING%20LIST_&#24062;&#12521;&#12483;&#12503;&#12461;&#12515;&#12522;&#12450;.xlsx" TargetMode="External"/><Relationship Id="rId107" Type="http://schemas.openxmlformats.org/officeDocument/2006/relationships/hyperlink" Target="DesignStandards_Dimensions_InventoryData/&#21697;&#31649;_9901-16_SPH&#25391;&#20998;&#28204;&#23450;&#29992;&#27835;&#20855;(&#23665;&#26412;)/9901-16_SYMMETRY%20MEASURING%20JIG%20(FOR%20SPHERICAL)&#23544;&#27861;&#12522;&#12473;&#12488;.xlsx" TargetMode="External"/><Relationship Id="rId11" Type="http://schemas.openxmlformats.org/officeDocument/2006/relationships/hyperlink" Target="DesignStandards_Dimensions_InventoryData/&#30740;&#30952;_&#29699;&#30740;_4828-01_&#12452;&#12474;&#12511;&#29699;&#30740;&#27231;(&#27018;&#21407;)/UK-ball%20IZMI&#29699;&#30740;&#27835;&#20855;&#20849;&#29992;LIST.xls" TargetMode="External"/><Relationship Id="rId32" Type="http://schemas.openxmlformats.org/officeDocument/2006/relationships/hyperlink" Target="DesignStandards_Dimensions_InventoryData\&#20181;&#19978;_&#12495;&#12531;&#12489;&#12503;&#12524;&#12473;&#20840;&#33324;\4577-04&#12539;21_&#12495;&#12531;&#12489;&#12503;&#12524;&#12473;&#29992;&#25407;&#20837;&#19978;&#27835;&#20855;(&#20013;&#20117;&#23551;)\20210412_4577-04&#12539;21_&#12495;&#12531;&#12489;&#12503;&#12524;&#12473;&#29992;&#25407;&#20837;&#19978;&#27835;&#20855;(&#23665;&#26412;).xlsx" TargetMode="External"/><Relationship Id="rId37" Type="http://schemas.openxmlformats.org/officeDocument/2006/relationships/hyperlink" Target="DesignStandards_Dimensions_InventoryData/&#20181;&#19978;_&#12503;&#12524;&#12473;_&#12471;&#12512;(&#20013;&#20117;&#23551;)/&#12471;&#12512;&#12502;&#12525;&#12483;&#12463;&#65288;4571-17&#12539;18-XXXX&#65289;/20181004_&#12471;&#12512;&#12502;&#12525;&#12483;&#12463;&#65288;4571-17&#12539;18&#65289;.xlsx" TargetMode="External"/><Relationship Id="rId53" Type="http://schemas.openxmlformats.org/officeDocument/2006/relationships/hyperlink" Target="DesignStandards_Dimensions_InventoryData/&#20999;&#21066;_&#35036;&#21161;_4541-XX_&#12510;&#12484;&#12480;&#26059;&#30436;_MS-50-S&#65288;&#30707;&#24029;&#65289;/TOOLING%20LIST_&#12510;&#12484;&#12480;&#26059;&#30436;_MS-50-S_20130506.xls" TargetMode="External"/><Relationship Id="rId58" Type="http://schemas.openxmlformats.org/officeDocument/2006/relationships/hyperlink" Target="DesignStandards_Dimensions_InventoryData/&#36229;&#20181;&#19978;&#12370;_&#22806;&#29699;_4691&#12539;4907-XX_&#29699;&#38754;&#36229;&#20181;&#19978;&#27231;(&#23665;&#26412;)/4691-02-XXXX_&#12473;&#12488;&#12483;&#12497;&#12540;&#23544;&#27861;&#34920;.xlsx" TargetMode="External"/><Relationship Id="rId74" Type="http://schemas.openxmlformats.org/officeDocument/2006/relationships/hyperlink" Target="DesignStandards_Dimensions_InventoryData/&#21697;&#31649;_9901-16_SPH&#25391;&#20998;&#28204;&#23450;&#29992;&#27835;&#20855;(&#23665;&#26412;)/9901-16_SYMMETRY%20MEASURING%20JIG%20(FOR%20SPHERICAL)&#23544;&#27861;&#12522;&#12473;&#12488;.xlsx" TargetMode="External"/><Relationship Id="rId79" Type="http://schemas.openxmlformats.org/officeDocument/2006/relationships/hyperlink" Target="DesignStandards_Dimensions_InventoryData/&#21697;&#31649;_&#12450;&#12461;&#12471;&#12515;&#12523;&#12377;&#12365;&#12414;&#28204;&#23450;/9738_4800_&#23567;&#22411;&#12450;&#12461;&#12471;&#12515;&#12523;&#12377;&#12365;&#12414;&#28204;&#23450;&#27835;&#20855;/20200409_9738-05_4800-68_&#23567;&#22411;&#12450;&#12461;&#12471;&#12515;&#12523;&#12377;&#12365;&#12414;&#28204;&#23450;&#27835;&#20855;&#12522;&#12473;&#12488;.xlsx" TargetMode="External"/><Relationship Id="rId102" Type="http://schemas.openxmlformats.org/officeDocument/2006/relationships/hyperlink" Target="../../../&#20849;&#26377;&#12489;&#12521;&#12452;&#12502;/RD%20Development%20Technology%20Review%20Request/Tooling%20Select/DesignStandards_Dimensions_InventoryData/3D&#12503;&#12522;&#12531;&#12479;&#12540;/%5b&#12452;&#12494;&#12505;&#12540;&#12479;&#12540;&#12395;&#32113;&#21512;&#20104;&#23450;%5d20240923_4800-68-XXXX_OTHER_TOOLING%20LIST.xlsx" TargetMode="External"/><Relationship Id="rId123" Type="http://schemas.openxmlformats.org/officeDocument/2006/relationships/hyperlink" Target="file:///G:\&#20849;&#26377;&#12489;&#12521;&#12452;&#12502;\RD%20Development%20Technology%20Review%20Request\Tooling%20Select\DesignStandards_Dimensions_InventoryData\&#12486;&#12501;&#12525;&#12531;_&#12488;&#12522;&#12512;_4030-XX_KL-20&#29992;&#12488;&#12522;&#12512;&#12467;&#12524;&#12483;&#12488;\20241204_TOOLING%20LIST_KL-20(TRIM).xlsx" TargetMode="External"/><Relationship Id="rId128" Type="http://schemas.openxmlformats.org/officeDocument/2006/relationships/hyperlink" Target="DesignStandards_Dimensions_InventoryData\&#12486;&#12501;&#12525;&#12531;_&#12488;&#12522;&#12512;_4657-01-Rxxx_FO-1&#29992;&#12488;&#12522;&#12512;&#12467;&#12524;&#12483;&#12488;\20260202_TOOLING%20LIST_FO-1%20COLLET(4657-01-Rxxx).xlsx" TargetMode="External"/><Relationship Id="rId5" Type="http://schemas.openxmlformats.org/officeDocument/2006/relationships/hyperlink" Target="DesignStandards_Dimensions_InventoryData\&#12486;&#12501;&#12525;&#12531;_&#12501;&#12521;&#12531;&#12472;&#12473;&#12522;&#12540;&#12502;&#29992;&#12503;&#12524;&#12540;&#12488;&#12539;&#12522;&#12531;&#12464;\20180119_TFE_BONDING&#12484;&#12540;&#12522;&#12531;&#12464;&#12522;&#12473;&#12488;(&#12501;&#12521;&#12531;&#12472;&#12473;&#12522;&#12540;&#12502;).xlsx" TargetMode="External"/><Relationship Id="rId90" Type="http://schemas.openxmlformats.org/officeDocument/2006/relationships/hyperlink" Target="DesignStandards_Dimensions_InventoryData/&#12486;&#12501;&#12525;&#12531;_&#12488;&#12522;&#12512;_4030-XX_KL-20&#29992;&#12488;&#12522;&#12512;&#12467;&#12524;&#12483;&#12488;/20160119_&#12488;&#12522;&#12512;&#24037;&#31243;&#23550;&#35937;&#12398;&#12524;&#12540;&#12473;&#12522;&#12473;&#12488;.xlsx" TargetMode="External"/><Relationship Id="rId95" Type="http://schemas.openxmlformats.org/officeDocument/2006/relationships/hyperlink" Target="DesignStandards_Dimensions_InventoryData/&#30740;&#30952;_&#28317;&#30740;_4828&#12539;4832-XX_KN-312B&#12471;&#12517;&#12540;&#12475;&#12531;&#12479;&#12524;&#12473;/20180629_MSB&#29992;&#12484;&#12540;&#12522;&#12531;&#12464;&#31038;&#20869;&#22259;&#38754;&#21270;&#12522;&#12473;&#12488;.xlsx" TargetMode="External"/><Relationship Id="rId22" Type="http://schemas.openxmlformats.org/officeDocument/2006/relationships/hyperlink" Target="DesignStandards_Dimensions_InventoryData\&#30740;&#30952;_&#20869;&#30740;_4027-XX_KS-B22G(&#22338;&#26412;)\20150609_TOOLING%20LIST_KS-B22G.xls" TargetMode="External"/><Relationship Id="rId27" Type="http://schemas.openxmlformats.org/officeDocument/2006/relationships/hyperlink" Target="DesignStandards_Dimensions_InventoryData/&#30740;&#30952;_&#24179;&#30740;_4547-XX_&#23713;&#26412;PSG-64(&#20013;&#28580;)/MSB_SURFACE-GRINDING_TOOLING(20150213yamamoto).xlsx" TargetMode="External"/><Relationship Id="rId43" Type="http://schemas.openxmlformats.org/officeDocument/2006/relationships/hyperlink" Target="DesignStandards_Dimensions_InventoryData/&#20999;&#21066;_&#12471;&#12481;&#12474;&#12531;B12_&#12525;&#12540;&#12521;&#12540;&#12500;&#12531;&#21152;&#24037;(&#22338;&#26412;)/&#12525;&#12540;&#12521;&#12540;&#12500;&#12531;_&#12467;&#12524;&#12483;&#12488;&#12481;&#12515;&#12483;&#12463;&#19968;&#35239;&#34920;20140116.xls" TargetMode="External"/><Relationship Id="rId48" Type="http://schemas.openxmlformats.org/officeDocument/2006/relationships/hyperlink" Target="DesignStandards_Dimensions_InventoryData\&#20999;&#21066;_&#25237;&#20837;_&#29699;&#21066;&#12450;&#12540;&#12496;&#12540;(4649-05)(&#22338;&#26412;)\20201019_&#29699;&#21066;&#12450;&#12540;&#12496;&#12540;(4649-05).xlsx" TargetMode="External"/><Relationship Id="rId64" Type="http://schemas.openxmlformats.org/officeDocument/2006/relationships/hyperlink" Target="DesignStandards_Dimensions_InventoryData/&#36229;&#20181;&#19978;&#12370;_&#20869;&#24452;_4656-XX_&#12450;&#12454;&#12479;&#12540;&#12524;&#12540;&#12473;&#20869;&#24452;&#36229;&#20181;&#19978;_5821&#27231;(&#27018;&#21407;)/20080107_&#27231;&#30058;5821&#21495;&#27231;&#29992;&#12481;&#12515;&#12483;&#12463;.xls" TargetMode="External"/><Relationship Id="rId69" Type="http://schemas.openxmlformats.org/officeDocument/2006/relationships/hyperlink" Target="DesignStandards_Dimensions_InventoryData\&#21697;&#31649;_9713-08_&#25594;&#21205;&#12488;&#12523;&#12463;(&#30000;&#26449;)\20240612_&#25594;&#21205;&#12488;&#12523;&#12463;&#28204;&#23450;&#27835;&#20855;&#35373;&#35336;&#22522;&#28310;.xlsx" TargetMode="External"/><Relationship Id="rId113" Type="http://schemas.openxmlformats.org/officeDocument/2006/relationships/hyperlink" Target="DesignStandards_Dimensions_InventoryData/&#12510;&#12471;&#12491;&#12531;&#12464;_&#12491;&#12483;&#12503;&#12523;&#21152;&#24037;&#29992;&#27835;&#20855;_&#12467;&#12525;&#12510;&#12531;&#12488;&#24335;(&#20108;&#19978;)/20160525_&#12467;&#12525;&#12510;&#12531;&#12488;&#24335;&#12491;&#12483;&#12503;&#12523;&#21152;&#24037;&#27835;&#20855;&#12522;&#12473;&#12488;.xls" TargetMode="External"/><Relationship Id="rId118" Type="http://schemas.openxmlformats.org/officeDocument/2006/relationships/hyperlink" Target="DesignStandards_Dimensions_InventoryData/&#36229;&#20181;&#19978;&#12370;_&#22806;&#29699;_4691&#12539;4907-XX_&#29699;&#38754;&#36229;&#20181;&#19978;&#27231;(&#23665;&#26412;)/20210210_TOOLING%20LIST_SUPER%20SPHERE%20FINISH.xlsx" TargetMode="External"/><Relationship Id="rId80" Type="http://schemas.openxmlformats.org/officeDocument/2006/relationships/hyperlink" Target="DesignStandards_Dimensions_InventoryData/&#21697;&#31649;_&#12521;&#12472;&#12450;&#12523;&#12377;&#12365;&#12414;&#28204;&#23450;/9735_&#23567;&#22411;&#12521;&#12472;&#12450;&#12523;&#12377;&#12365;&#12414;&#38553;&#38291;&#28204;&#23450;&#27231;/20200824_&#23567;&#22411;&#12521;&#12472;&#12450;&#12523;&#38553;&#38291;&#28204;&#23450;&#27231;&#29992;&#12463;&#12521;&#12531;&#12503;&#12504;&#12483;&#12489;.xlsx" TargetMode="External"/><Relationship Id="rId85" Type="http://schemas.openxmlformats.org/officeDocument/2006/relationships/hyperlink" Target="DesignStandards_Dimensions_InventoryData\&#12510;&#12471;&#12491;&#12531;&#12464;_&#12479;&#12483;&#12503;&#21152;&#24037;&#29992;&#27835;&#20855;_4863-XX_NSV1555FE&#65288;&#23665;&#26412;&#65289;\20181005_TOOLING%20LIST_CENTER%20PIN.xlsx" TargetMode="External"/><Relationship Id="rId12" Type="http://schemas.openxmlformats.org/officeDocument/2006/relationships/hyperlink" Target="DesignStandards_Dimensions_InventoryData\&#30740;&#30952;_&#29699;&#30740;_4906-XX_KS-400B5(&#30707;&#24029;)\20241223_TOOLING%20LIST_KS-400B5.xlsx" TargetMode="External"/><Relationship Id="rId17" Type="http://schemas.openxmlformats.org/officeDocument/2006/relationships/hyperlink" Target="DesignStandards_Dimensions_InventoryData/&#30740;&#30952;_&#20869;&#30740;_4671-XX_IG-15N(&#38463;&#37096;)/20240918_&#20869;&#30740;&#27231;IG-15N_TOOLING%20LIST.xlsx" TargetMode="External"/><Relationship Id="rId33" Type="http://schemas.openxmlformats.org/officeDocument/2006/relationships/hyperlink" Target="DesignStandards_Dimensions_InventoryData/&#20181;&#19978;_&#12495;&#12531;&#12489;&#12503;&#12524;&#12473;&#20840;&#33324;/4577-19_&#12471;&#12540;&#12523;&#28342;&#25509;&#28168;SPH&#25407;&#20837;&#27835;&#20855;(&#20013;&#20117;&#23551;)/&#12471;&#12540;&#12523;&#28342;&#25509;&#28168;SPH&#25407;&#20837;&#27835;&#20855;(&#20013;&#20117;&#23551;).xlsx" TargetMode="External"/><Relationship Id="rId38" Type="http://schemas.openxmlformats.org/officeDocument/2006/relationships/hyperlink" Target="DesignStandards_Dimensions_InventoryData/&#20181;&#19978;_&#12503;&#12524;&#12473;_&#12471;&#12512;(&#20013;&#20117;&#23551;)/&#12522;&#12531;&#12464;&#12471;&#12512;&#65288;4571-05-XXXX&#65289;/20220909_4571-05-1xxx%20&#12522;&#12531;&#12464;&#12471;&#12512;&#23544;&#27861;&#34920;.xlsx" TargetMode="External"/><Relationship Id="rId59" Type="http://schemas.openxmlformats.org/officeDocument/2006/relationships/hyperlink" Target="DesignStandards_Dimensions_InventoryData/&#36229;&#20181;&#19978;&#12370;_&#22806;&#29699;_4691&#12539;4907-XX_&#29699;&#38754;&#36229;&#20181;&#19978;&#27231;(&#23665;&#26412;)/4691-07-0XXX_&#12467;&#12524;&#12483;&#12488;&#23544;&#27861;&#34920;.xlsx" TargetMode="External"/><Relationship Id="rId103" Type="http://schemas.openxmlformats.org/officeDocument/2006/relationships/hyperlink" Target="DesignStandards_Dimensions_InventoryData\&#12510;&#12540;&#12461;&#12531;&#12464;_&#12524;&#12540;&#12470;&#12510;&#12540;&#12461;&#12531;&#12464;&#65288;&#22338;&#26412;&#65289;\20180803_TOOLING%20LIST_&#12525;&#12483;&#12489;&#12456;&#12531;&#12489;&#12508;&#12487;&#12451;&#29992;&#12524;&#12540;&#12470;&#12510;&#12540;&#12461;&#12531;&#12464;&#27835;&#20855;.xlsx" TargetMode="External"/><Relationship Id="rId108" Type="http://schemas.openxmlformats.org/officeDocument/2006/relationships/hyperlink" Target="file:///G:\&#20849;&#26377;&#12489;&#12521;&#12452;&#12502;\RD%20Development%20Technology%20Review%20Request\Tooling%20Select\DesignStandards_Dimensions_InventoryData\&#30740;&#30952;_&#20869;&#30740;_GC&#12539;CN&#12516;&#12488;&#12452;&#35373;&#35336;(&#26494;&#26412;)\&#25913;&#33391;&#20013;_20260817_GC&#12539;CN&#12516;&#12488;&#12452;&#35336;&#31639;&#24335;.xlsx" TargetMode="External"/><Relationship Id="rId124" Type="http://schemas.openxmlformats.org/officeDocument/2006/relationships/hyperlink" Target="DesignStandards_Dimensions_InventoryData/&#30740;&#30952;_&#20869;&#30740;_4853-XX_&#21644;&#27849;&#29992;&#27835;&#20855;/20250217_TOOLING%20LIST_4853-XX_&#21644;&#27849;&#29992;&#27835;&#20855;.xlsx" TargetMode="External"/><Relationship Id="rId129" Type="http://schemas.openxmlformats.org/officeDocument/2006/relationships/hyperlink" Target="DesignStandards_Dimensions_InventoryData\&#30740;&#30952;_&#24062;&#30740;_4036-XX_KVD300CR2\20251202_TOOLING%20LIST_KVD300CR2(FACE%20GRIND).xls" TargetMode="External"/><Relationship Id="rId54" Type="http://schemas.openxmlformats.org/officeDocument/2006/relationships/hyperlink" Target="DesignStandards_Dimensions_InventoryData/&#32068;&#20999;&#21066;_&#39640;&#26494;J-WAVE&#65288;&#27018;&#21407;&#65289;/20210315_TOOLING%20LIST_J-WAVE.xlsx" TargetMode="External"/><Relationship Id="rId70" Type="http://schemas.openxmlformats.org/officeDocument/2006/relationships/hyperlink" Target="DesignStandards_Dimensions_InventoryData/&#21697;&#31649;_9901-07_&#22238;&#36578;&#12488;&#12523;&#12463;&#29992;&#12508;&#12523;&#12488;&#12539;&#12490;&#12483;&#12488;(&#30000;&#26449;)/20210804_&#22238;&#36578;&#12488;&#12523;&#12463;&#28204;&#23450;&#29992;&#27835;&#20855;&#12522;&#12473;&#12488;.xlsx" TargetMode="External"/><Relationship Id="rId75" Type="http://schemas.openxmlformats.org/officeDocument/2006/relationships/hyperlink" Target="DesignStandards_Dimensions_InventoryData/&#21697;&#31649;_9901-17_&#12422;&#12427;&#12417;&#21069;SPH&#25391;&#20998;&#28204;&#23450;&#29992;&#27835;&#20855;(&#23665;&#26412;)/&#26908;&#35342;&#20381;&#38972;No.3168_&#32068;&#20999;&#21066;&#25391;&#20998;&#28204;&#23450;&#29992;&#27835;&#20855;&#12398;&#26908;&#35342;.xls" TargetMode="External"/><Relationship Id="rId91" Type="http://schemas.openxmlformats.org/officeDocument/2006/relationships/hyperlink" Target="DesignStandards_Dimensions_InventoryData\&#12510;&#12471;&#12491;&#12531;&#12464;_X-52-XXX_&#12461;&#12540;&#28317;&#12459;&#12483;&#12479;&#12540;&#12522;&#12473;&#12488;&#65288;&#19977;&#30000;&#65289;\20221024_X-52_&#12461;&#12540;&#28317;&#12459;&#12483;&#12479;&#12540;&#12522;&#12473;&#12488;.xlsx" TargetMode="External"/><Relationship Id="rId96" Type="http://schemas.openxmlformats.org/officeDocument/2006/relationships/hyperlink" Target="DesignStandards_Dimensions_InventoryData/&#30740;&#30952;_&#20869;&#30740;_4021-XX_KS-B80(&#22338;&#26412;)/&#30757;&#30707;&amp;&#12463;&#12452;&#12523;/QUILL&amp;BOLT%20LIST20151009.xlsx" TargetMode="External"/><Relationship Id="rId1" Type="http://schemas.openxmlformats.org/officeDocument/2006/relationships/hyperlink" Target="DesignStandards_Dimensions_InventoryData/&#12475;&#12531;&#12479;&#12524;&#12473;_&#12525;&#12540;&#12521;&#12540;&#12500;&#12531;_4029-XX_KS-450C&#65288;&#23665;&#26412;&#65289;/20160324_TOOLING%20LIST_KS-450C_ROLLER%20PIN.xlsx" TargetMode="External"/><Relationship Id="rId6" Type="http://schemas.openxmlformats.org/officeDocument/2006/relationships/hyperlink" Target="DesignStandards_Dimensions_InventoryData/&#12511;&#12493;&#12525;&#12531;_&#22615;&#24067;&#12539;UV&#12539;&#12488;&#12522;&#12512;/20171219_&#12511;&#12493;&#12525;&#12531;&#27835;&#20855;_TOOLING%20LIST.xlsx" TargetMode="External"/><Relationship Id="rId23" Type="http://schemas.openxmlformats.org/officeDocument/2006/relationships/hyperlink" Target="DesignStandards_Dimensions_InventoryData\&#30740;&#30952;_&#20869;&#30740;_4559-XX_BRYANT_B&#65288;&#30334;&#28716;&#65289;\20220901_TOOLING%20LIST_BRYANT_B(ID%20GRIND).xlsx" TargetMode="External"/><Relationship Id="rId28" Type="http://schemas.openxmlformats.org/officeDocument/2006/relationships/hyperlink" Target="DesignStandards_Dimensions_InventoryData/&#20181;&#19978;_NZXXXX_&#12464;&#12522;&#12473;&#20837;&#12428;&#12494;&#12474;&#12523;(&#31309;&#23665;)/20171222_&#12464;&#12522;&#12473;&#20837;&#12428;&#20918;&#20855;(NZxxxx).xlsx" TargetMode="External"/><Relationship Id="rId49" Type="http://schemas.openxmlformats.org/officeDocument/2006/relationships/hyperlink" Target="DesignStandards_Dimensions_InventoryData\&#20999;&#21066;_&#38957;&#37096;&#20999;&#21066;_BODY%20COLLET(MPA)_MAZAK%20QTN200&#65288;&#30334;&#28716;&#65289;\20200619_TOOLING%20LIST_BODY%20COLLET.xlsx" TargetMode="External"/><Relationship Id="rId114" Type="http://schemas.openxmlformats.org/officeDocument/2006/relationships/hyperlink" Target="DesignStandards_Dimensions_InventoryData\&#36578;&#36896;_4800-57&#12539;61_&#12525;&#12540;&#12523;&#12480;&#12452;&#12473;&#65288;&#23665;&#26412;&#65289;\20240711_TOOLING_LIST_ROLLER%20BLADE.xlsx" TargetMode="External"/><Relationship Id="rId119" Type="http://schemas.openxmlformats.org/officeDocument/2006/relationships/hyperlink" Target="DesignStandards_Dimensions_InventoryData\&#30740;&#30952;_4800-42_&#12525;&#12540;&#12479;&#12522;&#12540;&#12489;&#12524;&#12483;&#12469;&#12540;&#36969;&#29992;&#22411;&#24335;(&#23665;&#26412;)\20210520_&#12525;&#12540;&#12479;&#12522;&#12540;&#12489;&#12524;&#12483;&#12469;&#12540;&#20998;&#39006;&#34920;(&#22338;&#26412;).xls" TargetMode="External"/><Relationship Id="rId44" Type="http://schemas.openxmlformats.org/officeDocument/2006/relationships/hyperlink" Target="DesignStandards_Dimensions_InventoryData\&#20999;&#21066;_&#24062;&#20999;&#21066;_4009-XX_BBS&#37329;&#26126;&#65288;&#30334;&#28716;&#65289;\20200325_TOOLING%20LIST_BBS%20KINMEI.xlsx" TargetMode="External"/><Relationship Id="rId60" Type="http://schemas.openxmlformats.org/officeDocument/2006/relationships/hyperlink" Target="DesignStandards_Dimensions_InventoryData/&#36229;&#20181;&#19978;&#12370;_&#22806;&#29699;_4691&#12539;4907-XX_&#29699;&#38754;&#36229;&#20181;&#19978;&#27231;(&#23665;&#26412;)/4691-14-XXXX_CLLET%20BODY%20COLLAR_TOOLING%20LIST.xlsx" TargetMode="External"/><Relationship Id="rId65" Type="http://schemas.openxmlformats.org/officeDocument/2006/relationships/hyperlink" Target="DesignStandards_Dimensions_InventoryData/&#36229;&#20181;&#19978;&#12370;_&#20869;&#24452;_4928-XX_&#12450;&#12454;&#12479;&#12540;&#12524;&#12540;&#12473;&#20869;&#24452;&#36229;&#20181;&#19978;_KS-D80(&#23665;&#26412;)/20151201_KS-D80&#29992;&#12481;&#12515;&#12483;&#12463;&#29226;&#12522;&#12473;&#12488;.xls" TargetMode="External"/><Relationship Id="rId81" Type="http://schemas.openxmlformats.org/officeDocument/2006/relationships/hyperlink" Target="DesignStandards_Dimensions_InventoryData/&#21697;&#31649;_&#12521;&#12472;&#12450;&#12523;&#12377;&#12365;&#12414;&#28204;&#23450;/9764_THAI_ABR&#29992;&#12521;&#12472;&#12450;&#12523;&#12377;&#12365;&#12414;&#28204;&#23450;&#27835;&#20855;/20220706_ABR_RADIAL%20CLEARANCE%20TOOLING.xlsx" TargetMode="External"/><Relationship Id="rId86" Type="http://schemas.openxmlformats.org/officeDocument/2006/relationships/hyperlink" Target="DesignStandards_Dimensions_InventoryData\&#12510;&#12471;&#12491;&#12531;&#12464;_&#12479;&#12483;&#12503;&#21152;&#24037;&#29992;&#27835;&#20855;_4863-XX_NSV1555FE&#65288;&#23665;&#26412;&#65289;\20220824_&#12473;&#12462;&#12494;&#12510;&#12471;&#12531;&#12479;&#12483;&#12503;&#29992;&#27835;&#20855;.xlsx" TargetMode="External"/><Relationship Id="rId130" Type="http://schemas.openxmlformats.org/officeDocument/2006/relationships/hyperlink" Target="DesignStandards_Dimensions_InventoryData\&#30740;&#30952;_&#20869;&#30740;_4559-XX_BRYANT_B&#65288;&#30334;&#28716;&#65289;\20201012_4559-39_G-WHEEL-LIST.xlsx" TargetMode="External"/><Relationship Id="rId13" Type="http://schemas.openxmlformats.org/officeDocument/2006/relationships/hyperlink" Target="DesignStandards_Dimensions_InventoryData\&#30740;&#30952;_&#24062;&#30740;_4556&#12539;4866-XX_&#35199;&#37096;&#24062;&#30740;&#27231;TSG300(&#30334;&#28716;)\20141022_TSG-300W_CHUTE&amp;SPACER_LIST.xlsx" TargetMode="External"/><Relationship Id="rId18" Type="http://schemas.openxmlformats.org/officeDocument/2006/relationships/hyperlink" Target="DesignStandards_Dimensions_InventoryData/&#30740;&#30952;_&#28317;&#30740;_4828&#12539;4832-XX_KN-312B&#12471;&#12517;&#12540;&#12475;&#12531;&#12479;&#12524;&#12473;/20220408_4832-XX_TOOLING%20LIST_IDY.xlsx" TargetMode="External"/><Relationship Id="rId39" Type="http://schemas.openxmlformats.org/officeDocument/2006/relationships/hyperlink" Target="DesignStandards_Dimensions_InventoryData/&#20181;&#19978;_&#12522;&#12505;&#12483;&#12486;&#12451;&#12531;&#12464;&#12510;&#12471;&#12531;&#29992;&#27835;&#20855;&#65288;&#30959;&#35997;&#65289;/4843-XX-XXXX_&#12471;&#12540;&#12523;&#12489;&#12459;&#12471;&#12513;&#29992;&#27835;&#20855;/20230523_&#12522;&#12505;&#12483;&#12486;&#12451;&#12531;&#12464;&#12510;&#12471;&#12531;&#29992;&#27835;&#20855;(4843-XX-XXXX)&#12522;&#12473;&#12488;.xlsx" TargetMode="External"/><Relationship Id="rId109" Type="http://schemas.openxmlformats.org/officeDocument/2006/relationships/hyperlink" Target="DesignStandards_Dimensions_InventoryData/&#20999;&#21066;_&#20845;&#36600;_&#12501;&#12457;&#12540;&#12511;&#12531;&#12464;&#12496;&#12452;&#12488;&#65288;&#23665;&#26412;&#65289;/&#12508;&#12540;&#12523;&#12539;Y&#12508;&#12540;&#12523;&#65288;&#23665;&#26412;&#65289;/FORMING%20BIT%20LIST_20210927.xls" TargetMode="External"/><Relationship Id="rId34" Type="http://schemas.openxmlformats.org/officeDocument/2006/relationships/hyperlink" Target="DesignStandards_Dimensions_InventoryData/&#20181;&#19978;_&#12495;&#12531;&#12489;&#12503;&#12524;&#12473;&#20840;&#33324;/4577-22_&#12513;&#12459;&#12497;&#12540;&#12484;&#29992;&#12473;&#12522;&#12540;&#12502;&#25407;&#20837;&#12500;&#12531;(&#31309;&#23665;)/20170512_&#12473;&#12522;&#12540;&#12502;&#25407;&#20837;&#12500;&#12531;(4577-22&#12513;&#12459;&#12497;&#12540;&#12484;&#29992;).xlsx" TargetMode="External"/><Relationship Id="rId50" Type="http://schemas.openxmlformats.org/officeDocument/2006/relationships/hyperlink" Target="DesignStandards_Dimensions_InventoryData/&#20999;&#21066;_&#20869;&#24452;_4651-10_&#12508;&#12487;&#12451;&#12507;&#12523;&#12480;&#12540;&#29992;&#12460;&#12452;&#12489;&#12500;&#12531;(&#19977;&#30000;)/&#20869;&#24452;&#20181;&#19978;_&#12508;&#12487;&#12451;&#12507;&#12523;&#12480;&#12540;&#12460;&#12452;&#12489;&#12500;&#12531;%20.xls" TargetMode="External"/><Relationship Id="rId55" Type="http://schemas.openxmlformats.org/officeDocument/2006/relationships/hyperlink" Target="DesignStandards_Dimensions_InventoryData\&#32068;&#20999;&#21066;_&#39640;&#26494;X-100&#65286;XD-8&#65288;&#27018;&#21407;&#65289;\X-100(D&#20999;&#21066;)\20201209_TOOLING%20LIST_X-100.xlsx" TargetMode="External"/><Relationship Id="rId76" Type="http://schemas.openxmlformats.org/officeDocument/2006/relationships/hyperlink" Target="DesignStandards_Dimensions_InventoryData/&#21697;&#31649;_9901-20_MASTER%20RING%20GAUGE(&#27018;&#21407;)/MASTER&#12288;RING%20GAUGE_9901-20-XXXX.xls" TargetMode="External"/><Relationship Id="rId97" Type="http://schemas.openxmlformats.org/officeDocument/2006/relationships/hyperlink" Target="DesignStandards_Dimensions_InventoryData\&#30740;&#30952;_&#20869;&#30740;_4021-XX_KS-B80(&#22338;&#26412;)\&#30757;&#30707;&amp;&#12463;&#12452;&#12523;\TEIKEN%20LIST_JURAIRAT%20LIST_20150112.xlsx" TargetMode="External"/><Relationship Id="rId104" Type="http://schemas.openxmlformats.org/officeDocument/2006/relationships/hyperlink" Target="DesignStandards_Dimensions_InventoryData/&#34920;&#38754;&#20966;&#29702;_&#12510;&#12473;&#12461;&#12531;&#12464;/&#12508;&#12540;&#12523;&#12539;&#12524;&#12540;&#12473;&#12398;SB&#12539;DF&#29992;&#12510;&#12473;&#12461;&#12531;&#12464;&#12503;&#12524;&#12540;&#12488;/20190705_&#12510;&#12473;&#12461;&#12531;&#12464;&#27835;&#20855;.xlsx" TargetMode="External"/><Relationship Id="rId120" Type="http://schemas.openxmlformats.org/officeDocument/2006/relationships/hyperlink" Target="DesignStandards_Dimensions_InventoryData\&#30740;&#30952;_&#24062;&#30740;_4556&#12539;4586-XX_&#35199;&#37096;&#24062;&#30740;&#27231;TSG300(&#30334;&#28716;)\20170508_TOOLING%20LIST_TSG300(FACE%20GRIND)_SEIBU.xls" TargetMode="External"/><Relationship Id="rId125" Type="http://schemas.openxmlformats.org/officeDocument/2006/relationships/hyperlink" Target="DesignStandards_Dimensions_InventoryData/&#30740;&#30952;_&#20869;&#30740;_GI-5N_COLLET%20CHUCK/20250106_COLLET%20CHUCK_4674-05-XXXX.xlsx" TargetMode="External"/><Relationship Id="rId7" Type="http://schemas.openxmlformats.org/officeDocument/2006/relationships/hyperlink" Target="DesignStandards_Dimensions_InventoryData/&#12422;&#12427;&#12417;_THAI&#29992;&#12475;&#12483;&#12488;&#12473;&#12486;&#12451;&#12483;&#12463;(&#23665;&#26412;)/20200415_TOOLING%20LIST_RELEASE-JIG.xlsx" TargetMode="External"/><Relationship Id="rId71" Type="http://schemas.openxmlformats.org/officeDocument/2006/relationships/hyperlink" Target="DesignStandards_Dimensions_InventoryData/&#30740;&#30952;_&#20869;&#30740;_4864-XX_TOYO/20230609_TOOLING%20LIST_4864-02-XXXX.xlsx" TargetMode="External"/><Relationship Id="rId92" Type="http://schemas.openxmlformats.org/officeDocument/2006/relationships/hyperlink" Target="DesignStandards_Dimensions_InventoryData/&#12524;&#12471;&#12503;&#12525;&#12505;&#12450;&#12522;&#12531;&#12464;(&#22338;&#26412;)/&#12524;&#12471;&#12503;&#12525;&#21152;&#24037;&#27835;&#20855;&#12522;&#12473;&#12488;20170602.xls" TargetMode="External"/><Relationship Id="rId2" Type="http://schemas.openxmlformats.org/officeDocument/2006/relationships/hyperlink" Target="DesignStandards_Dimensions_InventoryData/&#12475;&#12531;&#12479;&#12524;&#12473;_&#12525;&#12540;&#12521;&#12540;&#12500;&#12531;_Sigma-18-I&#65288;&#31309;&#23665;&#65289;/20160609_TOOLING%20LIST_Sigma-18-I_ROLLER%20PIN.xlsx" TargetMode="External"/><Relationship Id="rId29" Type="http://schemas.openxmlformats.org/officeDocument/2006/relationships/hyperlink" Target="DesignStandards_Dimensions_InventoryData/&#20181;&#19978;_TKR&#12539;MTKR&#12488;&#12521;&#12483;&#12463;&#12525;&#12540;&#12521;&#12540;_ASSY&#12539;&#12377;&#12365;&#12414;&#28204;&#23450;/20170330_&#12488;&#12521;&#12483;&#12463;&#12525;&#12540;&#12521;&#12540;_ASSY&#12539;&#12377;&#12365;&#12414;&#28204;&#23450;&#27835;&#20855;&#12522;&#12473;&#12488;.xlsx" TargetMode="External"/><Relationship Id="rId24" Type="http://schemas.openxmlformats.org/officeDocument/2006/relationships/hyperlink" Target="DesignStandards_Dimensions_InventoryData/&#30740;&#30952;_&#20869;&#30740;_4870-XX_KS-B22RD/KS-B22RD_&#20869;&#30740;&#27231;_20120419.xls" TargetMode="External"/><Relationship Id="rId40" Type="http://schemas.openxmlformats.org/officeDocument/2006/relationships/hyperlink" Target="DesignStandards_Dimensions_InventoryData/&#20181;&#19978;_&#12524;&#12540;&#12470;&#12510;&#12540;&#12461;&#12531;&#12464;&#65288;&#22338;&#26412;&#65289;/20191118_&#31471;&#38754;&#12524;&#12540;&#12470;&#12540;&#12510;&#12540;&#12461;&#12531;&#12464;&#29992;&#27835;&#20855;(4819-14).xlsx" TargetMode="External"/><Relationship Id="rId45" Type="http://schemas.openxmlformats.org/officeDocument/2006/relationships/hyperlink" Target="DesignStandards_Dimensions_InventoryData/&#20999;&#21066;_&#24062;&#20999;&#21066;_&#12471;&#12512;&#65288;&#30707;&#24029;&#65289;/OKK&#12471;&#12512;_4012-02(&#30707;&#24029;)/20180801_OKK&#29992;&#12471;&#12512;&#23544;&#27861;&#34920;.xlsx" TargetMode="External"/><Relationship Id="rId66" Type="http://schemas.openxmlformats.org/officeDocument/2006/relationships/hyperlink" Target="DesignStandards_Dimensions_InventoryData\&#36578;&#36896;_4800-57&#12539;61_&#12525;&#12540;&#12523;&#12480;&#12452;&#12473;&#65288;&#23665;&#26412;&#65289;\&#26032;_&#36578;&#36896;&#12480;&#12452;&#12473;&#20808;&#31471;R.xls" TargetMode="External"/><Relationship Id="rId87" Type="http://schemas.openxmlformats.org/officeDocument/2006/relationships/hyperlink" Target="DesignStandards_Dimensions_InventoryData/&#12510;&#12471;&#12491;&#12531;&#12464;_&#12479;&#12483;&#12503;&#21152;&#24037;&#29992;&#27835;&#20855;_SCV-1122TE(3409&#27231;)(&#30959;&#35997;)/(&#30959;&#35997;)&#12473;&#12462;&#12494;&#12510;&#12471;&#12531;SCV-1122TE(3409&#27231;)&#29992;&#33455;&#37329;&#12522;&#12473;&#12488;.xls" TargetMode="External"/><Relationship Id="rId110" Type="http://schemas.openxmlformats.org/officeDocument/2006/relationships/hyperlink" Target="DesignStandards_Dimensions_InventoryData/&#20999;&#21066;_&#20845;&#36600;_&#12501;&#12457;&#12540;&#12511;&#12531;&#12464;&#12496;&#12452;&#12488;&#65288;&#23665;&#26412;&#65289;/&#12508;&#12540;&#12523;&#12539;Y&#12508;&#12540;&#12523;&#65288;&#23665;&#26412;&#65289;/20230221_&#12508;&#12540;&#12523;&#29992;&#12501;&#12457;&#12540;&#12511;&#12531;&#12464;&#12496;&#12452;&#12488;&#35373;&#35336;&#25903;&#25588;.xls" TargetMode="External"/><Relationship Id="rId115" Type="http://schemas.openxmlformats.org/officeDocument/2006/relationships/hyperlink" Target="DesignStandards_Dimensions_InventoryData/&#12510;&#12471;&#12491;&#12531;&#12464;_&#12489;&#12522;&#12523;&#12452;&#12531;&#12473;&#12506;&#12463;&#12471;&#12519;&#12531;&#12507;&#12540;&#12523;(&#20117;&#20986;)/20180523_PLATE&#36984;&#23450;_4001-01-XXXX_(IDY).xlsx" TargetMode="External"/><Relationship Id="rId131" Type="http://schemas.openxmlformats.org/officeDocument/2006/relationships/hyperlink" Target="DesignStandards_Dimensions_InventoryData\&#30740;&#30952;_&#20869;&#30740;_GI-5N&#12539;20N&#12463;&#12452;&#12523;&#23544;&#27861;&#65288;&#23665;&#26412;&#65289;\20210625_&#12463;&#12452;&#12523;TOOLING%20LIST_4652&#12539;4674(&#23665;&#26412;).xls" TargetMode="External"/><Relationship Id="rId61" Type="http://schemas.openxmlformats.org/officeDocument/2006/relationships/hyperlink" Target="DesignStandards_Dimensions_InventoryData/&#36229;&#20181;&#19978;&#12370;_&#22806;&#29699;_4691&#12539;4907-XX_&#29699;&#38754;&#36229;&#20181;&#19978;&#27231;(&#23665;&#26412;)/20210210_TOOLING%20LIST_SUPER%20SPHERE%20FINISH.xlsx" TargetMode="External"/><Relationship Id="rId82" Type="http://schemas.openxmlformats.org/officeDocument/2006/relationships/hyperlink" Target="DesignStandards_Dimensions_InventoryData\&#21697;&#31649;_&#12521;&#12472;&#12450;&#12523;&#12377;&#12365;&#12414;&#28204;&#23450;\THAI_&#31777;&#26131;&#12521;&#12472;&#12450;&#12523;&#28204;&#23450;&#27231;&#12475;&#12531;&#12479;&#12540;&#29992;&#12500;&#12531;\20160507_&#12521;&#12472;&#12450;&#12523;&#12377;&#12365;&#12414;&#28204;&#23450;&#27231;&#12475;&#12531;&#12479;&#12540;&#29992;&#12500;&#12531;.xlsx" TargetMode="External"/><Relationship Id="rId19" Type="http://schemas.openxmlformats.org/officeDocument/2006/relationships/hyperlink" Target="DesignStandards_Dimensions_InventoryData\&#30740;&#30952;_&#29699;&#30740;&#12539;&#28317;&#30740;_4931-XX_KS-400B6&#65288;&#38463;&#37096;&#65289;\&#65288;&#35336;&#31639;&#24335;&#36861;&#21152;&#20104;&#23450;_&#23665;&#26412;&#65289;20240912_TOOLING%20LIST_KS-400B6.xlsx" TargetMode="External"/><Relationship Id="rId14" Type="http://schemas.openxmlformats.org/officeDocument/2006/relationships/hyperlink" Target="DesignStandards_Dimensions_InventoryData\&#30740;&#30952;_&#24062;&#30740;_4556&#12539;4866-XX_&#35199;&#37096;&#24062;&#30740;&#27231;TSG300(&#30334;&#28716;)\20170508_TOOLING%20LIST_TSG300(FACE%20GRIND)_SEIBU.xls" TargetMode="External"/><Relationship Id="rId30" Type="http://schemas.openxmlformats.org/officeDocument/2006/relationships/hyperlink" Target="DesignStandards_Dimensions_InventoryData\&#20181;&#19978;_WJXXXX_&#12471;&#12540;&#12523;&#28342;&#25509;&#29992;&#27835;&#20855;(&#30959;&#35997;)\TOOLING%20LIST_BEAM%20WELDING_20180801.xlsx" TargetMode="External"/><Relationship Id="rId35" Type="http://schemas.openxmlformats.org/officeDocument/2006/relationships/hyperlink" Target="DesignStandards_Dimensions_InventoryData\&#20181;&#19978;_&#22238;&#36578;&#22615;&#24067;&#27231;(&#23665;&#26412;)\&#22238;&#36578;&#22615;&#24067;&#27231;&#27835;&#20855;&#65288;3PIECE-RODEND&#29992;&#65289;.xls" TargetMode="External"/><Relationship Id="rId56" Type="http://schemas.openxmlformats.org/officeDocument/2006/relationships/hyperlink" Target="DesignStandards_Dimensions_InventoryData\&#32068;&#20999;&#21066;_&#39640;&#26494;X-100&#65286;XD-8&#65288;&#27018;&#21407;&#65289;\XD-8(T&#20999;&#21066;)\20201209_TOOLING%20LIST_XD-8.xlsx" TargetMode="External"/><Relationship Id="rId77" Type="http://schemas.openxmlformats.org/officeDocument/2006/relationships/hyperlink" Target="DesignStandards_Dimensions_InventoryData/&#21697;&#31649;_&#12450;&#12461;&#12471;&#12515;&#12523;&#12377;&#12365;&#12414;&#28204;&#23450;/9734_&#12525;&#12540;&#12521;&#12540;&#20837;&#12426;SPH&#65286;RD_&#12450;&#12461;&#12471;&#12515;&#12523;&#12377;&#12365;&#12414;&#28204;&#23450;&#27231;&#29992;&#27835;&#20855;&#65288;&#23665;&#26412;&#65289;/&#12525;&#12540;&#12521;&#12540;&#20837;&#12426;SPH&#65286;RD_&#12450;&#12461;&#12471;&#12515;&#12523;&#12377;&#12365;&#12414;&#28204;&#23450;&#27231;&#29992;&#27835;&#20855;&#12522;&#12473;&#12488;.xls" TargetMode="External"/><Relationship Id="rId100" Type="http://schemas.openxmlformats.org/officeDocument/2006/relationships/hyperlink" Target="DesignStandards_Dimensions_InventoryData\&#30740;&#30952;_&#20869;&#30740;_4559-XX_BRYANT_B&#65288;&#30334;&#28716;&#65289;\(&#20013;&#20117;&#23551;)&#30757;&#30707;&#65381;&#20869;&#30740;&#27231;&#29992;QUILL&#20808;(KS-B,BRYANT&#23550;&#24540;)\&#30757;&#30707;&#20808;(password_10250).xls" TargetMode="External"/><Relationship Id="rId105" Type="http://schemas.openxmlformats.org/officeDocument/2006/relationships/hyperlink" Target="DesignStandards_Dimensions_InventoryData/&#34920;&#38754;&#20966;&#29702;_&#12510;&#12473;&#12461;&#12531;&#12464;/&#12508;&#12540;&#12523;&#12539;&#12524;&#12540;&#12473;&#12398;SB&#12539;DF&#29992;&#12510;&#12473;&#12461;&#12531;&#12464;&#12503;&#12524;&#12540;&#12488;/20190705_&#12510;&#12473;&#12461;&#12531;&#12464;&#27835;&#20855;.xlsx" TargetMode="External"/><Relationship Id="rId126" Type="http://schemas.openxmlformats.org/officeDocument/2006/relationships/hyperlink" Target="DesignStandards_Dimensions_InventoryData\&#12511;&#12493;&#12525;&#12531;_&#22615;&#24067;&#12539;UV&#12539;&#12488;&#12522;&#12512;\20250730_&#12511;&#12493;&#12525;&#12531;&#22615;&#24067;&#27835;&#20855;(MUSASHI&#29992;)_TOOLING%20LIST.xlsx" TargetMode="External"/><Relationship Id="rId8" Type="http://schemas.openxmlformats.org/officeDocument/2006/relationships/hyperlink" Target="DesignStandards_Dimensions_InventoryData/&#30740;&#30952;_&#20870;&#31570;&#30740;&#21066;_&#26494;&#20117;&#30000;/&#26494;&#20117;&#30000;&#22806;&#30740;&#12450;&#12540;&#12496;&#12540;&#19968;&#35239;_JAxxxx.xls" TargetMode="External"/><Relationship Id="rId51" Type="http://schemas.openxmlformats.org/officeDocument/2006/relationships/hyperlink" Target="DesignStandards_Dimensions_InventoryData\&#20999;&#21066;_&#20869;&#24452;_4651-20_&#34180;&#22411;&#12508;&#12487;&#12451;&#12507;&#12523;&#12480;&#12540;(&#27018;&#21407;)\20210916_TOOLING%20LIST_&#34180;&#22411;&#12508;&#12487;&#12451;&#12507;&#12523;&#12480;&#12540;.xls" TargetMode="External"/><Relationship Id="rId72" Type="http://schemas.openxmlformats.org/officeDocument/2006/relationships/hyperlink" Target="DesignStandards_Dimensions_InventoryData/&#30740;&#30952;_&#20869;&#30740;_4909-XX_KS-B80_KZW&#12524;&#12496;&#12540;&#12500;&#12491;&#12458;&#12531;&#23554;&#29992;&#27231;(&#22338;&#26412;)/20210622_KS-B80_&#12524;&#12496;&#12540;&#12500;&#12491;&#12458;&#12531;&#20869;&#30740;_&#27835;&#20855;&#12522;&#12473;&#12488;.xlsx" TargetMode="External"/><Relationship Id="rId93" Type="http://schemas.openxmlformats.org/officeDocument/2006/relationships/hyperlink" Target="DesignStandards_Dimensions_InventoryData/&#30740;&#30952;_&#29699;&#30740;_4033-XX_KS-500RD(&#20117;&#20986;)/IDE&#35069;&#20316;&#20013;_20180828_TOOLING%20LIST_KS-500RD(SPHERICAL%20GRIND).xlsx" TargetMode="External"/><Relationship Id="rId98" Type="http://schemas.openxmlformats.org/officeDocument/2006/relationships/hyperlink" Target="DesignStandards_Dimensions_InventoryData/&#30740;&#30952;_&#20869;&#30740;_4559-XX_BRYANT_B&#65288;&#30334;&#28716;&#65289;/&#12510;&#12473;&#12479;&#12540;&#12522;&#12531;&#12464;&#12466;&#12540;&#12472;/&#65288;&#30959;&#35997;&#65289;&#12510;&#12473;&#12479;&#12540;&#12522;&#12531;&#12464;&#12466;&#12540;&#12472;.xls" TargetMode="External"/><Relationship Id="rId121" Type="http://schemas.openxmlformats.org/officeDocument/2006/relationships/hyperlink" Target="DesignStandards_Dimensions_InventoryData/&#30740;&#30952;_&#20869;&#30740;_4021-XX_KS-B80(&#22338;&#26412;)/&#30757;&#30707;&amp;&#12463;&#12452;&#12523;/CBN%20LIST_20150121.xlsx" TargetMode="External"/><Relationship Id="rId3" Type="http://schemas.openxmlformats.org/officeDocument/2006/relationships/hyperlink" Target="DesignStandards_Dimensions_InventoryData\&#12475;&#12531;&#12479;&#12524;&#12473;_&#22806;&#30740;_4560-XX_&#25276;&#12375;&#26834;&#12539;&#12475;&#12483;&#12488;&#12500;&#12531;&#12539;&#12459;&#12521;&#12540;&#65288;&#27018;&#21407;&#65289;\20200212_TOOLING%20LIST_CENTERLESS-GRINDING-JIG.xlsx" TargetMode="External"/><Relationship Id="rId25" Type="http://schemas.openxmlformats.org/officeDocument/2006/relationships/hyperlink" Target="DesignStandards_Dimensions_InventoryData/&#30740;&#30952;_&#20869;&#30740;_4924-XX_KS-B100&#65288;&#23665;&#26412;&#65289;/20200909_&#20869;&#30740;&#27231;KS-B100&#27835;&#20855;.xlsx" TargetMode="External"/><Relationship Id="rId46" Type="http://schemas.openxmlformats.org/officeDocument/2006/relationships/hyperlink" Target="DesignStandards_Dimensions_InventoryData\&#20999;&#21066;_&#24062;&#20999;&#21066;_4516-01_&#12495;&#12452;&#12489;&#12521;&#12463;&#12522;&#12483;&#12503;&#65288;&#30959;&#35997;&#65289;\20160530_TOOLING%20LIST_&#24062;&#20181;&#19978;&#29992;&#12495;&#12452;&#12489;&#12521;&#12464;&#12522;&#12483;&#12503;&#12522;&#12473;&#12488;.xlsx" TargetMode="External"/><Relationship Id="rId67" Type="http://schemas.openxmlformats.org/officeDocument/2006/relationships/hyperlink" Target="DesignStandards_Dimensions_InventoryData/&#25244;&#12369;&#33655;&#37325;_&#12450;&#12461;&#12471;&#12515;&#12523;&#12503;&#12523;&#12540;&#12501;&#12525;&#12540;&#12489;&#35430;&#39443;&#27231;(&#30334;&#28716;)/9732-02(AX)_&#23567;&#22411;&#12450;&#12461;&#12471;&#12515;&#12523;&#12503;&#12523;&#12540;&#12501;&#12525;&#12540;&#12489;&#35430;&#39443;&#27231;(&#30334;&#28716;)/20240426_&#25244;&#12369;&#33655;&#37325;&#35430;&#39443;&#27835;&#20855;&#35373;&#35336;&#22522;&#28310;.xlsx" TargetMode="External"/><Relationship Id="rId116" Type="http://schemas.openxmlformats.org/officeDocument/2006/relationships/hyperlink" Target="DesignStandards_Dimensions_InventoryData/&#12475;&#12531;&#12479;&#12524;&#12473;_&#12502;&#12524;&#12540;&#12489;&#36969;&#29992;&#34920;&#65288;&#20117;&#20986;&#65289;/4011-01-XXXX_BLADE_LIST.xlsx" TargetMode="External"/><Relationship Id="rId20" Type="http://schemas.openxmlformats.org/officeDocument/2006/relationships/hyperlink" Target="DesignStandards_Dimensions_InventoryData/&#30740;&#30952;_&#32068;&#31435;_&#12473;&#12522;&#12540;&#12502;&#25244;&#12365;&#25407;&#20837;&#27835;&#20855;&#12539;&#12464;&#12522;&#12473;&#27880;&#20837;&#27835;&#20855;(&#20108;&#26449;)/ASRD&amp;ARRD,&#12473;&#12522;&#12540;&#12502;&#25244;&#12365;&#12289;&#25407;&#20837;&#27835;&#20855;&#29992;&#12289;&#22411;&#24335;&#36969;&#24540;&#34920;.xls" TargetMode="External"/><Relationship Id="rId41" Type="http://schemas.openxmlformats.org/officeDocument/2006/relationships/hyperlink" Target="DesignStandards_Dimensions_InventoryData/&#20999;&#21066;_PAX2&#20181;&#19978;&#12370;&#20999;&#21066;&#65288;&#23665;&#26412;&#65289;/20201112_TOOLING%20LIST_PAX2-CHUCK-JAW.xls" TargetMode="External"/><Relationship Id="rId62" Type="http://schemas.openxmlformats.org/officeDocument/2006/relationships/hyperlink" Target="DesignStandards_Dimensions_InventoryData/&#36229;&#20181;&#19978;&#12370;_&#20869;&#29699;_4659-XX_&#20869;&#29699;&#12507;&#12540;&#12491;&#12531;&#12464;(&#30959;&#35997;)/20161129_&#20869;&#29699;&#12507;&#12540;&#12491;&#12531;&#12464;&#27835;&#20855;&#23544;&#27861;&#34920;.xlsx" TargetMode="External"/><Relationship Id="rId83" Type="http://schemas.openxmlformats.org/officeDocument/2006/relationships/hyperlink" Target="DesignStandards_Dimensions_InventoryData/&#12510;&#12471;&#12491;&#12531;&#12464;_&#12461;&#12540;&#28317;&#21152;&#24037;&#29992;&#27835;&#20855;_4505-02&#12539;03&#12479;&#12452;&#12503;/20200304_KEY%20WAY%20MILLING%20TOOLING%20LIST.xlsx" TargetMode="External"/><Relationship Id="rId88" Type="http://schemas.openxmlformats.org/officeDocument/2006/relationships/hyperlink" Target="DesignStandards_Dimensions_InventoryData/&#12511;&#12493;&#12525;&#12531;_&#22615;&#24067;&#12539;UV&#12539;&#12488;&#12522;&#12512;/20170208_2TKR&#31995;&#12450;&#12452;&#12486;&#12512;&#12398;&#12484;&#12540;&#12522;&#12531;&#12464;&#12522;&#12473;&#12488;.xlsx" TargetMode="External"/><Relationship Id="rId111" Type="http://schemas.openxmlformats.org/officeDocument/2006/relationships/hyperlink" Target="DesignStandards_Dimensions_InventoryData\&#20999;&#21066;_&#12496;&#12452;&#12488;_&#19977;&#26628;&#31934;&#24037;&#12452;&#12531;&#12469;&#12540;&#12488;%20(&#22338;&#26412;)\20200825_&#19977;&#26628;&#31934;&#24037;&#28317;&#20837;&#12428;&#12452;&#12531;&#12469;&#12540;&#12488;.xlsx" TargetMode="External"/><Relationship Id="rId132" Type="http://schemas.openxmlformats.org/officeDocument/2006/relationships/hyperlink" Target="DesignStandards_Dimensions_InventoryData\&#30740;&#30952;_&#20869;&#30740;_GI-5N&#12539;20N&#12463;&#12452;&#12523;&#23544;&#27861;&#65288;&#23665;&#26412;&#65289;\20210625_&#12463;&#12452;&#12523;TOOLING%20LIST_4652&#12539;4674(&#23665;&#26412;).xls" TargetMode="External"/><Relationship Id="rId15" Type="http://schemas.openxmlformats.org/officeDocument/2006/relationships/hyperlink" Target="DesignStandards_Dimensions_InventoryData\&#30740;&#30952;_&#24062;&#30740;_4556&#12539;4866-XX_&#35199;&#37096;&#24062;&#30740;&#27231;TSG300(&#30334;&#28716;)\UK%20BALL_THAI&#31227;&#31649;_TOOLING%20LIST_TSG300(FACE%20GRIND).xls" TargetMode="External"/><Relationship Id="rId36" Type="http://schemas.openxmlformats.org/officeDocument/2006/relationships/hyperlink" Target="DesignStandards_Dimensions_InventoryData/&#20181;&#19978;_&#12503;&#12524;&#12473;_500&#12488;&#12531;&#12503;&#12524;&#12473;&#29992;GP&#22312;&#24235;&#12522;&#12473;&#12488;(&#23665;&#26412;)/20130329_500&#12488;&#12531;&#12503;&#12524;&#12473;&#29992;GP&#22312;&#24235;&#12522;&#12473;&#12488;&#65288;&#23665;&#26412;&#65289;.xls" TargetMode="External"/><Relationship Id="rId57" Type="http://schemas.openxmlformats.org/officeDocument/2006/relationships/hyperlink" Target="DesignStandards_Dimensions_InventoryData\&#32068;&#20999;&#21066;_&#39640;&#26494;X-100&#65286;XD-8&#65288;&#27018;&#21407;&#65289;\NHBB\TOOLING&#12522;&#12473;&#12488;_TAKAMAZ_NHBB.xls" TargetMode="External"/><Relationship Id="rId106" Type="http://schemas.openxmlformats.org/officeDocument/2006/relationships/hyperlink" Target="DesignStandards_Dimensions_InventoryData/&#30740;&#30952;_&#20869;&#30740;_4870-XX_KS-B22RD/KS-B22RD_BoreSortToolingList.xlsx" TargetMode="External"/><Relationship Id="rId127" Type="http://schemas.openxmlformats.org/officeDocument/2006/relationships/hyperlink" Target="../../114A00-RD_rdengr/&#35069;&#36896;&#25216;&#34899;/DATABASE/CHART&#30058;&#21495;DB/CHART&#30058;&#21495;.xlsx" TargetMode="External"/><Relationship Id="rId10" Type="http://schemas.openxmlformats.org/officeDocument/2006/relationships/hyperlink" Target="DesignStandards_Dimensions_InventoryData\&#30740;&#30952;_&#29699;&#30740;_4664-XX_KS-400B1~4(&#30334;&#28716;)\20210628_TOOLING%20LIST_KS400B(SPHERICAL%20GRIND).xlsx" TargetMode="External"/><Relationship Id="rId31" Type="http://schemas.openxmlformats.org/officeDocument/2006/relationships/hyperlink" Target="DesignStandards_Dimensions_InventoryData/&#20181;&#19978;_&#12495;&#12531;&#12489;&#12503;&#12524;&#12473;&#20840;&#33324;/4577-01_&#12491;&#12483;&#12503;&#12523;&#12452;&#12531;&#12469;&#12540;&#12488;&#27835;&#20855;&#20182;(&#20013;&#20117;&#23551;)/20191520_&#12491;&#12483;&#12503;&#12523;&#12452;&#12531;&#12469;&#12540;&#12488;&#27835;&#20855;&#12522;&#12473;&#12488;(4577-01-XXXX).xlsx" TargetMode="External"/><Relationship Id="rId52" Type="http://schemas.openxmlformats.org/officeDocument/2006/relationships/hyperlink" Target="DesignStandards_Dimensions_InventoryData/&#20999;&#21066;_&#20869;&#24452;_BD5XXX_&#12522;&#12531;&#12463;&#20999;&#21066;&#29992;&#12508;&#12487;&#12451;&#12507;&#12523;&#12480;&#12540;(&#19977;&#30000;)/BD5XXX_&#12508;&#12487;&#12451;&#12540;&#12507;&#12523;&#12480;&#12540;LIST.xlsx" TargetMode="External"/><Relationship Id="rId73" Type="http://schemas.openxmlformats.org/officeDocument/2006/relationships/hyperlink" Target="DesignStandards_Dimensions_InventoryData\&#21697;&#31649;_9901-09_&#21516;&#24515;&#24230;&#28204;&#23450;&#12500;&#12531;(&#27018;&#21407;)\20190524_TOOLING%20LIST_CONCENTRICITY%20MEASURING%20PIN.xlsx" TargetMode="External"/><Relationship Id="rId78" Type="http://schemas.openxmlformats.org/officeDocument/2006/relationships/hyperlink" Target="DesignStandards_Dimensions_InventoryData/&#21697;&#31649;_&#12450;&#12461;&#12471;&#12515;&#12523;&#12377;&#12365;&#12414;&#28204;&#23450;/9738_4800_&#23567;&#22411;&#12450;&#12461;&#12471;&#12515;&#12523;&#12377;&#12365;&#12414;&#28204;&#23450;&#27835;&#20855;/202104_9738-04_AP&#38553;&#38291;&#28204;&#23450;&#27835;&#20855;_IDY.xlsx" TargetMode="External"/><Relationship Id="rId94" Type="http://schemas.openxmlformats.org/officeDocument/2006/relationships/hyperlink" Target="DesignStandards_Dimensions_InventoryData/&#30740;&#30952;_&#28317;&#30740;_4828&#12539;4832-XX_KN-312B&#12471;&#12517;&#12540;&#12475;&#12531;&#12479;&#12524;&#12473;/20160905_4828-06&#12539;07&#65288;M8&#12503;&#12521;&#12464;&#65289;&#23544;&#27861;&#34920;.xlsx" TargetMode="External"/><Relationship Id="rId99" Type="http://schemas.openxmlformats.org/officeDocument/2006/relationships/hyperlink" Target="DesignStandards_Dimensions_InventoryData\&#30740;&#30952;_&#20869;&#30740;_4559-XX_BRYANT_B&#65288;&#30334;&#28716;&#65289;\20151013_PLUG%20GAUGE&#12522;&#12473;&#12488;&#65288;JURAIRAT&#12373;&#12435;&#20381;&#38972;&#65289;\20151013_BRYANT_PLUG-GAUGE(REF%20ONLY).xlsx" TargetMode="External"/><Relationship Id="rId101" Type="http://schemas.openxmlformats.org/officeDocument/2006/relationships/hyperlink" Target="DesignStandards_Dimensions_InventoryData/&#12511;&#12493;&#12525;&#12531;_&#22615;&#24067;&#12539;UV&#12539;&#12488;&#12522;&#12512;/20171219_&#12511;&#12493;&#12525;&#12531;&#27835;&#20855;_TOOLING%20LIST.xlsx" TargetMode="External"/><Relationship Id="rId122" Type="http://schemas.openxmlformats.org/officeDocument/2006/relationships/hyperlink" Target="DesignStandards_Dimensions_InventoryData/&#30740;&#30952;_&#29699;&#30740;_4033-XX_KS-500RD(&#20117;&#20986;)/20180821_KS-500RD_&#25237;&#20837;&#22411;&#24335;&#12471;&#12517;&#12540;&#23550;&#24540;&#34920;.xlsx" TargetMode="External"/><Relationship Id="rId4" Type="http://schemas.openxmlformats.org/officeDocument/2006/relationships/hyperlink" Target="DesignStandards_Dimensions_InventoryData/&#12475;&#12531;&#12479;&#12524;&#12473;_&#22806;&#30740;_4874-XX_&#12511;&#12463;&#12525;&#12531;(&#23665;&#26412;)/20210708_TOOLING%20LIST_&#12511;&#12463;&#12525;&#12531;&#12475;&#12531;&#12479;&#12524;&#12473;.xlsx" TargetMode="External"/><Relationship Id="rId9" Type="http://schemas.openxmlformats.org/officeDocument/2006/relationships/hyperlink" Target="DesignStandards_Dimensions_InventoryData/&#30740;&#30952;_&#29699;&#30740;_4033-XX_KS-500RD(&#20117;&#20986;)/KS-500RD_TOOLING%20LIST%2020181011_IDY.xlsx" TargetMode="External"/><Relationship Id="rId26" Type="http://schemas.openxmlformats.org/officeDocument/2006/relationships/hyperlink" Target="DesignStandards_Dimensions_InventoryData\&#30740;&#30952;_&#20869;&#30740;_GI-5N&#12539;20N&#12463;&#12452;&#12523;&#23544;&#27861;&#65288;&#23665;&#26412;&#65289;\20210625_&#12463;&#12452;&#12523;TOOLING%20LIST_4652&#12539;4674(&#23665;&#26412;).xls" TargetMode="External"/><Relationship Id="rId47" Type="http://schemas.openxmlformats.org/officeDocument/2006/relationships/hyperlink" Target="DesignStandards_Dimensions_InventoryData/&#20999;&#21066;_&#25237;&#20837;_4800-40_&#12510;&#12473;&#12479;&#12540;&#12508;&#12540;&#12523;(&#23665;&#26412;)/20180124_TOOLING%20LIST_MASTER%20BALL(4800-40,ZZ).xlsx" TargetMode="External"/><Relationship Id="rId68" Type="http://schemas.openxmlformats.org/officeDocument/2006/relationships/hyperlink" Target="DesignStandards_Dimensions_InventoryData/&#25244;&#12369;&#33655;&#37325;_&#12450;&#12461;&#12471;&#12515;&#12523;&#12503;&#12523;&#12540;&#12501;&#12525;&#12540;&#12489;&#35430;&#39443;&#27231;(&#30334;&#28716;)/9751-XX_&#22823;&#22411;&#12450;&#12461;&#12471;&#12515;&#12523;&#12503;&#12523;&#12540;&#12501;&#12525;&#12540;&#12489;&#35430;&#39443;&#27231;(&#30334;&#28716;)/20170306_&#22823;&#22411;&#12450;&#12461;&#12471;&#12515;&#12523;&#25244;&#12369;&#33655;&#37325;&#35430;&#39443;&#29992;&#27835;&#20855;.xlsx" TargetMode="External"/><Relationship Id="rId89" Type="http://schemas.openxmlformats.org/officeDocument/2006/relationships/hyperlink" Target="DesignStandards_Dimensions_InventoryData/&#12475;&#12531;&#12479;&#12524;&#12473;_&#12525;&#12540;&#12521;&#12540;&#12500;&#12531;_HI-GRIND/&#12525;&#12540;&#12521;&#12540;&#12500;&#12531;&#33455;&#39640;.xlsx" TargetMode="External"/><Relationship Id="rId112" Type="http://schemas.openxmlformats.org/officeDocument/2006/relationships/hyperlink" Target="DesignStandards_Dimensions_InventoryData\&#32068;&#20999;&#21066;_FTL&#12467;&#12524;&#12483;&#12488;&#12481;&#12515;&#12483;&#12463;&#65288;&#31309;&#23665;&#65289;\20231122_FTL_TOOLING_LIST(&#35373;&#35336;&#35336;&#31639;&#12398;&#12415;&#26377;&#21177;&#12539;&#32080;&#26524;&#12399;ACCESS&#12395;&#20837;&#21147;&#12398;&#20107;).xlsx" TargetMode="External"/><Relationship Id="rId133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53"/>
  <sheetViews>
    <sheetView tabSelected="1" zoomScale="115" zoomScaleNormal="115" workbookViewId="0">
      <pane ySplit="1" topLeftCell="A2" activePane="bottomLeft" state="frozen"/>
      <selection pane="bottomLeft"/>
    </sheetView>
  </sheetViews>
  <sheetFormatPr defaultRowHeight="18.75" outlineLevelCol="1" x14ac:dyDescent="0.4"/>
  <cols>
    <col min="1" max="1" width="74.375" style="2" bestFit="1" customWidth="1"/>
    <col min="2" max="2" width="18.375" style="2" customWidth="1"/>
    <col min="3" max="3" width="16.375" style="2" customWidth="1"/>
    <col min="4" max="4" width="29" style="2" customWidth="1"/>
    <col min="5" max="5" width="10.875" style="6" customWidth="1"/>
    <col min="6" max="6" width="7.125" style="9" customWidth="1"/>
    <col min="7" max="8" width="7.125" style="8" customWidth="1"/>
    <col min="9" max="11" width="7.125" customWidth="1"/>
    <col min="13" max="14" width="9" customWidth="1"/>
    <col min="15" max="15" width="77.125" style="2" hidden="1" customWidth="1" outlineLevel="1"/>
    <col min="16" max="16" width="18.375" style="2" hidden="1" customWidth="1" outlineLevel="1"/>
    <col min="17" max="17" width="16.375" style="2" hidden="1" customWidth="1" outlineLevel="1"/>
    <col min="18" max="18" width="24.125" style="2" hidden="1" customWidth="1" outlineLevel="1"/>
    <col min="19" max="19" width="10.875" style="6" hidden="1" customWidth="1" outlineLevel="1"/>
    <col min="20" max="20" width="7.125" style="9" hidden="1" customWidth="1" outlineLevel="1"/>
    <col min="21" max="22" width="7.125" style="8" hidden="1" customWidth="1" outlineLevel="1"/>
    <col min="23" max="25" width="7.125" hidden="1" customWidth="1" outlineLevel="1"/>
    <col min="26" max="26" width="9" collapsed="1"/>
  </cols>
  <sheetData>
    <row r="1" spans="1:25" x14ac:dyDescent="0.4">
      <c r="A1" s="1" t="s">
        <v>219</v>
      </c>
      <c r="B1" s="1" t="s">
        <v>225</v>
      </c>
      <c r="C1" s="1" t="s">
        <v>226</v>
      </c>
      <c r="D1" s="1" t="s">
        <v>227</v>
      </c>
      <c r="E1" s="10" t="s">
        <v>228</v>
      </c>
      <c r="F1" s="11" t="s">
        <v>220</v>
      </c>
      <c r="G1" s="11" t="s">
        <v>220</v>
      </c>
      <c r="H1" s="11" t="s">
        <v>220</v>
      </c>
      <c r="I1" s="12"/>
      <c r="J1" s="12"/>
      <c r="K1" s="13" t="s">
        <v>221</v>
      </c>
      <c r="O1" s="56" t="s">
        <v>302</v>
      </c>
      <c r="P1" s="56"/>
      <c r="Q1" s="56"/>
      <c r="R1" s="56"/>
      <c r="S1" s="56"/>
      <c r="T1" s="56"/>
      <c r="U1" s="56"/>
      <c r="V1" s="56"/>
      <c r="W1" s="56"/>
      <c r="X1" s="56"/>
      <c r="Y1" s="56"/>
    </row>
    <row r="2" spans="1:25" x14ac:dyDescent="0.4">
      <c r="A2" s="3" t="s">
        <v>229</v>
      </c>
      <c r="B2" s="1" t="s">
        <v>230</v>
      </c>
      <c r="C2" s="23" t="s">
        <v>231</v>
      </c>
      <c r="D2" s="23" t="s">
        <v>232</v>
      </c>
      <c r="E2" s="10">
        <v>4001</v>
      </c>
      <c r="F2" s="15" t="s">
        <v>114</v>
      </c>
      <c r="G2" s="35"/>
      <c r="H2" s="23"/>
      <c r="I2" s="34"/>
      <c r="J2" s="34"/>
      <c r="K2" s="34"/>
      <c r="M2" t="e">
        <f>IF(A2=O2,TRUE,FALESE)</f>
        <v>#NAME?</v>
      </c>
      <c r="O2" s="3"/>
      <c r="P2" s="1"/>
      <c r="Q2" s="23"/>
      <c r="R2" s="23"/>
      <c r="S2" s="35"/>
      <c r="T2" s="36"/>
      <c r="U2" s="35"/>
      <c r="V2" s="23"/>
      <c r="W2" s="34"/>
      <c r="X2" s="34"/>
      <c r="Y2" s="34"/>
    </row>
    <row r="3" spans="1:25" x14ac:dyDescent="0.4">
      <c r="A3" s="3" t="s">
        <v>43</v>
      </c>
      <c r="B3" s="1" t="s">
        <v>233</v>
      </c>
      <c r="C3" s="1" t="s">
        <v>105</v>
      </c>
      <c r="D3" s="1" t="s">
        <v>234</v>
      </c>
      <c r="E3" s="14">
        <v>4007</v>
      </c>
      <c r="F3" s="15" t="s">
        <v>376</v>
      </c>
      <c r="G3" s="20"/>
      <c r="H3" s="20"/>
      <c r="I3" s="12"/>
      <c r="J3" s="12"/>
      <c r="K3" s="13">
        <v>1</v>
      </c>
      <c r="M3" t="e">
        <f>IF(A3=O3,TRUE,FALESE)</f>
        <v>#NAME?</v>
      </c>
      <c r="O3" s="3"/>
      <c r="P3" s="1"/>
      <c r="Q3" s="1"/>
      <c r="R3" s="1"/>
      <c r="S3" s="14"/>
      <c r="T3" s="19"/>
      <c r="U3" s="20"/>
      <c r="V3" s="20"/>
      <c r="W3" s="12"/>
      <c r="X3" s="12"/>
      <c r="Y3" s="13"/>
    </row>
    <row r="4" spans="1:25" x14ac:dyDescent="0.4">
      <c r="A4" s="3" t="s">
        <v>224</v>
      </c>
      <c r="B4" s="1" t="s">
        <v>235</v>
      </c>
      <c r="C4" s="1" t="s">
        <v>106</v>
      </c>
      <c r="D4" s="1" t="s">
        <v>236</v>
      </c>
      <c r="E4" s="14">
        <v>4008</v>
      </c>
      <c r="F4" s="21" t="s">
        <v>107</v>
      </c>
      <c r="G4" s="20"/>
      <c r="H4" s="20"/>
      <c r="I4" s="12"/>
      <c r="J4" s="12"/>
      <c r="K4" s="12"/>
      <c r="M4" t="e">
        <f>IF(A4=O4,TRUE,FALESE)</f>
        <v>#NAME?</v>
      </c>
      <c r="O4" s="3"/>
      <c r="P4" s="1"/>
      <c r="Q4" s="1"/>
      <c r="R4" s="1"/>
      <c r="S4" s="14"/>
      <c r="T4" s="21"/>
      <c r="U4" s="20"/>
      <c r="V4" s="20"/>
      <c r="W4" s="12"/>
      <c r="X4" s="12"/>
      <c r="Y4" s="12"/>
    </row>
    <row r="5" spans="1:25" x14ac:dyDescent="0.4">
      <c r="A5" s="3" t="s">
        <v>38</v>
      </c>
      <c r="B5" s="1" t="s">
        <v>237</v>
      </c>
      <c r="C5" s="1" t="s">
        <v>355</v>
      </c>
      <c r="D5" s="1" t="s">
        <v>237</v>
      </c>
      <c r="E5" s="14">
        <v>4009</v>
      </c>
      <c r="F5" s="19"/>
      <c r="G5" s="20"/>
      <c r="H5" s="20"/>
      <c r="I5" s="12"/>
      <c r="J5" s="12"/>
      <c r="K5" s="13">
        <v>1</v>
      </c>
      <c r="M5" t="e">
        <f>IF(A5=O5,TRUE,FALESE)</f>
        <v>#NAME?</v>
      </c>
      <c r="O5" s="3"/>
      <c r="P5" s="1"/>
      <c r="Q5" s="1"/>
      <c r="R5" s="1"/>
      <c r="S5" s="14"/>
      <c r="T5" s="19"/>
      <c r="U5" s="20"/>
      <c r="V5" s="20"/>
      <c r="W5" s="12"/>
      <c r="X5" s="12"/>
      <c r="Y5" s="13"/>
    </row>
    <row r="6" spans="1:25" x14ac:dyDescent="0.4">
      <c r="A6" s="3" t="s">
        <v>238</v>
      </c>
      <c r="B6" s="1" t="s">
        <v>239</v>
      </c>
      <c r="C6" s="1" t="s">
        <v>354</v>
      </c>
      <c r="D6" s="1" t="s">
        <v>240</v>
      </c>
      <c r="E6" s="10">
        <v>4011</v>
      </c>
      <c r="F6" s="21" t="s">
        <v>114</v>
      </c>
      <c r="G6" s="20"/>
      <c r="H6" s="16"/>
      <c r="I6" s="23"/>
      <c r="J6" s="23"/>
      <c r="K6" s="23"/>
      <c r="M6" t="e">
        <f>IF(A6=O6,TRUE,FALESE)</f>
        <v>#NAME?</v>
      </c>
      <c r="O6" s="3"/>
      <c r="P6" s="1"/>
      <c r="Q6" s="1"/>
      <c r="R6" s="1"/>
      <c r="S6" s="10"/>
      <c r="T6" s="21"/>
      <c r="U6" s="20"/>
      <c r="V6" s="16"/>
      <c r="W6" s="23"/>
      <c r="X6" s="23"/>
      <c r="Y6" s="23"/>
    </row>
    <row r="7" spans="1:25" x14ac:dyDescent="0.4">
      <c r="A7" s="3" t="s">
        <v>39</v>
      </c>
      <c r="B7" s="1" t="s">
        <v>237</v>
      </c>
      <c r="C7" s="1" t="s">
        <v>108</v>
      </c>
      <c r="D7" s="1" t="s">
        <v>109</v>
      </c>
      <c r="E7" s="14">
        <v>4012</v>
      </c>
      <c r="F7" s="19"/>
      <c r="G7" s="20"/>
      <c r="H7" s="20"/>
      <c r="I7" s="12"/>
      <c r="J7" s="12"/>
      <c r="K7" s="12"/>
      <c r="M7" t="e">
        <f>IF(A7=O7,TRUE,FALESE)</f>
        <v>#NAME?</v>
      </c>
      <c r="O7" s="3"/>
      <c r="P7" s="1"/>
      <c r="Q7" s="1"/>
      <c r="R7" s="1"/>
      <c r="S7" s="14"/>
      <c r="T7" s="19"/>
      <c r="U7" s="20"/>
      <c r="V7" s="20"/>
      <c r="W7" s="12"/>
      <c r="X7" s="12"/>
      <c r="Y7" s="12"/>
    </row>
    <row r="8" spans="1:25" x14ac:dyDescent="0.4">
      <c r="A8" s="3" t="s">
        <v>301</v>
      </c>
      <c r="B8" s="41" t="s">
        <v>241</v>
      </c>
      <c r="C8" s="41" t="s">
        <v>110</v>
      </c>
      <c r="D8" s="41" t="s">
        <v>243</v>
      </c>
      <c r="E8" s="45">
        <v>4021</v>
      </c>
      <c r="F8" s="46"/>
      <c r="G8" s="47"/>
      <c r="H8" s="47"/>
      <c r="I8" s="44"/>
      <c r="J8" s="44"/>
      <c r="K8" s="44">
        <v>1</v>
      </c>
      <c r="M8" t="e">
        <f>IF(A8=O8,TRUE,FALESE)</f>
        <v>#NAME?</v>
      </c>
      <c r="O8" s="55"/>
      <c r="P8" s="57"/>
      <c r="Q8" s="57"/>
      <c r="R8" s="57"/>
      <c r="S8" s="58"/>
      <c r="T8" s="59"/>
      <c r="U8" s="60"/>
      <c r="V8" s="60"/>
      <c r="W8" s="61"/>
      <c r="X8" s="61"/>
      <c r="Y8" s="61"/>
    </row>
    <row r="9" spans="1:25" x14ac:dyDescent="0.4">
      <c r="A9" s="3" t="s">
        <v>87</v>
      </c>
      <c r="B9" s="1" t="s">
        <v>241</v>
      </c>
      <c r="C9" s="1" t="s">
        <v>110</v>
      </c>
      <c r="D9" s="1" t="s">
        <v>243</v>
      </c>
      <c r="E9" s="26">
        <v>4021</v>
      </c>
      <c r="F9" s="19"/>
      <c r="G9" s="20"/>
      <c r="H9" s="20"/>
      <c r="I9" s="12"/>
      <c r="J9" s="12"/>
      <c r="K9" s="12"/>
      <c r="M9" t="e">
        <f>IF(A9=O9,TRUE,FALESE)</f>
        <v>#NAME?</v>
      </c>
      <c r="O9" s="3"/>
      <c r="P9" s="1"/>
      <c r="Q9" s="1"/>
      <c r="R9" s="1"/>
      <c r="S9" s="26"/>
      <c r="T9" s="19"/>
      <c r="U9" s="20"/>
      <c r="V9" s="20"/>
      <c r="W9" s="12"/>
      <c r="X9" s="12"/>
      <c r="Y9" s="12"/>
    </row>
    <row r="10" spans="1:25" x14ac:dyDescent="0.4">
      <c r="A10" s="3" t="s">
        <v>286</v>
      </c>
      <c r="B10" s="1" t="s">
        <v>241</v>
      </c>
      <c r="C10" s="1" t="s">
        <v>110</v>
      </c>
      <c r="D10" s="1" t="s">
        <v>242</v>
      </c>
      <c r="E10" s="14">
        <v>4021</v>
      </c>
      <c r="F10" s="19"/>
      <c r="G10" s="20"/>
      <c r="H10" s="20"/>
      <c r="I10" s="12"/>
      <c r="J10" s="12"/>
      <c r="K10" s="12"/>
      <c r="M10" t="e">
        <f>IF(A10=O10,TRUE,FALESE)</f>
        <v>#NAME?</v>
      </c>
      <c r="O10" s="3"/>
      <c r="P10" s="1"/>
      <c r="Q10" s="1"/>
      <c r="R10" s="1"/>
      <c r="S10" s="14"/>
      <c r="T10" s="19"/>
      <c r="U10" s="20"/>
      <c r="V10" s="20"/>
      <c r="W10" s="12"/>
      <c r="X10" s="12"/>
      <c r="Y10" s="12"/>
    </row>
    <row r="11" spans="1:25" x14ac:dyDescent="0.4">
      <c r="A11" s="3" t="s">
        <v>17</v>
      </c>
      <c r="B11" s="1" t="s">
        <v>241</v>
      </c>
      <c r="C11" s="1" t="s">
        <v>111</v>
      </c>
      <c r="D11" s="1" t="s">
        <v>243</v>
      </c>
      <c r="E11" s="14">
        <v>4027</v>
      </c>
      <c r="F11" s="19"/>
      <c r="G11" s="20"/>
      <c r="H11" s="20"/>
      <c r="I11" s="12"/>
      <c r="J11" s="12"/>
      <c r="K11" s="13">
        <v>1</v>
      </c>
      <c r="M11" t="e">
        <f>IF(A11=O11,TRUE,FALESE)</f>
        <v>#NAME?</v>
      </c>
      <c r="O11" s="3"/>
      <c r="P11" s="1"/>
      <c r="Q11" s="1"/>
      <c r="R11" s="1"/>
      <c r="S11" s="14"/>
      <c r="T11" s="11"/>
      <c r="U11" s="10"/>
      <c r="V11" s="10"/>
      <c r="W11" s="12"/>
      <c r="X11" s="12"/>
      <c r="Y11" s="12"/>
    </row>
    <row r="12" spans="1:25" x14ac:dyDescent="0.4">
      <c r="A12" s="3" t="s">
        <v>0</v>
      </c>
      <c r="B12" s="16" t="s">
        <v>241</v>
      </c>
      <c r="C12" s="16" t="s">
        <v>112</v>
      </c>
      <c r="D12" s="16" t="s">
        <v>244</v>
      </c>
      <c r="E12" s="17">
        <v>4029</v>
      </c>
      <c r="F12" s="19">
        <v>66</v>
      </c>
      <c r="G12" s="20">
        <v>38</v>
      </c>
      <c r="H12" s="20"/>
      <c r="I12" s="12"/>
      <c r="J12" s="12"/>
      <c r="K12" s="13">
        <v>1</v>
      </c>
      <c r="M12" t="e">
        <f>IF(A12=O12,TRUE,FALESE)</f>
        <v>#NAME?</v>
      </c>
      <c r="O12" s="3"/>
      <c r="P12" s="1"/>
      <c r="Q12" s="1"/>
      <c r="R12" s="1"/>
      <c r="S12" s="14"/>
      <c r="T12" s="19"/>
      <c r="U12" s="20"/>
      <c r="V12" s="20"/>
      <c r="W12" s="12"/>
      <c r="X12" s="12"/>
      <c r="Y12" s="13"/>
    </row>
    <row r="13" spans="1:25" x14ac:dyDescent="0.4">
      <c r="A13" s="3" t="s">
        <v>80</v>
      </c>
      <c r="B13" s="16" t="s">
        <v>245</v>
      </c>
      <c r="C13" s="16" t="s">
        <v>113</v>
      </c>
      <c r="D13" s="16" t="s">
        <v>246</v>
      </c>
      <c r="E13" s="17">
        <v>4030</v>
      </c>
      <c r="F13" s="21" t="s">
        <v>114</v>
      </c>
      <c r="G13" s="20"/>
      <c r="H13" s="20"/>
      <c r="I13" s="12"/>
      <c r="J13" s="12"/>
      <c r="K13" s="12"/>
      <c r="M13" t="e">
        <f>IF(A13=O13,TRUE,FALESE)</f>
        <v>#NAME?</v>
      </c>
      <c r="O13" s="3"/>
      <c r="P13" s="16"/>
      <c r="Q13" s="16"/>
      <c r="R13" s="16"/>
      <c r="S13" s="17"/>
      <c r="T13" s="19"/>
      <c r="U13" s="20"/>
      <c r="V13" s="20"/>
      <c r="W13" s="12"/>
      <c r="X13" s="12"/>
      <c r="Y13" s="13"/>
    </row>
    <row r="14" spans="1:25" x14ac:dyDescent="0.4">
      <c r="A14" s="3" t="s">
        <v>293</v>
      </c>
      <c r="B14" s="16" t="s">
        <v>245</v>
      </c>
      <c r="C14" s="16" t="s">
        <v>113</v>
      </c>
      <c r="D14" s="16" t="s">
        <v>246</v>
      </c>
      <c r="E14" s="17">
        <v>4030</v>
      </c>
      <c r="F14" s="21" t="s">
        <v>114</v>
      </c>
      <c r="G14" s="15" t="s">
        <v>115</v>
      </c>
      <c r="H14" s="20"/>
      <c r="I14" s="12"/>
      <c r="J14" s="12"/>
      <c r="K14" s="13">
        <v>1</v>
      </c>
      <c r="M14" t="e">
        <f>IF(A14=O14,TRUE,FALESE)</f>
        <v>#NAME?</v>
      </c>
      <c r="O14" s="3"/>
      <c r="P14" s="16"/>
      <c r="Q14" s="16"/>
      <c r="R14" s="16"/>
      <c r="S14" s="17"/>
      <c r="T14" s="21"/>
      <c r="U14" s="20"/>
      <c r="V14" s="20"/>
      <c r="W14" s="12"/>
      <c r="X14" s="12"/>
      <c r="Y14" s="12"/>
    </row>
    <row r="15" spans="1:25" x14ac:dyDescent="0.4">
      <c r="A15" s="3" t="s">
        <v>82</v>
      </c>
      <c r="B15" s="1" t="s">
        <v>241</v>
      </c>
      <c r="C15" s="16" t="s">
        <v>116</v>
      </c>
      <c r="D15" s="16" t="s">
        <v>247</v>
      </c>
      <c r="E15" s="17">
        <v>4033</v>
      </c>
      <c r="F15" s="19"/>
      <c r="G15" s="20"/>
      <c r="H15" s="20"/>
      <c r="I15" s="12"/>
      <c r="J15" s="12"/>
      <c r="K15" s="12"/>
      <c r="M15" t="e">
        <f>IF(A15=O15,TRUE,FALESE)</f>
        <v>#NAME?</v>
      </c>
      <c r="O15" s="3"/>
      <c r="P15" s="16"/>
      <c r="Q15" s="16"/>
      <c r="R15" s="16"/>
      <c r="S15" s="17"/>
      <c r="T15" s="21"/>
      <c r="U15" s="15"/>
      <c r="V15" s="20"/>
      <c r="W15" s="12"/>
      <c r="X15" s="12"/>
      <c r="Y15" s="13"/>
    </row>
    <row r="16" spans="1:25" x14ac:dyDescent="0.4">
      <c r="A16" s="3" t="s">
        <v>83</v>
      </c>
      <c r="B16" s="1" t="s">
        <v>241</v>
      </c>
      <c r="C16" s="16" t="s">
        <v>116</v>
      </c>
      <c r="D16" s="16" t="s">
        <v>247</v>
      </c>
      <c r="E16" s="17">
        <v>4033</v>
      </c>
      <c r="F16" s="21"/>
      <c r="G16" s="20"/>
      <c r="H16" s="20"/>
      <c r="I16" s="12"/>
      <c r="J16" s="12"/>
      <c r="K16" s="12"/>
      <c r="M16" t="e">
        <f>IF(A16=O16,TRUE,FALESE)</f>
        <v>#NAME?</v>
      </c>
      <c r="O16" s="3"/>
      <c r="P16" s="1"/>
      <c r="Q16" s="16"/>
      <c r="R16" s="16"/>
      <c r="S16" s="17"/>
      <c r="T16" s="19"/>
      <c r="U16" s="20"/>
      <c r="V16" s="20"/>
      <c r="W16" s="12"/>
      <c r="X16" s="12"/>
      <c r="Y16" s="12"/>
    </row>
    <row r="17" spans="1:25" x14ac:dyDescent="0.4">
      <c r="A17" s="3" t="s">
        <v>8</v>
      </c>
      <c r="B17" s="1" t="s">
        <v>241</v>
      </c>
      <c r="C17" s="16" t="s">
        <v>116</v>
      </c>
      <c r="D17" s="16" t="s">
        <v>247</v>
      </c>
      <c r="E17" s="17">
        <v>4033</v>
      </c>
      <c r="F17" s="21" t="s">
        <v>117</v>
      </c>
      <c r="G17" s="20"/>
      <c r="H17" s="20"/>
      <c r="I17" s="12"/>
      <c r="J17" s="12"/>
      <c r="K17" s="13">
        <v>1</v>
      </c>
      <c r="M17" t="e">
        <f>IF(A17=O17,TRUE,FALESE)</f>
        <v>#NAME?</v>
      </c>
      <c r="O17" s="3"/>
      <c r="P17" s="1"/>
      <c r="Q17" s="16"/>
      <c r="R17" s="16"/>
      <c r="S17" s="17"/>
      <c r="T17" s="21"/>
      <c r="U17" s="20"/>
      <c r="V17" s="20"/>
      <c r="W17" s="12"/>
      <c r="X17" s="12"/>
      <c r="Y17" s="12"/>
    </row>
    <row r="18" spans="1:25" x14ac:dyDescent="0.4">
      <c r="A18" s="3" t="s">
        <v>372</v>
      </c>
      <c r="B18" s="1" t="s">
        <v>241</v>
      </c>
      <c r="C18" s="4" t="s">
        <v>373</v>
      </c>
      <c r="D18" s="4" t="s">
        <v>374</v>
      </c>
      <c r="E18" s="37">
        <v>4036</v>
      </c>
      <c r="F18" s="65" t="s">
        <v>375</v>
      </c>
      <c r="G18" s="39">
        <v>2</v>
      </c>
      <c r="H18" s="39"/>
      <c r="I18" s="22"/>
      <c r="J18" s="22"/>
      <c r="K18" s="22"/>
      <c r="M18" t="e">
        <f>IF(A18=O18,TRUE,FALESE)</f>
        <v>#NAME?</v>
      </c>
      <c r="O18" s="3"/>
      <c r="P18" s="1"/>
      <c r="Q18" s="16"/>
      <c r="R18" s="16"/>
      <c r="S18" s="17"/>
      <c r="T18" s="21"/>
      <c r="U18" s="20"/>
      <c r="V18" s="20"/>
      <c r="W18" s="12"/>
      <c r="X18" s="12"/>
      <c r="Y18" s="13"/>
    </row>
    <row r="19" spans="1:25" x14ac:dyDescent="0.4">
      <c r="A19" s="3" t="s">
        <v>48</v>
      </c>
      <c r="B19" s="1" t="s">
        <v>248</v>
      </c>
      <c r="C19" s="1" t="s">
        <v>118</v>
      </c>
      <c r="D19" s="1" t="s">
        <v>249</v>
      </c>
      <c r="E19" s="14">
        <v>4501</v>
      </c>
      <c r="F19" s="21" t="s">
        <v>119</v>
      </c>
      <c r="G19" s="20"/>
      <c r="H19" s="20"/>
      <c r="I19" s="25" t="s">
        <v>142</v>
      </c>
      <c r="J19" s="13" t="s">
        <v>189</v>
      </c>
      <c r="K19" s="12"/>
      <c r="M19" t="e">
        <f>IF(A19=O19,TRUE,FALESE)</f>
        <v>#NAME?</v>
      </c>
      <c r="O19" s="3"/>
      <c r="P19" s="1"/>
      <c r="Q19" s="1"/>
      <c r="R19" s="1"/>
      <c r="S19" s="14"/>
      <c r="T19" s="21"/>
      <c r="U19" s="20"/>
      <c r="V19" s="20"/>
      <c r="W19" s="25"/>
      <c r="X19" s="13"/>
      <c r="Y19" s="12"/>
    </row>
    <row r="20" spans="1:25" x14ac:dyDescent="0.4">
      <c r="A20" s="3" t="s">
        <v>74</v>
      </c>
      <c r="B20" s="1" t="s">
        <v>230</v>
      </c>
      <c r="C20" s="1" t="s">
        <v>303</v>
      </c>
      <c r="D20" s="1" t="s">
        <v>250</v>
      </c>
      <c r="E20" s="14">
        <v>4505</v>
      </c>
      <c r="F20" s="19"/>
      <c r="G20" s="20"/>
      <c r="H20" s="20"/>
      <c r="I20" s="12"/>
      <c r="J20" s="12"/>
      <c r="K20" s="13"/>
      <c r="M20" t="e">
        <f>IF(A20=O20,TRUE,FALESE)</f>
        <v>#NAME?</v>
      </c>
      <c r="O20" s="3"/>
      <c r="P20" s="1"/>
      <c r="Q20" s="1"/>
      <c r="R20" s="1"/>
      <c r="S20" s="14"/>
      <c r="T20" s="19"/>
      <c r="U20" s="20"/>
      <c r="V20" s="20"/>
      <c r="W20" s="12"/>
      <c r="X20" s="12"/>
      <c r="Y20" s="13"/>
    </row>
    <row r="21" spans="1:25" x14ac:dyDescent="0.4">
      <c r="A21" s="3" t="s">
        <v>40</v>
      </c>
      <c r="B21" s="1" t="s">
        <v>237</v>
      </c>
      <c r="C21" s="1" t="s">
        <v>309</v>
      </c>
      <c r="D21" s="1" t="s">
        <v>251</v>
      </c>
      <c r="E21" s="14">
        <v>4516</v>
      </c>
      <c r="F21" s="21" t="s">
        <v>114</v>
      </c>
      <c r="G21" s="20"/>
      <c r="H21" s="20"/>
      <c r="I21" s="12"/>
      <c r="J21" s="12"/>
      <c r="K21" s="13">
        <v>1</v>
      </c>
      <c r="M21" t="e">
        <f>IF(A21=O21,TRUE,FALESE)</f>
        <v>#NAME?</v>
      </c>
      <c r="O21" s="3"/>
      <c r="P21" s="1"/>
      <c r="Q21" s="1"/>
      <c r="R21" s="1"/>
      <c r="S21" s="14"/>
      <c r="T21" s="21"/>
      <c r="U21" s="20"/>
      <c r="V21" s="20"/>
      <c r="W21" s="12"/>
      <c r="X21" s="12"/>
      <c r="Y21" s="13"/>
    </row>
    <row r="22" spans="1:25" x14ac:dyDescent="0.4">
      <c r="A22" s="3" t="s">
        <v>79</v>
      </c>
      <c r="B22" s="16" t="s">
        <v>241</v>
      </c>
      <c r="C22" s="16" t="s">
        <v>353</v>
      </c>
      <c r="D22" s="16" t="s">
        <v>244</v>
      </c>
      <c r="E22" s="17">
        <v>4520</v>
      </c>
      <c r="F22" s="19"/>
      <c r="G22" s="20"/>
      <c r="H22" s="20"/>
      <c r="I22" s="12"/>
      <c r="J22" s="12"/>
      <c r="K22" s="12"/>
      <c r="M22" t="e">
        <f>IF(A22=O22,TRUE,FALESE)</f>
        <v>#NAME?</v>
      </c>
      <c r="O22" s="3"/>
      <c r="P22" s="16"/>
      <c r="Q22" s="16"/>
      <c r="R22" s="16"/>
      <c r="S22" s="17"/>
      <c r="T22" s="19"/>
      <c r="U22" s="20"/>
      <c r="V22" s="20"/>
      <c r="W22" s="12"/>
      <c r="X22" s="12"/>
      <c r="Y22" s="12"/>
    </row>
    <row r="23" spans="1:25" x14ac:dyDescent="0.4">
      <c r="A23" s="3" t="s">
        <v>47</v>
      </c>
      <c r="B23" s="1" t="s">
        <v>282</v>
      </c>
      <c r="C23" s="1" t="s">
        <v>120</v>
      </c>
      <c r="D23" s="1" t="s">
        <v>252</v>
      </c>
      <c r="E23" s="14">
        <v>4541</v>
      </c>
      <c r="F23" s="19"/>
      <c r="G23" s="20"/>
      <c r="H23" s="20"/>
      <c r="I23" s="12"/>
      <c r="J23" s="12"/>
      <c r="K23" s="12"/>
      <c r="M23" t="e">
        <f>IF(A23=O23,TRUE,FALESE)</f>
        <v>#NAME?</v>
      </c>
      <c r="O23" s="3"/>
      <c r="P23" s="1"/>
      <c r="Q23" s="1"/>
      <c r="R23" s="1"/>
      <c r="S23" s="14"/>
      <c r="T23" s="19"/>
      <c r="U23" s="20"/>
      <c r="V23" s="20"/>
      <c r="W23" s="12"/>
      <c r="X23" s="12"/>
      <c r="Y23" s="12"/>
    </row>
    <row r="24" spans="1:25" x14ac:dyDescent="0.4">
      <c r="A24" s="3" t="s">
        <v>22</v>
      </c>
      <c r="B24" s="1" t="s">
        <v>241</v>
      </c>
      <c r="C24" s="1" t="s">
        <v>121</v>
      </c>
      <c r="D24" s="1" t="s">
        <v>253</v>
      </c>
      <c r="E24" s="14">
        <v>4547</v>
      </c>
      <c r="F24" s="19"/>
      <c r="G24" s="20"/>
      <c r="H24" s="20"/>
      <c r="I24" s="28"/>
      <c r="J24" s="12"/>
      <c r="K24" s="12"/>
      <c r="M24" t="e">
        <f>IF(A24=O24,TRUE,FALESE)</f>
        <v>#NAME?</v>
      </c>
      <c r="O24" s="3"/>
      <c r="P24" s="1"/>
      <c r="Q24" s="1"/>
      <c r="R24" s="1"/>
      <c r="S24" s="14"/>
      <c r="T24" s="19"/>
      <c r="U24" s="20"/>
      <c r="V24" s="20"/>
      <c r="W24" s="28"/>
      <c r="X24" s="12"/>
      <c r="Y24" s="12"/>
    </row>
    <row r="25" spans="1:25" x14ac:dyDescent="0.4">
      <c r="A25" s="3" t="s">
        <v>13</v>
      </c>
      <c r="B25" s="1" t="s">
        <v>241</v>
      </c>
      <c r="C25" s="1" t="s">
        <v>351</v>
      </c>
      <c r="D25" s="1" t="s">
        <v>254</v>
      </c>
      <c r="E25" s="14">
        <v>4556</v>
      </c>
      <c r="F25" s="11"/>
      <c r="G25" s="10"/>
      <c r="H25" s="10"/>
      <c r="I25" s="12"/>
      <c r="J25" s="12"/>
      <c r="K25" s="12"/>
      <c r="M25" t="e">
        <f>IF(A25=O25,TRUE,FALESE)</f>
        <v>#NAME?</v>
      </c>
      <c r="O25" s="3"/>
      <c r="P25" s="1"/>
      <c r="Q25" s="1"/>
      <c r="R25" s="1"/>
      <c r="S25" s="14"/>
      <c r="T25" s="11"/>
      <c r="U25" s="10"/>
      <c r="V25" s="10"/>
      <c r="W25" s="12"/>
      <c r="X25" s="12"/>
      <c r="Y25" s="12"/>
    </row>
    <row r="26" spans="1:25" x14ac:dyDescent="0.4">
      <c r="A26" s="3" t="s">
        <v>11</v>
      </c>
      <c r="B26" s="1" t="s">
        <v>241</v>
      </c>
      <c r="C26" s="1" t="s">
        <v>351</v>
      </c>
      <c r="D26" s="1" t="s">
        <v>254</v>
      </c>
      <c r="E26" s="26">
        <v>4556</v>
      </c>
      <c r="F26" s="18" t="s">
        <v>114</v>
      </c>
      <c r="G26" s="10">
        <v>14</v>
      </c>
      <c r="H26" s="10"/>
      <c r="I26" s="12"/>
      <c r="J26" s="12"/>
      <c r="K26" s="12"/>
      <c r="M26" t="e">
        <f>IF(A26=O26,TRUE,FALESE)</f>
        <v>#NAME?</v>
      </c>
      <c r="O26" s="3"/>
      <c r="P26" s="1"/>
      <c r="Q26" s="1"/>
      <c r="R26" s="1"/>
      <c r="S26" s="26"/>
      <c r="T26" s="18"/>
      <c r="U26" s="10"/>
      <c r="V26" s="10"/>
      <c r="W26" s="12"/>
      <c r="X26" s="12"/>
      <c r="Y26" s="12"/>
    </row>
    <row r="27" spans="1:25" x14ac:dyDescent="0.4">
      <c r="A27" s="3" t="s">
        <v>12</v>
      </c>
      <c r="B27" s="1" t="s">
        <v>241</v>
      </c>
      <c r="C27" s="1" t="s">
        <v>351</v>
      </c>
      <c r="D27" s="1" t="s">
        <v>255</v>
      </c>
      <c r="E27" s="26">
        <v>4556</v>
      </c>
      <c r="F27" s="11" t="s">
        <v>114</v>
      </c>
      <c r="G27" s="10">
        <v>14</v>
      </c>
      <c r="H27" s="10"/>
      <c r="I27" s="12"/>
      <c r="J27" s="12"/>
      <c r="K27" s="13">
        <v>1</v>
      </c>
      <c r="M27" t="e">
        <f>IF(A27=O27,TRUE,FALESE)</f>
        <v>#NAME?</v>
      </c>
      <c r="O27" s="3"/>
      <c r="P27" s="1"/>
      <c r="Q27" s="1"/>
      <c r="R27" s="1"/>
      <c r="S27" s="26"/>
      <c r="T27" s="11"/>
      <c r="U27" s="10"/>
      <c r="V27" s="10"/>
      <c r="W27" s="12"/>
      <c r="X27" s="12"/>
      <c r="Y27" s="13"/>
    </row>
    <row r="28" spans="1:25" x14ac:dyDescent="0.4">
      <c r="A28" s="3" t="s">
        <v>90</v>
      </c>
      <c r="B28" s="1" t="s">
        <v>241</v>
      </c>
      <c r="C28" s="1" t="s">
        <v>122</v>
      </c>
      <c r="D28" s="1" t="s">
        <v>279</v>
      </c>
      <c r="E28" s="14">
        <v>4559</v>
      </c>
      <c r="F28" s="11"/>
      <c r="G28" s="10"/>
      <c r="H28" s="10"/>
      <c r="I28" s="12"/>
      <c r="J28" s="12"/>
      <c r="K28" s="12"/>
      <c r="M28" t="e">
        <f>IF(A28=O28,TRUE,FALESE)</f>
        <v>#NAME?</v>
      </c>
      <c r="O28" s="3"/>
      <c r="P28" s="1"/>
      <c r="Q28" s="1"/>
      <c r="R28" s="1"/>
      <c r="S28" s="14"/>
      <c r="T28" s="11"/>
      <c r="U28" s="10"/>
      <c r="V28" s="10"/>
      <c r="W28" s="12"/>
      <c r="X28" s="12"/>
      <c r="Y28" s="12"/>
    </row>
    <row r="29" spans="1:25" x14ac:dyDescent="0.4">
      <c r="A29" s="3" t="s">
        <v>18</v>
      </c>
      <c r="B29" s="1" t="s">
        <v>241</v>
      </c>
      <c r="C29" s="1" t="s">
        <v>122</v>
      </c>
      <c r="D29" s="1" t="s">
        <v>243</v>
      </c>
      <c r="E29" s="14">
        <v>4559</v>
      </c>
      <c r="F29" s="11"/>
      <c r="G29" s="10"/>
      <c r="H29" s="10"/>
      <c r="I29" s="12"/>
      <c r="J29" s="12"/>
      <c r="K29" s="13">
        <v>1</v>
      </c>
      <c r="M29" t="e">
        <f>IF(A29=O29,TRUE,FALESE)</f>
        <v>#NAME?</v>
      </c>
      <c r="O29" s="3"/>
      <c r="P29" s="1"/>
      <c r="Q29" s="1"/>
      <c r="R29" s="1"/>
      <c r="S29" s="14"/>
      <c r="T29" s="11"/>
      <c r="U29" s="10"/>
      <c r="V29" s="10"/>
      <c r="W29" s="12"/>
      <c r="X29" s="12"/>
      <c r="Y29" s="13"/>
    </row>
    <row r="30" spans="1:25" x14ac:dyDescent="0.4">
      <c r="A30" s="3" t="s">
        <v>88</v>
      </c>
      <c r="B30" s="1" t="s">
        <v>241</v>
      </c>
      <c r="C30" s="1" t="s">
        <v>122</v>
      </c>
      <c r="D30" s="1" t="s">
        <v>243</v>
      </c>
      <c r="E30" s="14">
        <v>4559</v>
      </c>
      <c r="F30" s="11"/>
      <c r="G30" s="10"/>
      <c r="H30" s="10"/>
      <c r="I30" s="12"/>
      <c r="J30" s="12"/>
      <c r="K30" s="12"/>
      <c r="M30" t="e">
        <f>IF(A30=O30,TRUE,FALESE)</f>
        <v>#NAME?</v>
      </c>
      <c r="O30" s="3"/>
      <c r="P30" s="1"/>
      <c r="Q30" s="1"/>
      <c r="R30" s="1"/>
      <c r="S30" s="14"/>
      <c r="T30" s="11"/>
      <c r="U30" s="10"/>
      <c r="V30" s="10"/>
      <c r="W30" s="12"/>
      <c r="X30" s="12"/>
      <c r="Y30" s="12"/>
    </row>
    <row r="31" spans="1:25" x14ac:dyDescent="0.4">
      <c r="A31" s="3" t="s">
        <v>377</v>
      </c>
      <c r="B31" s="1" t="s">
        <v>241</v>
      </c>
      <c r="C31" s="1" t="s">
        <v>378</v>
      </c>
      <c r="D31" s="1" t="s">
        <v>243</v>
      </c>
      <c r="E31" s="14">
        <v>4559</v>
      </c>
      <c r="F31" s="11">
        <v>32</v>
      </c>
      <c r="G31" s="10">
        <v>39</v>
      </c>
      <c r="H31" s="10"/>
      <c r="I31" s="12"/>
      <c r="J31" s="12"/>
      <c r="K31" s="12"/>
      <c r="O31" s="3"/>
      <c r="P31" s="1"/>
      <c r="Q31" s="1"/>
      <c r="R31" s="1"/>
      <c r="S31" s="14"/>
      <c r="T31" s="11"/>
      <c r="U31" s="10"/>
      <c r="V31" s="10"/>
      <c r="W31" s="12"/>
      <c r="X31" s="12"/>
      <c r="Y31" s="12"/>
    </row>
    <row r="32" spans="1:25" x14ac:dyDescent="0.4">
      <c r="A32" s="3" t="s">
        <v>89</v>
      </c>
      <c r="B32" s="1" t="s">
        <v>241</v>
      </c>
      <c r="C32" s="1" t="s">
        <v>122</v>
      </c>
      <c r="D32" s="1" t="s">
        <v>280</v>
      </c>
      <c r="E32" s="14">
        <v>4559</v>
      </c>
      <c r="F32" s="11">
        <v>18</v>
      </c>
      <c r="G32" s="10"/>
      <c r="H32" s="10"/>
      <c r="I32" s="12"/>
      <c r="J32" s="12"/>
      <c r="K32" s="12"/>
      <c r="M32" t="e">
        <f>IF(A32=O32,TRUE,FALESE)</f>
        <v>#NAME?</v>
      </c>
      <c r="O32" s="3"/>
      <c r="P32" s="1"/>
      <c r="Q32" s="1"/>
      <c r="R32" s="1"/>
      <c r="S32" s="14"/>
      <c r="T32" s="11"/>
      <c r="U32" s="10"/>
      <c r="V32" s="10"/>
      <c r="W32" s="12"/>
      <c r="X32" s="12"/>
      <c r="Y32" s="12"/>
    </row>
    <row r="33" spans="1:25" x14ac:dyDescent="0.4">
      <c r="A33" s="3" t="s">
        <v>2</v>
      </c>
      <c r="B33" s="16" t="s">
        <v>123</v>
      </c>
      <c r="C33" s="16" t="s">
        <v>124</v>
      </c>
      <c r="D33" s="16" t="s">
        <v>256</v>
      </c>
      <c r="E33" s="17">
        <v>4560</v>
      </c>
      <c r="F33" s="11">
        <v>18</v>
      </c>
      <c r="G33" s="10">
        <v>21</v>
      </c>
      <c r="H33" s="10">
        <v>10</v>
      </c>
      <c r="I33" s="12"/>
      <c r="J33" s="12"/>
      <c r="K33" s="12"/>
      <c r="M33" t="e">
        <f>IF(A33=O33,TRUE,FALESE)</f>
        <v>#NAME?</v>
      </c>
      <c r="O33" s="3"/>
      <c r="P33" s="16"/>
      <c r="Q33" s="16"/>
      <c r="R33" s="16"/>
      <c r="S33" s="17"/>
      <c r="T33" s="11"/>
      <c r="U33" s="10"/>
      <c r="V33" s="10"/>
      <c r="W33" s="12"/>
      <c r="X33" s="12"/>
      <c r="Y33" s="12"/>
    </row>
    <row r="34" spans="1:25" x14ac:dyDescent="0.4">
      <c r="A34" s="3" t="s">
        <v>96</v>
      </c>
      <c r="B34" s="16" t="s">
        <v>241</v>
      </c>
      <c r="C34" s="16" t="s">
        <v>125</v>
      </c>
      <c r="D34" s="1" t="s">
        <v>243</v>
      </c>
      <c r="E34" s="17">
        <v>4561</v>
      </c>
      <c r="F34" s="15" t="s">
        <v>126</v>
      </c>
      <c r="G34" s="15" t="s">
        <v>127</v>
      </c>
      <c r="H34" s="10"/>
      <c r="I34" s="12"/>
      <c r="J34" s="12"/>
      <c r="K34" s="12"/>
      <c r="M34" t="e">
        <f>IF(A34=O34,TRUE,FALESE)</f>
        <v>#NAME?</v>
      </c>
      <c r="O34" s="3"/>
      <c r="P34" s="16"/>
      <c r="Q34" s="16"/>
      <c r="R34" s="1"/>
      <c r="S34" s="17"/>
      <c r="T34" s="15"/>
      <c r="U34" s="15"/>
      <c r="V34" s="10"/>
      <c r="W34" s="12"/>
      <c r="X34" s="12"/>
      <c r="Y34" s="12"/>
    </row>
    <row r="35" spans="1:25" x14ac:dyDescent="0.4">
      <c r="A35" s="3" t="s">
        <v>14</v>
      </c>
      <c r="B35" s="1" t="s">
        <v>241</v>
      </c>
      <c r="C35" s="1" t="s">
        <v>352</v>
      </c>
      <c r="D35" s="1" t="s">
        <v>128</v>
      </c>
      <c r="E35" s="14">
        <v>4564</v>
      </c>
      <c r="F35" s="11">
        <v>14</v>
      </c>
      <c r="G35" s="15" t="s">
        <v>129</v>
      </c>
      <c r="H35" s="10"/>
      <c r="I35" s="12"/>
      <c r="J35" s="12"/>
      <c r="K35" s="12"/>
      <c r="M35" t="e">
        <f>IF(A35=O35,TRUE,FALESE)</f>
        <v>#NAME?</v>
      </c>
      <c r="O35" s="3"/>
      <c r="P35" s="1"/>
      <c r="Q35" s="1"/>
      <c r="R35" s="1"/>
      <c r="S35" s="14"/>
      <c r="T35" s="11"/>
      <c r="U35" s="15"/>
      <c r="V35" s="10"/>
      <c r="W35" s="12"/>
      <c r="X35" s="12"/>
      <c r="Y35" s="12"/>
    </row>
    <row r="36" spans="1:25" x14ac:dyDescent="0.4">
      <c r="A36" s="3" t="s">
        <v>58</v>
      </c>
      <c r="B36" s="1" t="s">
        <v>257</v>
      </c>
      <c r="C36" s="1" t="s">
        <v>304</v>
      </c>
      <c r="D36" s="1" t="s">
        <v>130</v>
      </c>
      <c r="E36" s="14">
        <v>4568</v>
      </c>
      <c r="F36" s="15" t="s">
        <v>127</v>
      </c>
      <c r="G36" s="15" t="s">
        <v>131</v>
      </c>
      <c r="H36" s="15"/>
      <c r="I36" s="12"/>
      <c r="J36" s="12"/>
      <c r="K36" s="12"/>
      <c r="M36" t="e">
        <f>IF(A36=O36,TRUE,FALESE)</f>
        <v>#NAME?</v>
      </c>
      <c r="O36" s="3"/>
      <c r="P36" s="1"/>
      <c r="Q36" s="1"/>
      <c r="R36" s="1"/>
      <c r="S36" s="14"/>
      <c r="T36" s="15"/>
      <c r="U36" s="15"/>
      <c r="V36" s="15"/>
      <c r="W36" s="12"/>
      <c r="X36" s="12"/>
      <c r="Y36" s="12"/>
    </row>
    <row r="37" spans="1:25" x14ac:dyDescent="0.4">
      <c r="A37" s="3" t="s">
        <v>32</v>
      </c>
      <c r="B37" s="1" t="s">
        <v>258</v>
      </c>
      <c r="C37" s="1" t="s">
        <v>310</v>
      </c>
      <c r="D37" s="1" t="s">
        <v>132</v>
      </c>
      <c r="E37" s="14">
        <v>4571</v>
      </c>
      <c r="F37" s="15"/>
      <c r="G37" s="15"/>
      <c r="H37" s="15"/>
      <c r="I37" s="12"/>
      <c r="J37" s="12"/>
      <c r="K37" s="12"/>
      <c r="M37" t="e">
        <f>IF(A37=O37,TRUE,FALESE)</f>
        <v>#NAME?</v>
      </c>
      <c r="O37" s="3"/>
      <c r="P37" s="1"/>
      <c r="Q37" s="1"/>
      <c r="R37" s="1"/>
      <c r="S37" s="14"/>
      <c r="T37" s="15"/>
      <c r="U37" s="15"/>
      <c r="V37" s="15"/>
      <c r="W37" s="12"/>
      <c r="X37" s="12"/>
      <c r="Y37" s="12"/>
    </row>
    <row r="38" spans="1:25" x14ac:dyDescent="0.4">
      <c r="A38" s="3" t="s">
        <v>33</v>
      </c>
      <c r="B38" s="1" t="s">
        <v>258</v>
      </c>
      <c r="C38" s="1" t="s">
        <v>310</v>
      </c>
      <c r="D38" s="1" t="s">
        <v>133</v>
      </c>
      <c r="E38" s="14">
        <v>4571</v>
      </c>
      <c r="F38" s="11"/>
      <c r="G38" s="10"/>
      <c r="H38" s="10"/>
      <c r="I38" s="12"/>
      <c r="J38" s="12"/>
      <c r="K38" s="12"/>
      <c r="M38" t="e">
        <f>IF(A38=O38,TRUE,FALESE)</f>
        <v>#NAME?</v>
      </c>
      <c r="O38" s="3"/>
      <c r="P38" s="1"/>
      <c r="Q38" s="1"/>
      <c r="R38" s="1"/>
      <c r="S38" s="14"/>
      <c r="T38" s="11"/>
      <c r="U38" s="10"/>
      <c r="V38" s="10"/>
      <c r="W38" s="12"/>
      <c r="X38" s="12"/>
      <c r="Y38" s="12"/>
    </row>
    <row r="39" spans="1:25" x14ac:dyDescent="0.4">
      <c r="A39" s="3" t="s">
        <v>29</v>
      </c>
      <c r="B39" s="1" t="s">
        <v>259</v>
      </c>
      <c r="C39" s="1" t="s">
        <v>312</v>
      </c>
      <c r="D39" s="1" t="s">
        <v>140</v>
      </c>
      <c r="E39" s="14">
        <v>4577</v>
      </c>
      <c r="F39" s="11"/>
      <c r="G39" s="10"/>
      <c r="H39" s="10"/>
      <c r="I39" s="12"/>
      <c r="J39" s="12"/>
      <c r="K39" s="12"/>
      <c r="M39" t="e">
        <f>IF(A39=O39,TRUE,FALESE)</f>
        <v>#NAME?</v>
      </c>
      <c r="O39" s="3"/>
      <c r="P39" s="1"/>
      <c r="Q39" s="1"/>
      <c r="R39" s="1"/>
      <c r="S39" s="14"/>
      <c r="T39" s="11"/>
      <c r="U39" s="10"/>
      <c r="V39" s="10"/>
      <c r="W39" s="12"/>
      <c r="X39" s="12"/>
      <c r="Y39" s="12"/>
    </row>
    <row r="40" spans="1:25" x14ac:dyDescent="0.4">
      <c r="A40" s="3" t="s">
        <v>16</v>
      </c>
      <c r="B40" s="1" t="s">
        <v>241</v>
      </c>
      <c r="C40" s="1" t="s">
        <v>311</v>
      </c>
      <c r="D40" s="1" t="s">
        <v>134</v>
      </c>
      <c r="E40" s="14">
        <v>4577</v>
      </c>
      <c r="F40" s="11"/>
      <c r="G40" s="10"/>
      <c r="H40" s="10"/>
      <c r="I40" s="22"/>
      <c r="J40" s="22"/>
      <c r="K40" s="22"/>
      <c r="M40" t="e">
        <f>IF(A40=O40,TRUE,FALESE)</f>
        <v>#NAME?</v>
      </c>
      <c r="O40" s="3"/>
      <c r="P40" s="1"/>
      <c r="Q40" s="1"/>
      <c r="R40" s="1"/>
      <c r="S40" s="14"/>
      <c r="T40" s="11"/>
      <c r="U40" s="10"/>
      <c r="V40" s="10"/>
      <c r="W40" s="22"/>
      <c r="X40" s="22"/>
      <c r="Y40" s="22"/>
    </row>
    <row r="41" spans="1:25" x14ac:dyDescent="0.4">
      <c r="A41" s="3" t="s">
        <v>28</v>
      </c>
      <c r="B41" s="1" t="s">
        <v>258</v>
      </c>
      <c r="C41" s="1" t="s">
        <v>313</v>
      </c>
      <c r="D41" s="1" t="s">
        <v>139</v>
      </c>
      <c r="E41" s="14">
        <v>4577</v>
      </c>
      <c r="F41" s="11"/>
      <c r="G41" s="10"/>
      <c r="H41" s="10"/>
      <c r="I41" s="12"/>
      <c r="J41" s="12"/>
      <c r="K41" s="12"/>
      <c r="M41" t="e">
        <f>IF(A41=O41,TRUE,FALESE)</f>
        <v>#NAME?</v>
      </c>
      <c r="O41" s="3"/>
      <c r="P41" s="1"/>
      <c r="Q41" s="1"/>
      <c r="R41" s="1"/>
      <c r="S41" s="14"/>
      <c r="T41" s="11"/>
      <c r="U41" s="10"/>
      <c r="V41" s="10"/>
      <c r="W41" s="12"/>
      <c r="X41" s="12"/>
      <c r="Y41" s="12"/>
    </row>
    <row r="42" spans="1:25" x14ac:dyDescent="0.4">
      <c r="A42" s="3" t="s">
        <v>26</v>
      </c>
      <c r="B42" s="1" t="s">
        <v>258</v>
      </c>
      <c r="C42" s="1" t="s">
        <v>313</v>
      </c>
      <c r="D42" s="1" t="s">
        <v>136</v>
      </c>
      <c r="E42" s="14">
        <v>4577</v>
      </c>
      <c r="F42" s="11"/>
      <c r="G42" s="10"/>
      <c r="H42" s="10"/>
      <c r="I42" s="12"/>
      <c r="J42" s="12"/>
      <c r="K42" s="12"/>
      <c r="M42" t="e">
        <f>IF(A42=O42,TRUE,FALESE)</f>
        <v>#NAME?</v>
      </c>
      <c r="O42" s="3"/>
      <c r="P42" s="1"/>
      <c r="Q42" s="1"/>
      <c r="R42" s="1"/>
      <c r="S42" s="14"/>
      <c r="T42" s="11"/>
      <c r="U42" s="10"/>
      <c r="V42" s="10"/>
      <c r="W42" s="12"/>
      <c r="X42" s="12"/>
      <c r="Y42" s="12"/>
    </row>
    <row r="43" spans="1:25" x14ac:dyDescent="0.4">
      <c r="A43" s="3" t="s">
        <v>27</v>
      </c>
      <c r="B43" s="1" t="s">
        <v>258</v>
      </c>
      <c r="C43" s="1" t="s">
        <v>313</v>
      </c>
      <c r="D43" s="1" t="s">
        <v>137</v>
      </c>
      <c r="E43" s="14">
        <v>4577</v>
      </c>
      <c r="F43" s="15" t="s">
        <v>138</v>
      </c>
      <c r="G43" s="10"/>
      <c r="H43" s="10"/>
      <c r="I43" s="12"/>
      <c r="J43" s="12"/>
      <c r="K43" s="12"/>
      <c r="M43" t="e">
        <f>IF(A43=O43,TRUE,FALESE)</f>
        <v>#NAME?</v>
      </c>
      <c r="O43" s="3"/>
      <c r="P43" s="1"/>
      <c r="Q43" s="1"/>
      <c r="R43" s="1"/>
      <c r="S43" s="14"/>
      <c r="T43" s="15"/>
      <c r="U43" s="10"/>
      <c r="V43" s="10"/>
      <c r="W43" s="12"/>
      <c r="X43" s="12"/>
      <c r="Y43" s="12"/>
    </row>
    <row r="44" spans="1:25" x14ac:dyDescent="0.4">
      <c r="A44" s="3" t="s">
        <v>24</v>
      </c>
      <c r="B44" s="1" t="s">
        <v>258</v>
      </c>
      <c r="C44" s="1" t="s">
        <v>314</v>
      </c>
      <c r="D44" s="1" t="s">
        <v>135</v>
      </c>
      <c r="E44" s="14">
        <v>4577</v>
      </c>
      <c r="F44" s="11"/>
      <c r="G44" s="10"/>
      <c r="H44" s="10"/>
      <c r="I44" s="12"/>
      <c r="J44" s="12"/>
      <c r="K44" s="12"/>
      <c r="M44" t="e">
        <f>IF(A44=O44,TRUE,FALESE)</f>
        <v>#NAME?</v>
      </c>
      <c r="O44" s="3"/>
      <c r="P44" s="1"/>
      <c r="Q44" s="1"/>
      <c r="R44" s="1"/>
      <c r="S44" s="14"/>
      <c r="T44" s="11"/>
      <c r="U44" s="10"/>
      <c r="V44" s="10"/>
      <c r="W44" s="12"/>
      <c r="X44" s="12"/>
      <c r="Y44" s="12"/>
    </row>
    <row r="45" spans="1:25" x14ac:dyDescent="0.4">
      <c r="A45" s="3" t="s">
        <v>6</v>
      </c>
      <c r="B45" s="16" t="s">
        <v>258</v>
      </c>
      <c r="C45" s="16" t="s">
        <v>316</v>
      </c>
      <c r="D45" s="16" t="s">
        <v>315</v>
      </c>
      <c r="E45" s="17">
        <v>4606</v>
      </c>
      <c r="F45" s="11"/>
      <c r="G45" s="10"/>
      <c r="H45" s="10"/>
      <c r="I45" s="12"/>
      <c r="J45" s="12"/>
      <c r="K45" s="12"/>
      <c r="M45" t="e">
        <f>IF(A45=O45,TRUE,FALESE)</f>
        <v>#NAME?</v>
      </c>
      <c r="O45" s="3"/>
      <c r="P45" s="16"/>
      <c r="Q45" s="16"/>
      <c r="R45" s="16"/>
      <c r="S45" s="17"/>
      <c r="T45" s="11"/>
      <c r="U45" s="10"/>
      <c r="V45" s="10"/>
      <c r="W45" s="12"/>
      <c r="X45" s="12"/>
      <c r="Y45" s="12"/>
    </row>
    <row r="46" spans="1:25" x14ac:dyDescent="0.4">
      <c r="A46" s="3" t="s">
        <v>25</v>
      </c>
      <c r="B46" s="1" t="s">
        <v>258</v>
      </c>
      <c r="C46" s="1" t="s">
        <v>317</v>
      </c>
      <c r="D46" s="1" t="s">
        <v>260</v>
      </c>
      <c r="E46" s="14">
        <v>4639</v>
      </c>
      <c r="F46" s="11"/>
      <c r="G46" s="10"/>
      <c r="H46" s="10"/>
      <c r="I46" s="12"/>
      <c r="J46" s="12"/>
      <c r="K46" s="12"/>
      <c r="M46" t="e">
        <f>IF(A46=O46,TRUE,FALESE)</f>
        <v>#NAME?</v>
      </c>
      <c r="O46" s="3"/>
      <c r="P46" s="1"/>
      <c r="Q46" s="1"/>
      <c r="R46" s="1"/>
      <c r="S46" s="14"/>
      <c r="T46" s="11"/>
      <c r="U46" s="10"/>
      <c r="V46" s="10"/>
      <c r="W46" s="12"/>
      <c r="X46" s="12"/>
      <c r="Y46" s="12"/>
    </row>
    <row r="47" spans="1:25" x14ac:dyDescent="0.4">
      <c r="A47" s="3" t="s">
        <v>42</v>
      </c>
      <c r="B47" s="1" t="s">
        <v>245</v>
      </c>
      <c r="C47" s="1" t="s">
        <v>318</v>
      </c>
      <c r="D47" s="1" t="s">
        <v>141</v>
      </c>
      <c r="E47" s="14">
        <v>4649</v>
      </c>
      <c r="F47" s="11"/>
      <c r="G47" s="10"/>
      <c r="H47" s="10"/>
      <c r="I47" s="12"/>
      <c r="J47" s="29"/>
      <c r="K47" s="12"/>
      <c r="M47" t="e">
        <f>IF(A47=O47,TRUE,FALESE)</f>
        <v>#NAME?</v>
      </c>
      <c r="O47" s="3"/>
      <c r="P47" s="1"/>
      <c r="Q47" s="1"/>
      <c r="R47" s="1"/>
      <c r="S47" s="14"/>
      <c r="T47" s="11"/>
      <c r="U47" s="10"/>
      <c r="V47" s="10"/>
      <c r="W47" s="12"/>
      <c r="X47" s="29"/>
      <c r="Y47" s="12"/>
    </row>
    <row r="48" spans="1:25" x14ac:dyDescent="0.4">
      <c r="A48" s="73" t="s">
        <v>294</v>
      </c>
      <c r="B48" s="50" t="s">
        <v>296</v>
      </c>
      <c r="C48" s="50" t="s">
        <v>318</v>
      </c>
      <c r="D48" s="50"/>
      <c r="E48" s="51">
        <v>4649</v>
      </c>
      <c r="F48" s="74" t="s">
        <v>129</v>
      </c>
      <c r="G48" s="52"/>
      <c r="H48" s="52"/>
      <c r="I48" s="48" t="s">
        <v>142</v>
      </c>
      <c r="J48" s="44" t="s">
        <v>189</v>
      </c>
      <c r="K48" s="12"/>
      <c r="M48" t="e">
        <f>IF(A48=O48,TRUE,FALESE)</f>
        <v>#NAME?</v>
      </c>
      <c r="O48" s="3"/>
      <c r="P48" s="1"/>
      <c r="Q48" s="1"/>
      <c r="R48" s="1"/>
      <c r="S48" s="14"/>
      <c r="T48" s="11"/>
      <c r="U48" s="10"/>
      <c r="V48" s="10"/>
      <c r="W48" s="48"/>
      <c r="X48" s="44"/>
      <c r="Y48" s="12"/>
    </row>
    <row r="49" spans="1:25" x14ac:dyDescent="0.4">
      <c r="A49" s="5" t="s">
        <v>91</v>
      </c>
      <c r="B49" s="30" t="s">
        <v>143</v>
      </c>
      <c r="C49" s="30" t="s">
        <v>318</v>
      </c>
      <c r="D49" s="30" t="s">
        <v>146</v>
      </c>
      <c r="E49" s="31">
        <v>4651</v>
      </c>
      <c r="F49" s="32">
        <v>13</v>
      </c>
      <c r="G49" s="33"/>
      <c r="H49" s="33"/>
      <c r="I49" s="25" t="s">
        <v>142</v>
      </c>
      <c r="J49" s="13" t="s">
        <v>189</v>
      </c>
      <c r="K49" s="12"/>
      <c r="M49" t="e">
        <f>IF(A49=O49,TRUE,FALESE)</f>
        <v>#NAME?</v>
      </c>
      <c r="O49" s="3"/>
      <c r="P49" s="1"/>
      <c r="Q49" s="1"/>
      <c r="R49" s="1"/>
      <c r="S49" s="14"/>
      <c r="T49" s="11"/>
      <c r="U49" s="10"/>
      <c r="V49" s="10"/>
      <c r="W49" s="25"/>
      <c r="X49" s="13"/>
      <c r="Y49" s="12"/>
    </row>
    <row r="50" spans="1:25" x14ac:dyDescent="0.4">
      <c r="A50" s="5" t="s">
        <v>46</v>
      </c>
      <c r="B50" s="30" t="s">
        <v>143</v>
      </c>
      <c r="C50" s="30" t="s">
        <v>318</v>
      </c>
      <c r="D50" s="30" t="s">
        <v>145</v>
      </c>
      <c r="E50" s="31">
        <v>4651</v>
      </c>
      <c r="F50" s="32">
        <v>12</v>
      </c>
      <c r="G50" s="33"/>
      <c r="H50" s="33"/>
      <c r="I50" s="25" t="s">
        <v>142</v>
      </c>
      <c r="J50" s="13" t="s">
        <v>189</v>
      </c>
      <c r="K50" s="12"/>
      <c r="M50" t="e">
        <f>IF(A50=O50,TRUE,FALESE)</f>
        <v>#NAME?</v>
      </c>
      <c r="O50" s="3"/>
      <c r="P50" s="1"/>
      <c r="Q50" s="1"/>
      <c r="R50" s="1"/>
      <c r="S50" s="14"/>
      <c r="T50" s="11"/>
      <c r="U50" s="10"/>
      <c r="V50" s="10"/>
      <c r="W50" s="25"/>
      <c r="X50" s="13"/>
      <c r="Y50" s="12"/>
    </row>
    <row r="51" spans="1:25" x14ac:dyDescent="0.4">
      <c r="A51" s="3" t="s">
        <v>44</v>
      </c>
      <c r="B51" s="1" t="s">
        <v>319</v>
      </c>
      <c r="C51" s="1" t="s">
        <v>306</v>
      </c>
      <c r="D51" s="1" t="s">
        <v>144</v>
      </c>
      <c r="E51" s="14">
        <v>4651</v>
      </c>
      <c r="F51" s="11"/>
      <c r="G51" s="10"/>
      <c r="H51" s="10"/>
      <c r="I51" s="12"/>
      <c r="J51" s="29"/>
      <c r="K51" s="12"/>
      <c r="M51" t="e">
        <f>IF(A51=O51,TRUE,FALESE)</f>
        <v>#NAME?</v>
      </c>
      <c r="O51" s="3"/>
      <c r="P51" s="1"/>
      <c r="Q51" s="1"/>
      <c r="R51" s="1"/>
      <c r="S51" s="14"/>
      <c r="T51" s="11"/>
      <c r="U51" s="10"/>
      <c r="V51" s="10"/>
      <c r="W51" s="12"/>
      <c r="X51" s="29"/>
      <c r="Y51" s="12"/>
    </row>
    <row r="52" spans="1:25" x14ac:dyDescent="0.4">
      <c r="A52" s="3" t="s">
        <v>45</v>
      </c>
      <c r="B52" s="1" t="s">
        <v>261</v>
      </c>
      <c r="C52" s="1" t="s">
        <v>306</v>
      </c>
      <c r="D52" s="1" t="s">
        <v>262</v>
      </c>
      <c r="E52" s="14">
        <v>4651</v>
      </c>
      <c r="F52" s="11">
        <v>20</v>
      </c>
      <c r="G52" s="10"/>
      <c r="H52" s="10"/>
      <c r="I52" s="12"/>
      <c r="J52" s="29"/>
      <c r="K52" s="13">
        <v>1</v>
      </c>
      <c r="M52" t="e">
        <f>IF(A52=O52,TRUE,FALESE)</f>
        <v>#NAME?</v>
      </c>
      <c r="O52" s="3"/>
      <c r="P52" s="1"/>
      <c r="Q52" s="1"/>
      <c r="R52" s="1"/>
      <c r="S52" s="14"/>
      <c r="T52" s="11"/>
      <c r="U52" s="10"/>
      <c r="V52" s="10"/>
      <c r="W52" s="12"/>
      <c r="X52" s="29"/>
      <c r="Y52" s="13"/>
    </row>
    <row r="53" spans="1:25" x14ac:dyDescent="0.4">
      <c r="A53" s="3" t="s">
        <v>263</v>
      </c>
      <c r="B53" s="1" t="s">
        <v>264</v>
      </c>
      <c r="C53" s="1" t="s">
        <v>265</v>
      </c>
      <c r="D53" s="1" t="s">
        <v>266</v>
      </c>
      <c r="E53" s="10">
        <v>4652</v>
      </c>
      <c r="F53" s="11">
        <v>18</v>
      </c>
      <c r="G53" s="10"/>
      <c r="H53" s="1"/>
      <c r="I53" s="40"/>
      <c r="J53" s="1"/>
      <c r="K53" s="23"/>
      <c r="M53" t="e">
        <f>IF(A53=O53,TRUE,FALESE)</f>
        <v>#NAME?</v>
      </c>
      <c r="O53" s="3"/>
      <c r="P53" s="1"/>
      <c r="Q53" s="1"/>
      <c r="R53" s="1"/>
      <c r="S53" s="10"/>
      <c r="T53" s="11"/>
      <c r="U53" s="10"/>
      <c r="V53" s="1"/>
      <c r="W53" s="40"/>
      <c r="X53" s="1"/>
      <c r="Y53" s="23"/>
    </row>
    <row r="54" spans="1:25" x14ac:dyDescent="0.4">
      <c r="A54" s="67" t="s">
        <v>381</v>
      </c>
      <c r="B54" s="1" t="s">
        <v>241</v>
      </c>
      <c r="C54" s="1" t="s">
        <v>379</v>
      </c>
      <c r="D54" s="1" t="s">
        <v>243</v>
      </c>
      <c r="E54" s="10">
        <v>4652</v>
      </c>
      <c r="F54" s="65" t="s">
        <v>370</v>
      </c>
      <c r="G54" s="10"/>
      <c r="H54" s="1"/>
      <c r="I54" s="40"/>
      <c r="J54" s="1"/>
      <c r="K54" s="23"/>
      <c r="O54" s="3"/>
      <c r="P54" s="1"/>
      <c r="Q54" s="1"/>
      <c r="R54" s="1"/>
      <c r="S54" s="10"/>
      <c r="T54" s="11"/>
      <c r="U54" s="10"/>
      <c r="V54" s="1"/>
      <c r="W54" s="40"/>
      <c r="X54" s="1"/>
      <c r="Y54" s="23"/>
    </row>
    <row r="55" spans="1:25" x14ac:dyDescent="0.4">
      <c r="A55" s="3" t="s">
        <v>59</v>
      </c>
      <c r="B55" s="1" t="s">
        <v>320</v>
      </c>
      <c r="C55" s="1" t="s">
        <v>304</v>
      </c>
      <c r="D55" s="1" t="s">
        <v>267</v>
      </c>
      <c r="E55" s="14">
        <v>4656</v>
      </c>
      <c r="F55" s="11"/>
      <c r="G55" s="10"/>
      <c r="H55" s="10"/>
      <c r="I55" s="12"/>
      <c r="J55" s="12"/>
      <c r="K55" s="12"/>
      <c r="M55" t="e">
        <f>IF(A55=O55,TRUE,FALESE)</f>
        <v>#NAME?</v>
      </c>
      <c r="O55" s="3"/>
      <c r="P55" s="16"/>
      <c r="Q55" s="16"/>
      <c r="R55" s="16"/>
      <c r="S55" s="17"/>
      <c r="T55" s="15"/>
      <c r="U55" s="10"/>
      <c r="V55" s="10"/>
      <c r="W55" s="12"/>
      <c r="X55" s="12"/>
      <c r="Y55" s="12"/>
    </row>
    <row r="56" spans="1:25" x14ac:dyDescent="0.4">
      <c r="A56" s="66" t="s">
        <v>371</v>
      </c>
      <c r="B56" s="16" t="s">
        <v>245</v>
      </c>
      <c r="C56" s="16" t="s">
        <v>369</v>
      </c>
      <c r="D56" s="16" t="s">
        <v>246</v>
      </c>
      <c r="E56" s="37">
        <v>4657</v>
      </c>
      <c r="F56" s="65" t="s">
        <v>370</v>
      </c>
      <c r="G56" s="65" t="s">
        <v>115</v>
      </c>
      <c r="H56" s="65" t="s">
        <v>129</v>
      </c>
      <c r="I56" s="65" t="s">
        <v>107</v>
      </c>
      <c r="J56" s="22"/>
      <c r="K56" s="22"/>
      <c r="M56" t="e">
        <f>IF(A56=O56,TRUE,FALESE)</f>
        <v>#NAME?</v>
      </c>
      <c r="O56" s="3"/>
      <c r="P56" s="1"/>
      <c r="Q56" s="1"/>
      <c r="R56" s="1"/>
      <c r="S56" s="14"/>
      <c r="T56" s="11"/>
      <c r="U56" s="10"/>
      <c r="V56" s="10"/>
      <c r="W56" s="12"/>
      <c r="X56" s="12"/>
      <c r="Y56" s="12"/>
    </row>
    <row r="57" spans="1:25" x14ac:dyDescent="0.4">
      <c r="A57" s="3" t="s">
        <v>57</v>
      </c>
      <c r="B57" s="1" t="s">
        <v>257</v>
      </c>
      <c r="C57" s="1" t="s">
        <v>304</v>
      </c>
      <c r="D57" s="1"/>
      <c r="E57" s="14">
        <v>4659</v>
      </c>
      <c r="F57" s="11"/>
      <c r="G57" s="10"/>
      <c r="H57" s="10"/>
      <c r="I57" s="12"/>
      <c r="J57" s="12"/>
      <c r="K57" s="12"/>
      <c r="M57" t="e">
        <f>IF(A57=O57,TRUE,FALESE)</f>
        <v>#NAME?</v>
      </c>
      <c r="O57" s="3"/>
      <c r="P57" s="1"/>
      <c r="Q57" s="1"/>
      <c r="R57" s="1"/>
      <c r="S57" s="14"/>
      <c r="T57" s="11"/>
      <c r="U57" s="10"/>
      <c r="V57" s="10"/>
      <c r="W57" s="12"/>
      <c r="X57" s="12"/>
      <c r="Y57" s="12"/>
    </row>
    <row r="58" spans="1:25" x14ac:dyDescent="0.4">
      <c r="A58" s="3" t="s">
        <v>9</v>
      </c>
      <c r="B58" s="16" t="s">
        <v>241</v>
      </c>
      <c r="C58" s="16" t="s">
        <v>147</v>
      </c>
      <c r="D58" s="16" t="s">
        <v>247</v>
      </c>
      <c r="E58" s="17">
        <v>4664</v>
      </c>
      <c r="F58" s="11"/>
      <c r="G58" s="10"/>
      <c r="H58" s="10"/>
      <c r="I58" s="12"/>
      <c r="J58" s="12"/>
      <c r="K58" s="13">
        <v>1</v>
      </c>
      <c r="M58" t="e">
        <f>IF(A58=O58,TRUE,FALESE)</f>
        <v>#NAME?</v>
      </c>
      <c r="O58" s="3"/>
      <c r="P58" s="16"/>
      <c r="Q58" s="16"/>
      <c r="R58" s="16"/>
      <c r="S58" s="17"/>
      <c r="T58" s="11"/>
      <c r="U58" s="10"/>
      <c r="V58" s="10"/>
      <c r="W58" s="12"/>
      <c r="X58" s="12"/>
      <c r="Y58" s="13"/>
    </row>
    <row r="59" spans="1:25" x14ac:dyDescent="0.4">
      <c r="A59" s="3" t="s">
        <v>287</v>
      </c>
      <c r="B59" s="1" t="s">
        <v>241</v>
      </c>
      <c r="C59" s="1" t="s">
        <v>148</v>
      </c>
      <c r="D59" s="1" t="s">
        <v>243</v>
      </c>
      <c r="E59" s="14">
        <v>4671</v>
      </c>
      <c r="F59" s="11"/>
      <c r="G59" s="10"/>
      <c r="H59" s="10"/>
      <c r="I59" s="12"/>
      <c r="J59" s="12"/>
      <c r="K59" s="12"/>
      <c r="M59" t="e">
        <f>IF(A59=O59,TRUE,FALESE)</f>
        <v>#NAME?</v>
      </c>
      <c r="O59" s="3"/>
      <c r="P59" s="1"/>
      <c r="Q59" s="1"/>
      <c r="R59" s="1"/>
      <c r="S59" s="14"/>
      <c r="T59" s="11"/>
      <c r="U59" s="10"/>
      <c r="V59" s="10"/>
      <c r="W59" s="12"/>
      <c r="X59" s="12"/>
      <c r="Y59" s="12"/>
    </row>
    <row r="60" spans="1:25" x14ac:dyDescent="0.4">
      <c r="A60" s="67" t="s">
        <v>381</v>
      </c>
      <c r="B60" s="1" t="s">
        <v>241</v>
      </c>
      <c r="C60" s="1" t="s">
        <v>379</v>
      </c>
      <c r="D60" s="1" t="s">
        <v>243</v>
      </c>
      <c r="E60" s="14">
        <v>4674</v>
      </c>
      <c r="F60" s="18" t="s">
        <v>380</v>
      </c>
      <c r="G60" s="10"/>
      <c r="H60" s="10"/>
      <c r="I60" s="12"/>
      <c r="J60" s="12"/>
      <c r="K60" s="12"/>
      <c r="O60" s="67"/>
      <c r="P60" s="75"/>
      <c r="Q60" s="75"/>
      <c r="R60" s="75"/>
      <c r="S60" s="76"/>
      <c r="T60" s="77"/>
      <c r="U60" s="78"/>
      <c r="V60" s="78"/>
      <c r="W60" s="79"/>
      <c r="X60" s="79"/>
      <c r="Y60" s="79"/>
    </row>
    <row r="61" spans="1:25" x14ac:dyDescent="0.4">
      <c r="A61" s="54" t="s">
        <v>295</v>
      </c>
      <c r="B61" s="41" t="s">
        <v>241</v>
      </c>
      <c r="C61" s="41" t="s">
        <v>298</v>
      </c>
      <c r="D61" s="57" t="s">
        <v>297</v>
      </c>
      <c r="E61" s="58">
        <v>4674</v>
      </c>
      <c r="F61" s="80" t="s">
        <v>126</v>
      </c>
      <c r="G61" s="81"/>
      <c r="H61" s="81"/>
      <c r="I61" s="61"/>
      <c r="J61" s="61"/>
      <c r="K61" s="61"/>
      <c r="M61" t="e">
        <f>IF(A61=O61,TRUE,FALESE)</f>
        <v>#NAME?</v>
      </c>
      <c r="O61" s="54"/>
      <c r="P61" s="41"/>
      <c r="Q61" s="41"/>
      <c r="R61" s="41"/>
      <c r="S61" s="45"/>
      <c r="T61" s="49"/>
      <c r="U61" s="42"/>
      <c r="V61" s="42"/>
      <c r="W61" s="44"/>
      <c r="X61" s="44"/>
      <c r="Y61" s="44"/>
    </row>
    <row r="62" spans="1:25" x14ac:dyDescent="0.4">
      <c r="A62" s="3" t="s">
        <v>268</v>
      </c>
      <c r="B62" s="1" t="s">
        <v>257</v>
      </c>
      <c r="C62" s="1" t="s">
        <v>304</v>
      </c>
      <c r="D62" s="1" t="s">
        <v>156</v>
      </c>
      <c r="E62" s="10">
        <v>4691</v>
      </c>
      <c r="F62" s="11"/>
      <c r="G62" s="10"/>
      <c r="H62" s="1"/>
      <c r="I62" s="23"/>
      <c r="J62" s="23"/>
      <c r="K62" s="23">
        <v>1</v>
      </c>
      <c r="M62" t="e">
        <f>IF(A62=O62,TRUE,FALESE)</f>
        <v>#NAME?</v>
      </c>
      <c r="O62" s="3"/>
      <c r="P62" s="1"/>
      <c r="Q62" s="1"/>
      <c r="R62" s="1"/>
      <c r="S62" s="10"/>
      <c r="T62" s="11"/>
      <c r="U62" s="10"/>
      <c r="V62" s="1"/>
      <c r="W62" s="23"/>
      <c r="X62" s="23"/>
      <c r="Y62" s="23"/>
    </row>
    <row r="63" spans="1:25" x14ac:dyDescent="0.4">
      <c r="A63" s="3" t="s">
        <v>55</v>
      </c>
      <c r="B63" s="1" t="s">
        <v>257</v>
      </c>
      <c r="C63" s="1" t="s">
        <v>304</v>
      </c>
      <c r="D63" s="1" t="s">
        <v>269</v>
      </c>
      <c r="E63" s="14">
        <v>4691</v>
      </c>
      <c r="F63" s="11"/>
      <c r="G63" s="10"/>
      <c r="H63" s="10"/>
      <c r="I63" s="12"/>
      <c r="J63" s="12"/>
      <c r="K63" s="12"/>
      <c r="M63" t="e">
        <f>IF(A63=O63,TRUE,FALESE)</f>
        <v>#NAME?</v>
      </c>
      <c r="O63" s="3"/>
      <c r="P63" s="1"/>
      <c r="Q63" s="1"/>
      <c r="R63" s="1"/>
      <c r="S63" s="14"/>
      <c r="T63" s="11"/>
      <c r="U63" s="10"/>
      <c r="V63" s="10"/>
      <c r="W63" s="12"/>
      <c r="X63" s="12"/>
      <c r="Y63" s="12"/>
    </row>
    <row r="64" spans="1:25" x14ac:dyDescent="0.4">
      <c r="A64" s="3" t="s">
        <v>54</v>
      </c>
      <c r="B64" s="1" t="s">
        <v>257</v>
      </c>
      <c r="C64" s="1" t="s">
        <v>304</v>
      </c>
      <c r="D64" s="1" t="s">
        <v>252</v>
      </c>
      <c r="E64" s="14">
        <v>4691</v>
      </c>
      <c r="F64" s="11"/>
      <c r="G64" s="10"/>
      <c r="H64" s="10"/>
      <c r="I64" s="12"/>
      <c r="J64" s="12"/>
      <c r="K64" s="12"/>
      <c r="M64" t="e">
        <f>IF(A64=O64,TRUE,FALESE)</f>
        <v>#NAME?</v>
      </c>
      <c r="O64" s="3"/>
      <c r="P64" s="1"/>
      <c r="Q64" s="1"/>
      <c r="R64" s="1"/>
      <c r="S64" s="14"/>
      <c r="T64" s="11"/>
      <c r="U64" s="10"/>
      <c r="V64" s="10"/>
      <c r="W64" s="12"/>
      <c r="X64" s="12"/>
      <c r="Y64" s="12"/>
    </row>
    <row r="65" spans="1:25" x14ac:dyDescent="0.4">
      <c r="A65" s="3" t="s">
        <v>53</v>
      </c>
      <c r="B65" s="1" t="s">
        <v>257</v>
      </c>
      <c r="C65" s="1" t="s">
        <v>304</v>
      </c>
      <c r="D65" s="1" t="s">
        <v>278</v>
      </c>
      <c r="E65" s="14">
        <v>4691</v>
      </c>
      <c r="F65" s="11"/>
      <c r="G65" s="10"/>
      <c r="H65" s="10"/>
      <c r="I65" s="12"/>
      <c r="J65" s="12"/>
      <c r="K65" s="12"/>
      <c r="M65" t="e">
        <f>IF(A65=O65,TRUE,FALESE)</f>
        <v>#NAME?</v>
      </c>
      <c r="O65" s="3"/>
      <c r="P65" s="1"/>
      <c r="Q65" s="1"/>
      <c r="R65" s="1"/>
      <c r="S65" s="14"/>
      <c r="T65" s="11"/>
      <c r="U65" s="10"/>
      <c r="V65" s="10"/>
      <c r="W65" s="12"/>
      <c r="X65" s="12"/>
      <c r="Y65" s="12"/>
    </row>
    <row r="66" spans="1:25" x14ac:dyDescent="0.4">
      <c r="A66" s="3" t="s">
        <v>103</v>
      </c>
      <c r="B66" s="1" t="s">
        <v>104</v>
      </c>
      <c r="C66" s="1" t="s">
        <v>149</v>
      </c>
      <c r="D66" s="1" t="s">
        <v>150</v>
      </c>
      <c r="E66" s="14">
        <v>4693</v>
      </c>
      <c r="F66" s="15" t="s">
        <v>126</v>
      </c>
      <c r="G66" s="10"/>
      <c r="H66" s="10"/>
      <c r="I66" s="22"/>
      <c r="J66" s="22"/>
      <c r="K66" s="22"/>
      <c r="M66" t="e">
        <f>IF(A66=O66,TRUE,FALESE)</f>
        <v>#NAME?</v>
      </c>
      <c r="O66" s="3"/>
      <c r="P66" s="1"/>
      <c r="Q66" s="1"/>
      <c r="R66" s="1"/>
      <c r="S66" s="14"/>
      <c r="T66" s="15"/>
      <c r="U66" s="10"/>
      <c r="V66" s="10"/>
      <c r="W66" s="22"/>
      <c r="X66" s="22"/>
      <c r="Y66" s="22"/>
    </row>
    <row r="67" spans="1:25" x14ac:dyDescent="0.4">
      <c r="A67" s="3" t="s">
        <v>283</v>
      </c>
      <c r="B67" s="1" t="s">
        <v>156</v>
      </c>
      <c r="C67" s="1" t="s">
        <v>156</v>
      </c>
      <c r="D67" s="1" t="s">
        <v>157</v>
      </c>
      <c r="E67" s="14">
        <v>4800</v>
      </c>
      <c r="F67" s="11">
        <v>68</v>
      </c>
      <c r="G67" s="10"/>
      <c r="H67" s="10"/>
      <c r="I67" s="12"/>
      <c r="J67" s="12"/>
      <c r="K67" s="12"/>
      <c r="M67" t="e">
        <f>IF(A67=O67,TRUE,FALESE)</f>
        <v>#NAME?</v>
      </c>
      <c r="O67" s="3"/>
      <c r="P67" s="1"/>
      <c r="Q67" s="1"/>
      <c r="R67" s="1"/>
      <c r="S67" s="14"/>
      <c r="T67" s="11"/>
      <c r="U67" s="10"/>
      <c r="V67" s="10"/>
      <c r="W67" s="12"/>
      <c r="X67" s="12"/>
      <c r="Y67" s="12"/>
    </row>
    <row r="68" spans="1:25" x14ac:dyDescent="0.4">
      <c r="A68" s="3" t="s">
        <v>94</v>
      </c>
      <c r="B68" s="1" t="s">
        <v>321</v>
      </c>
      <c r="C68" s="1" t="s">
        <v>307</v>
      </c>
      <c r="D68" s="1" t="s">
        <v>270</v>
      </c>
      <c r="E68" s="14">
        <v>4800</v>
      </c>
      <c r="F68" s="11">
        <v>43</v>
      </c>
      <c r="G68" s="10">
        <v>68</v>
      </c>
      <c r="H68" s="10"/>
      <c r="I68" s="12"/>
      <c r="J68" s="12"/>
      <c r="K68" s="12"/>
      <c r="M68" t="e">
        <f>IF(A68=O68,TRUE,FALESE)</f>
        <v>#NAME?</v>
      </c>
      <c r="O68" s="3"/>
      <c r="P68" s="1"/>
      <c r="Q68" s="1"/>
      <c r="R68" s="1"/>
      <c r="S68" s="14"/>
      <c r="T68" s="11"/>
      <c r="U68" s="10"/>
      <c r="V68" s="10"/>
      <c r="W68" s="12"/>
      <c r="X68" s="12"/>
      <c r="Y68" s="12"/>
    </row>
    <row r="69" spans="1:25" x14ac:dyDescent="0.4">
      <c r="A69" s="3" t="s">
        <v>94</v>
      </c>
      <c r="B69" s="1" t="s">
        <v>322</v>
      </c>
      <c r="C69" s="1" t="s">
        <v>308</v>
      </c>
      <c r="D69" s="1" t="s">
        <v>270</v>
      </c>
      <c r="E69" s="14">
        <v>4800</v>
      </c>
      <c r="F69" s="11">
        <v>43</v>
      </c>
      <c r="G69" s="10">
        <v>68</v>
      </c>
      <c r="H69" s="10"/>
      <c r="I69" s="12"/>
      <c r="J69" s="12"/>
      <c r="K69" s="12"/>
      <c r="M69" t="e">
        <f>IF(A69=O69,TRUE,FALESE)</f>
        <v>#NAME?</v>
      </c>
      <c r="O69" s="3"/>
      <c r="P69" s="1"/>
      <c r="Q69" s="1"/>
      <c r="R69" s="1"/>
      <c r="S69" s="14"/>
      <c r="T69" s="11"/>
      <c r="U69" s="10"/>
      <c r="V69" s="10"/>
      <c r="W69" s="12"/>
      <c r="X69" s="12"/>
      <c r="Y69" s="12"/>
    </row>
    <row r="70" spans="1:25" x14ac:dyDescent="0.4">
      <c r="A70" s="3" t="s">
        <v>92</v>
      </c>
      <c r="B70" s="16" t="s">
        <v>323</v>
      </c>
      <c r="C70" s="16" t="s">
        <v>305</v>
      </c>
      <c r="D70" s="16" t="s">
        <v>155</v>
      </c>
      <c r="E70" s="17">
        <v>4800</v>
      </c>
      <c r="F70" s="11">
        <v>68</v>
      </c>
      <c r="G70" s="10"/>
      <c r="H70" s="10"/>
      <c r="I70" s="12"/>
      <c r="J70" s="12"/>
      <c r="K70" s="12"/>
      <c r="M70" t="e">
        <f>IF(A70=O70,TRUE,FALESE)</f>
        <v>#NAME?</v>
      </c>
      <c r="O70" s="3"/>
      <c r="P70" s="16"/>
      <c r="Q70" s="16"/>
      <c r="R70" s="16"/>
      <c r="S70" s="17"/>
      <c r="T70" s="11"/>
      <c r="U70" s="10"/>
      <c r="V70" s="10"/>
      <c r="W70" s="12"/>
      <c r="X70" s="12"/>
      <c r="Y70" s="12"/>
    </row>
    <row r="71" spans="1:25" x14ac:dyDescent="0.4">
      <c r="A71" s="3" t="s">
        <v>271</v>
      </c>
      <c r="B71" s="1" t="s">
        <v>241</v>
      </c>
      <c r="C71" s="1" t="s">
        <v>305</v>
      </c>
      <c r="D71" s="1" t="s">
        <v>152</v>
      </c>
      <c r="E71" s="10">
        <v>4800</v>
      </c>
      <c r="F71" s="15" t="s">
        <v>119</v>
      </c>
      <c r="G71" s="10"/>
      <c r="H71" s="1"/>
      <c r="I71" s="34"/>
      <c r="J71" s="34"/>
      <c r="K71" s="34"/>
      <c r="M71" t="e">
        <f>IF(A71=O71,TRUE,FALESE)</f>
        <v>#NAME?</v>
      </c>
      <c r="O71" s="3"/>
      <c r="P71" s="1"/>
      <c r="Q71" s="1"/>
      <c r="R71" s="1"/>
      <c r="S71" s="10"/>
      <c r="T71" s="15"/>
      <c r="U71" s="10"/>
      <c r="V71" s="1"/>
      <c r="W71" s="34"/>
      <c r="X71" s="34"/>
      <c r="Y71" s="34"/>
    </row>
    <row r="72" spans="1:25" x14ac:dyDescent="0.4">
      <c r="A72" s="3" t="s">
        <v>4</v>
      </c>
      <c r="B72" s="16" t="s">
        <v>245</v>
      </c>
      <c r="C72" s="16" t="s">
        <v>324</v>
      </c>
      <c r="D72" s="16" t="s">
        <v>151</v>
      </c>
      <c r="E72" s="17">
        <v>4800</v>
      </c>
      <c r="F72" s="10">
        <v>66</v>
      </c>
      <c r="G72" s="10">
        <v>38</v>
      </c>
      <c r="H72" s="10"/>
      <c r="I72" s="12"/>
      <c r="J72" s="12"/>
      <c r="K72" s="13">
        <v>1</v>
      </c>
      <c r="M72" t="e">
        <f>IF(A72=O72,TRUE,FALESE)</f>
        <v>#NAME?</v>
      </c>
      <c r="O72" s="3"/>
      <c r="P72" s="16"/>
      <c r="Q72" s="16"/>
      <c r="R72" s="16"/>
      <c r="S72" s="17"/>
      <c r="T72" s="10"/>
      <c r="U72" s="10"/>
      <c r="V72" s="10"/>
      <c r="W72" s="12"/>
      <c r="X72" s="12"/>
      <c r="Y72" s="13"/>
    </row>
    <row r="73" spans="1:25" x14ac:dyDescent="0.4">
      <c r="A73" s="3" t="s">
        <v>41</v>
      </c>
      <c r="B73" s="1" t="s">
        <v>281</v>
      </c>
      <c r="C73" s="1" t="s">
        <v>318</v>
      </c>
      <c r="D73" s="1" t="s">
        <v>153</v>
      </c>
      <c r="E73" s="14">
        <v>4800</v>
      </c>
      <c r="F73" s="11">
        <v>19</v>
      </c>
      <c r="G73" s="10"/>
      <c r="H73" s="10"/>
      <c r="I73" s="12"/>
      <c r="J73" s="12"/>
      <c r="K73" s="12"/>
      <c r="M73" t="e">
        <f>IF(A73=O73,TRUE,FALESE)</f>
        <v>#NAME?</v>
      </c>
      <c r="O73" s="3"/>
      <c r="P73" s="1"/>
      <c r="Q73" s="1"/>
      <c r="R73" s="1"/>
      <c r="S73" s="14"/>
      <c r="T73" s="11"/>
      <c r="U73" s="10"/>
      <c r="V73" s="10"/>
      <c r="W73" s="12"/>
      <c r="X73" s="12"/>
      <c r="Y73" s="12"/>
    </row>
    <row r="74" spans="1:25" x14ac:dyDescent="0.4">
      <c r="A74" s="3" t="s">
        <v>223</v>
      </c>
      <c r="B74" s="1" t="s">
        <v>235</v>
      </c>
      <c r="C74" s="1" t="s">
        <v>325</v>
      </c>
      <c r="D74" s="1" t="s">
        <v>154</v>
      </c>
      <c r="E74" s="14">
        <v>4800</v>
      </c>
      <c r="F74" s="11">
        <v>22</v>
      </c>
      <c r="G74" s="10">
        <v>57</v>
      </c>
      <c r="H74" s="10">
        <v>61</v>
      </c>
      <c r="I74" s="12"/>
      <c r="J74" s="12"/>
      <c r="K74" s="13">
        <v>1</v>
      </c>
      <c r="M74" t="e">
        <f>IF(A74=O74,TRUE,FALESE)</f>
        <v>#NAME?</v>
      </c>
      <c r="O74" s="3"/>
      <c r="P74" s="1"/>
      <c r="Q74" s="1"/>
      <c r="R74" s="1"/>
      <c r="S74" s="14"/>
      <c r="T74" s="11"/>
      <c r="U74" s="10"/>
      <c r="V74" s="10"/>
      <c r="W74" s="12"/>
      <c r="X74" s="12"/>
      <c r="Y74" s="13"/>
    </row>
    <row r="75" spans="1:25" x14ac:dyDescent="0.4">
      <c r="A75" s="3" t="s">
        <v>1</v>
      </c>
      <c r="B75" s="16" t="s">
        <v>241</v>
      </c>
      <c r="C75" s="16" t="s">
        <v>158</v>
      </c>
      <c r="D75" s="16" t="s">
        <v>244</v>
      </c>
      <c r="E75" s="17">
        <v>4805</v>
      </c>
      <c r="F75" s="11">
        <v>17</v>
      </c>
      <c r="G75" s="10">
        <v>18</v>
      </c>
      <c r="H75" s="10"/>
      <c r="I75" s="12"/>
      <c r="J75" s="12"/>
      <c r="K75" s="12"/>
      <c r="M75" t="e">
        <f>IF(A75=O75,TRUE,FALESE)</f>
        <v>#NAME?</v>
      </c>
      <c r="O75" s="3"/>
      <c r="P75" s="16"/>
      <c r="Q75" s="16"/>
      <c r="R75" s="16"/>
      <c r="S75" s="17"/>
      <c r="T75" s="11"/>
      <c r="U75" s="10"/>
      <c r="V75" s="10"/>
      <c r="W75" s="12"/>
      <c r="X75" s="12"/>
      <c r="Y75" s="12"/>
    </row>
    <row r="76" spans="1:25" x14ac:dyDescent="0.4">
      <c r="A76" s="3" t="s">
        <v>36</v>
      </c>
      <c r="B76" s="1" t="s">
        <v>233</v>
      </c>
      <c r="C76" s="1" t="s">
        <v>159</v>
      </c>
      <c r="D76" s="1" t="s">
        <v>252</v>
      </c>
      <c r="E76" s="14">
        <v>4808</v>
      </c>
      <c r="F76" s="18" t="s">
        <v>126</v>
      </c>
      <c r="G76" s="10"/>
      <c r="H76" s="10"/>
      <c r="I76" s="12"/>
      <c r="J76" s="12"/>
      <c r="K76" s="12"/>
      <c r="M76" t="e">
        <f>IF(A76=O76,TRUE,FALESE)</f>
        <v>#NAME?</v>
      </c>
      <c r="O76" s="3"/>
      <c r="P76" s="1"/>
      <c r="Q76" s="1"/>
      <c r="R76" s="1"/>
      <c r="S76" s="14"/>
      <c r="T76" s="18"/>
      <c r="U76" s="10"/>
      <c r="V76" s="10"/>
      <c r="W76" s="12"/>
      <c r="X76" s="12"/>
      <c r="Y76" s="12"/>
    </row>
    <row r="77" spans="1:25" x14ac:dyDescent="0.4">
      <c r="A77" s="3" t="s">
        <v>30</v>
      </c>
      <c r="B77" s="1" t="s">
        <v>258</v>
      </c>
      <c r="C77" s="1" t="s">
        <v>326</v>
      </c>
      <c r="D77" s="1" t="s">
        <v>160</v>
      </c>
      <c r="E77" s="14">
        <v>4817</v>
      </c>
      <c r="F77" s="11"/>
      <c r="G77" s="10"/>
      <c r="H77" s="10"/>
      <c r="I77" s="12"/>
      <c r="J77" s="12"/>
      <c r="K77" s="12"/>
      <c r="M77" t="e">
        <f>IF(A77=O77,TRUE,FALESE)</f>
        <v>#NAME?</v>
      </c>
      <c r="O77" s="3"/>
      <c r="P77" s="1"/>
      <c r="Q77" s="1"/>
      <c r="R77" s="1"/>
      <c r="S77" s="14"/>
      <c r="T77" s="11"/>
      <c r="U77" s="10"/>
      <c r="V77" s="10"/>
      <c r="W77" s="12"/>
      <c r="X77" s="12"/>
      <c r="Y77" s="12"/>
    </row>
    <row r="78" spans="1:25" x14ac:dyDescent="0.4">
      <c r="A78" s="3" t="s">
        <v>34</v>
      </c>
      <c r="B78" s="1" t="s">
        <v>258</v>
      </c>
      <c r="C78" s="1" t="s">
        <v>327</v>
      </c>
      <c r="D78" s="1" t="s">
        <v>161</v>
      </c>
      <c r="E78" s="14">
        <v>4819</v>
      </c>
      <c r="F78" s="11"/>
      <c r="G78" s="10"/>
      <c r="H78" s="10"/>
      <c r="I78" s="12"/>
      <c r="J78" s="12"/>
      <c r="K78" s="12"/>
      <c r="M78" t="e">
        <f>IF(A78=O78,TRUE,FALESE)</f>
        <v>#NAME?</v>
      </c>
      <c r="O78" s="3"/>
      <c r="P78" s="1"/>
      <c r="Q78" s="1"/>
      <c r="R78" s="1"/>
      <c r="S78" s="14"/>
      <c r="T78" s="11"/>
      <c r="U78" s="10"/>
      <c r="V78" s="10"/>
      <c r="W78" s="12"/>
      <c r="X78" s="12"/>
      <c r="Y78" s="12"/>
    </row>
    <row r="79" spans="1:25" x14ac:dyDescent="0.4">
      <c r="A79" s="3" t="s">
        <v>10</v>
      </c>
      <c r="B79" s="1" t="s">
        <v>241</v>
      </c>
      <c r="C79" s="1" t="s">
        <v>328</v>
      </c>
      <c r="D79" s="1" t="s">
        <v>247</v>
      </c>
      <c r="E79" s="14">
        <v>4828</v>
      </c>
      <c r="F79" s="11"/>
      <c r="G79" s="10"/>
      <c r="H79" s="10"/>
      <c r="I79" s="12"/>
      <c r="J79" s="12"/>
      <c r="K79" s="12"/>
      <c r="M79" t="e">
        <f>IF(A79=O79,TRUE,FALESE)</f>
        <v>#NAME?</v>
      </c>
      <c r="O79" s="3"/>
      <c r="P79" s="1"/>
      <c r="Q79" s="1"/>
      <c r="R79" s="1"/>
      <c r="S79" s="14"/>
      <c r="T79" s="11"/>
      <c r="U79" s="10"/>
      <c r="V79" s="10"/>
      <c r="W79" s="12"/>
      <c r="X79" s="12"/>
      <c r="Y79" s="12"/>
    </row>
    <row r="80" spans="1:25" x14ac:dyDescent="0.4">
      <c r="A80" s="3" t="s">
        <v>84</v>
      </c>
      <c r="B80" s="1" t="s">
        <v>241</v>
      </c>
      <c r="C80" s="1" t="s">
        <v>162</v>
      </c>
      <c r="D80" s="1" t="s">
        <v>163</v>
      </c>
      <c r="E80" s="14">
        <v>4828</v>
      </c>
      <c r="F80" s="18" t="s">
        <v>117</v>
      </c>
      <c r="G80" s="27" t="s">
        <v>164</v>
      </c>
      <c r="H80" s="10"/>
      <c r="I80" s="12"/>
      <c r="J80" s="12"/>
      <c r="K80" s="12"/>
      <c r="M80" t="e">
        <f>IF(A80=O80,TRUE,FALESE)</f>
        <v>#NAME?</v>
      </c>
      <c r="O80" s="3"/>
      <c r="P80" s="1"/>
      <c r="Q80" s="1"/>
      <c r="R80" s="1"/>
      <c r="S80" s="14"/>
      <c r="T80" s="18"/>
      <c r="U80" s="27"/>
      <c r="V80" s="10"/>
      <c r="W80" s="12"/>
      <c r="X80" s="12"/>
      <c r="Y80" s="12"/>
    </row>
    <row r="81" spans="1:25" x14ac:dyDescent="0.4">
      <c r="A81" s="3" t="s">
        <v>75</v>
      </c>
      <c r="B81" s="1" t="s">
        <v>230</v>
      </c>
      <c r="C81" s="1" t="s">
        <v>329</v>
      </c>
      <c r="D81" s="1" t="s">
        <v>250</v>
      </c>
      <c r="E81" s="14">
        <v>4831</v>
      </c>
      <c r="F81" s="11"/>
      <c r="G81" s="10"/>
      <c r="H81" s="10"/>
      <c r="I81" s="12"/>
      <c r="J81" s="12"/>
      <c r="K81" s="13"/>
      <c r="M81" t="e">
        <f>IF(A81=O81,TRUE,FALESE)</f>
        <v>#NAME?</v>
      </c>
      <c r="O81" s="3"/>
      <c r="P81" s="1"/>
      <c r="Q81" s="1"/>
      <c r="R81" s="1"/>
      <c r="S81" s="14"/>
      <c r="T81" s="11"/>
      <c r="U81" s="10"/>
      <c r="V81" s="10"/>
      <c r="W81" s="12"/>
      <c r="X81" s="12"/>
      <c r="Y81" s="13"/>
    </row>
    <row r="82" spans="1:25" x14ac:dyDescent="0.4">
      <c r="A82" s="3" t="s">
        <v>15</v>
      </c>
      <c r="B82" s="1" t="s">
        <v>241</v>
      </c>
      <c r="C82" s="1" t="s">
        <v>162</v>
      </c>
      <c r="D82" s="1" t="s">
        <v>163</v>
      </c>
      <c r="E82" s="14">
        <v>4832</v>
      </c>
      <c r="F82" s="11"/>
      <c r="G82" s="10"/>
      <c r="H82" s="10"/>
      <c r="I82" s="12"/>
      <c r="J82" s="12"/>
      <c r="K82" s="12"/>
      <c r="M82" t="e">
        <f>IF(A82=O82,TRUE,FALESE)</f>
        <v>#NAME?</v>
      </c>
      <c r="O82" s="3"/>
      <c r="P82" s="1"/>
      <c r="Q82" s="1"/>
      <c r="R82" s="1"/>
      <c r="S82" s="14"/>
      <c r="T82" s="11"/>
      <c r="U82" s="10"/>
      <c r="V82" s="10"/>
      <c r="W82" s="12"/>
      <c r="X82" s="12"/>
      <c r="Y82" s="12"/>
    </row>
    <row r="83" spans="1:25" x14ac:dyDescent="0.4">
      <c r="A83" s="3" t="s">
        <v>85</v>
      </c>
      <c r="B83" s="1" t="s">
        <v>241</v>
      </c>
      <c r="C83" s="1" t="s">
        <v>162</v>
      </c>
      <c r="D83" s="1" t="s">
        <v>165</v>
      </c>
      <c r="E83" s="14">
        <v>4832</v>
      </c>
      <c r="F83" s="11"/>
      <c r="G83" s="10"/>
      <c r="H83" s="10"/>
      <c r="I83" s="12"/>
      <c r="J83" s="12"/>
      <c r="K83" s="12"/>
      <c r="M83" t="e">
        <f>IF(A83=O83,TRUE,FALESE)</f>
        <v>#NAME?</v>
      </c>
      <c r="O83" s="3"/>
      <c r="P83" s="1"/>
      <c r="Q83" s="1"/>
      <c r="R83" s="1"/>
      <c r="S83" s="14"/>
      <c r="T83" s="11"/>
      <c r="U83" s="10"/>
      <c r="V83" s="10"/>
      <c r="W83" s="12"/>
      <c r="X83" s="12"/>
      <c r="Y83" s="12"/>
    </row>
    <row r="84" spans="1:25" x14ac:dyDescent="0.4">
      <c r="A84" s="3" t="s">
        <v>292</v>
      </c>
      <c r="B84" s="1" t="s">
        <v>230</v>
      </c>
      <c r="C84" s="1" t="s">
        <v>166</v>
      </c>
      <c r="D84" s="1" t="s">
        <v>167</v>
      </c>
      <c r="E84" s="14">
        <v>4840</v>
      </c>
      <c r="F84" s="18" t="s">
        <v>115</v>
      </c>
      <c r="G84" s="10"/>
      <c r="H84" s="10"/>
      <c r="I84" s="12"/>
      <c r="J84" s="12"/>
      <c r="K84" s="12"/>
      <c r="M84" t="e">
        <f>IF(A84=O84,TRUE,FALESE)</f>
        <v>#NAME?</v>
      </c>
      <c r="O84" s="3"/>
      <c r="P84" s="1"/>
      <c r="Q84" s="1"/>
      <c r="R84" s="1"/>
      <c r="S84" s="14"/>
      <c r="T84" s="18"/>
      <c r="U84" s="10"/>
      <c r="V84" s="10"/>
      <c r="W84" s="12"/>
      <c r="X84" s="12"/>
      <c r="Y84" s="12"/>
    </row>
    <row r="85" spans="1:25" x14ac:dyDescent="0.4">
      <c r="A85" s="3" t="s">
        <v>284</v>
      </c>
      <c r="B85" s="1" t="s">
        <v>258</v>
      </c>
      <c r="C85" s="1" t="s">
        <v>330</v>
      </c>
      <c r="D85" s="1" t="s">
        <v>168</v>
      </c>
      <c r="E85" s="14">
        <v>4843</v>
      </c>
      <c r="F85" s="11">
        <v>40</v>
      </c>
      <c r="G85" s="10"/>
      <c r="H85" s="10"/>
      <c r="I85" s="12"/>
      <c r="J85" s="12"/>
      <c r="K85" s="12"/>
      <c r="M85" t="e">
        <f>IF(A85=O85,TRUE,FALESE)</f>
        <v>#NAME?</v>
      </c>
      <c r="O85" s="3"/>
      <c r="P85" s="1"/>
      <c r="Q85" s="1"/>
      <c r="R85" s="1"/>
      <c r="S85" s="14"/>
      <c r="T85" s="11"/>
      <c r="U85" s="10"/>
      <c r="V85" s="10"/>
      <c r="W85" s="12"/>
      <c r="X85" s="12"/>
      <c r="Y85" s="12"/>
    </row>
    <row r="86" spans="1:25" x14ac:dyDescent="0.4">
      <c r="A86" s="54" t="s">
        <v>300</v>
      </c>
      <c r="B86" s="41" t="s">
        <v>241</v>
      </c>
      <c r="C86" s="41" t="s">
        <v>328</v>
      </c>
      <c r="D86" s="41" t="s">
        <v>297</v>
      </c>
      <c r="E86" s="45">
        <v>4853</v>
      </c>
      <c r="F86" s="49" t="s">
        <v>114</v>
      </c>
      <c r="G86" s="53" t="s">
        <v>127</v>
      </c>
      <c r="H86" s="53" t="s">
        <v>131</v>
      </c>
      <c r="I86" s="44"/>
      <c r="J86" s="44"/>
      <c r="K86" s="44"/>
      <c r="M86" t="e">
        <f>IF(A86=O86,TRUE,FALESE)</f>
        <v>#NAME?</v>
      </c>
      <c r="O86" s="54"/>
      <c r="P86" s="41"/>
      <c r="Q86" s="41"/>
      <c r="R86" s="41"/>
      <c r="S86" s="45"/>
      <c r="T86" s="49"/>
      <c r="U86" s="53"/>
      <c r="V86" s="53"/>
      <c r="W86" s="44"/>
      <c r="X86" s="44"/>
      <c r="Y86" s="44"/>
    </row>
    <row r="87" spans="1:25" x14ac:dyDescent="0.4">
      <c r="A87" s="3" t="s">
        <v>50</v>
      </c>
      <c r="B87" s="1" t="s">
        <v>248</v>
      </c>
      <c r="C87" s="1" t="s">
        <v>169</v>
      </c>
      <c r="D87" s="1" t="s">
        <v>170</v>
      </c>
      <c r="E87" s="14">
        <v>4857</v>
      </c>
      <c r="F87" s="11"/>
      <c r="G87" s="10"/>
      <c r="H87" s="10"/>
      <c r="I87" s="12"/>
      <c r="J87" s="12"/>
      <c r="K87" s="13">
        <v>1</v>
      </c>
      <c r="M87" t="e">
        <f>IF(A87=O87,TRUE,FALESE)</f>
        <v>#NAME?</v>
      </c>
      <c r="O87" s="3"/>
      <c r="P87" s="1"/>
      <c r="Q87" s="1"/>
      <c r="R87" s="1"/>
      <c r="S87" s="14"/>
      <c r="T87" s="11"/>
      <c r="U87" s="10"/>
      <c r="V87" s="10"/>
      <c r="W87" s="12"/>
      <c r="X87" s="12"/>
      <c r="Y87" s="13"/>
    </row>
    <row r="88" spans="1:25" x14ac:dyDescent="0.4">
      <c r="A88" s="3" t="s">
        <v>51</v>
      </c>
      <c r="B88" s="1" t="s">
        <v>248</v>
      </c>
      <c r="C88" s="1" t="s">
        <v>171</v>
      </c>
      <c r="D88" s="1" t="s">
        <v>170</v>
      </c>
      <c r="E88" s="14">
        <v>4858</v>
      </c>
      <c r="F88" s="11">
        <v>22</v>
      </c>
      <c r="G88" s="10"/>
      <c r="H88" s="10"/>
      <c r="I88" s="12"/>
      <c r="J88" s="12"/>
      <c r="K88" s="13">
        <v>1</v>
      </c>
      <c r="M88" t="e">
        <f>IF(A88=O88,TRUE,FALESE)</f>
        <v>#NAME?</v>
      </c>
      <c r="O88" s="3"/>
      <c r="P88" s="1"/>
      <c r="Q88" s="1"/>
      <c r="R88" s="1"/>
      <c r="S88" s="14"/>
      <c r="T88" s="11"/>
      <c r="U88" s="10"/>
      <c r="V88" s="10"/>
      <c r="W88" s="12"/>
      <c r="X88" s="12"/>
      <c r="Y88" s="13"/>
    </row>
    <row r="89" spans="1:25" x14ac:dyDescent="0.4">
      <c r="A89" s="3" t="s">
        <v>76</v>
      </c>
      <c r="B89" s="1" t="s">
        <v>230</v>
      </c>
      <c r="C89" s="1" t="s">
        <v>303</v>
      </c>
      <c r="D89" s="1" t="s">
        <v>167</v>
      </c>
      <c r="E89" s="14">
        <v>4863</v>
      </c>
      <c r="F89" s="11">
        <v>2</v>
      </c>
      <c r="G89" s="10"/>
      <c r="H89" s="10"/>
      <c r="I89" s="12"/>
      <c r="J89" s="12"/>
      <c r="K89" s="12"/>
      <c r="M89" t="e">
        <f>IF(A89=O89,TRUE,FALESE)</f>
        <v>#NAME?</v>
      </c>
      <c r="O89" s="3"/>
      <c r="P89" s="1"/>
      <c r="Q89" s="1"/>
      <c r="R89" s="1"/>
      <c r="S89" s="14"/>
      <c r="T89" s="11"/>
      <c r="U89" s="10"/>
      <c r="V89" s="10"/>
      <c r="W89" s="12"/>
      <c r="X89" s="12"/>
      <c r="Y89" s="12"/>
    </row>
    <row r="90" spans="1:25" x14ac:dyDescent="0.4">
      <c r="A90" s="3" t="s">
        <v>77</v>
      </c>
      <c r="B90" s="1" t="s">
        <v>230</v>
      </c>
      <c r="C90" s="1" t="s">
        <v>172</v>
      </c>
      <c r="D90" s="1" t="s">
        <v>167</v>
      </c>
      <c r="E90" s="14">
        <v>4863</v>
      </c>
      <c r="F90" s="11">
        <v>1</v>
      </c>
      <c r="G90" s="10"/>
      <c r="H90" s="10"/>
      <c r="I90" s="12"/>
      <c r="J90" s="12"/>
      <c r="K90" s="13">
        <v>1</v>
      </c>
      <c r="M90" t="e">
        <f>IF(A90=O90,TRUE,FALESE)</f>
        <v>#NAME?</v>
      </c>
      <c r="O90" s="3"/>
      <c r="P90" s="1"/>
      <c r="Q90" s="1"/>
      <c r="R90" s="1"/>
      <c r="S90" s="14"/>
      <c r="T90" s="11"/>
      <c r="U90" s="10"/>
      <c r="V90" s="10"/>
      <c r="W90" s="12"/>
      <c r="X90" s="12"/>
      <c r="Y90" s="13"/>
    </row>
    <row r="91" spans="1:25" x14ac:dyDescent="0.4">
      <c r="A91" s="3" t="s">
        <v>63</v>
      </c>
      <c r="B91" s="1" t="s">
        <v>241</v>
      </c>
      <c r="C91" s="1" t="s">
        <v>173</v>
      </c>
      <c r="D91" s="1" t="s">
        <v>272</v>
      </c>
      <c r="E91" s="14">
        <v>4864</v>
      </c>
      <c r="F91" s="11">
        <v>12</v>
      </c>
      <c r="G91" s="10"/>
      <c r="H91" s="10"/>
      <c r="I91" s="12"/>
      <c r="J91" s="12"/>
      <c r="K91" s="12"/>
      <c r="M91" t="e">
        <f>IF(A91=O91,TRUE,FALESE)</f>
        <v>#NAME?</v>
      </c>
      <c r="O91" s="3"/>
      <c r="P91" s="1"/>
      <c r="Q91" s="1"/>
      <c r="R91" s="1"/>
      <c r="S91" s="14"/>
      <c r="T91" s="11"/>
      <c r="U91" s="10"/>
      <c r="V91" s="10"/>
      <c r="W91" s="12"/>
      <c r="X91" s="12"/>
      <c r="Y91" s="12"/>
    </row>
    <row r="92" spans="1:25" x14ac:dyDescent="0.4">
      <c r="A92" s="3" t="s">
        <v>12</v>
      </c>
      <c r="B92" s="1" t="s">
        <v>241</v>
      </c>
      <c r="C92" s="1" t="s">
        <v>351</v>
      </c>
      <c r="D92" s="1" t="s">
        <v>273</v>
      </c>
      <c r="E92" s="64">
        <v>4866</v>
      </c>
      <c r="F92" s="36"/>
      <c r="G92" s="35"/>
      <c r="H92" s="23"/>
      <c r="I92" s="34"/>
      <c r="J92" s="34"/>
      <c r="K92" s="34">
        <v>1</v>
      </c>
      <c r="M92" t="e">
        <f>IF(A92=O92,TRUE,FALESE)</f>
        <v>#NAME?</v>
      </c>
      <c r="O92" s="3"/>
      <c r="P92" s="1"/>
      <c r="Q92" s="1"/>
      <c r="R92" s="1"/>
      <c r="S92" s="35"/>
      <c r="T92" s="36"/>
      <c r="U92" s="35"/>
      <c r="V92" s="23"/>
      <c r="W92" s="34"/>
      <c r="X92" s="34"/>
      <c r="Y92" s="34"/>
    </row>
    <row r="93" spans="1:25" x14ac:dyDescent="0.4">
      <c r="A93" s="3" t="s">
        <v>95</v>
      </c>
      <c r="B93" s="1" t="s">
        <v>241</v>
      </c>
      <c r="C93" s="1" t="s">
        <v>174</v>
      </c>
      <c r="D93" s="1" t="s">
        <v>175</v>
      </c>
      <c r="E93" s="14">
        <v>4870</v>
      </c>
      <c r="F93" s="11"/>
      <c r="G93" s="10"/>
      <c r="H93" s="10"/>
      <c r="I93" s="12"/>
      <c r="J93" s="12"/>
      <c r="K93" s="12"/>
      <c r="M93" t="e">
        <f>IF(A93=O93,TRUE,FALESE)</f>
        <v>#NAME?</v>
      </c>
      <c r="O93" s="3"/>
      <c r="P93" s="1"/>
      <c r="Q93" s="1"/>
      <c r="R93" s="1"/>
      <c r="S93" s="14"/>
      <c r="T93" s="11"/>
      <c r="U93" s="10"/>
      <c r="V93" s="10"/>
      <c r="W93" s="12"/>
      <c r="X93" s="12"/>
      <c r="Y93" s="12"/>
    </row>
    <row r="94" spans="1:25" x14ac:dyDescent="0.4">
      <c r="A94" s="3" t="s">
        <v>19</v>
      </c>
      <c r="B94" s="1" t="s">
        <v>241</v>
      </c>
      <c r="C94" s="1" t="s">
        <v>174</v>
      </c>
      <c r="D94" s="1" t="s">
        <v>243</v>
      </c>
      <c r="E94" s="14">
        <v>4870</v>
      </c>
      <c r="F94" s="11"/>
      <c r="G94" s="10"/>
      <c r="H94" s="10"/>
      <c r="I94" s="12"/>
      <c r="J94" s="12"/>
      <c r="K94" s="12"/>
      <c r="M94" t="e">
        <f>IF(A94=O94,TRUE,FALESE)</f>
        <v>#NAME?</v>
      </c>
      <c r="O94" s="3"/>
      <c r="P94" s="1"/>
      <c r="Q94" s="1"/>
      <c r="R94" s="1"/>
      <c r="S94" s="14"/>
      <c r="T94" s="11"/>
      <c r="U94" s="10"/>
      <c r="V94" s="10"/>
      <c r="W94" s="12"/>
      <c r="X94" s="12"/>
      <c r="Y94" s="12"/>
    </row>
    <row r="95" spans="1:25" x14ac:dyDescent="0.4">
      <c r="A95" s="3" t="s">
        <v>3</v>
      </c>
      <c r="B95" s="16" t="s">
        <v>274</v>
      </c>
      <c r="C95" s="16" t="s">
        <v>176</v>
      </c>
      <c r="D95" s="16" t="s">
        <v>177</v>
      </c>
      <c r="E95" s="17">
        <v>4874</v>
      </c>
      <c r="F95" s="15" t="s">
        <v>129</v>
      </c>
      <c r="G95" s="15" t="s">
        <v>107</v>
      </c>
      <c r="H95" s="15" t="s">
        <v>127</v>
      </c>
      <c r="I95" s="12"/>
      <c r="J95" s="12"/>
      <c r="K95" s="12"/>
      <c r="M95" t="e">
        <f>IF(A95=O95,TRUE,FALESE)</f>
        <v>#NAME?</v>
      </c>
      <c r="O95" s="3"/>
      <c r="P95" s="16"/>
      <c r="Q95" s="16"/>
      <c r="R95" s="16"/>
      <c r="S95" s="17"/>
      <c r="T95" s="15"/>
      <c r="U95" s="15"/>
      <c r="V95" s="15"/>
      <c r="W95" s="12"/>
      <c r="X95" s="12"/>
      <c r="Y95" s="12"/>
    </row>
    <row r="96" spans="1:25" x14ac:dyDescent="0.4">
      <c r="A96" s="3" t="s">
        <v>49</v>
      </c>
      <c r="B96" s="1" t="s">
        <v>248</v>
      </c>
      <c r="C96" s="1" t="s">
        <v>178</v>
      </c>
      <c r="D96" s="1" t="s">
        <v>170</v>
      </c>
      <c r="E96" s="14">
        <v>4879</v>
      </c>
      <c r="F96" s="11"/>
      <c r="G96" s="10"/>
      <c r="H96" s="10"/>
      <c r="I96" s="12"/>
      <c r="J96" s="12"/>
      <c r="K96" s="13">
        <v>1</v>
      </c>
      <c r="M96" t="e">
        <f>IF(A96=O96,TRUE,FALESE)</f>
        <v>#NAME?</v>
      </c>
      <c r="O96" s="3"/>
      <c r="P96" s="1"/>
      <c r="Q96" s="1"/>
      <c r="R96" s="1"/>
      <c r="S96" s="14"/>
      <c r="T96" s="11"/>
      <c r="U96" s="10"/>
      <c r="V96" s="10"/>
      <c r="W96" s="12"/>
      <c r="X96" s="12"/>
      <c r="Y96" s="13"/>
    </row>
    <row r="97" spans="1:25" x14ac:dyDescent="0.4">
      <c r="A97" s="3" t="s">
        <v>35</v>
      </c>
      <c r="B97" s="1" t="s">
        <v>281</v>
      </c>
      <c r="C97" s="1" t="s">
        <v>179</v>
      </c>
      <c r="D97" s="1" t="s">
        <v>180</v>
      </c>
      <c r="E97" s="14">
        <v>4894</v>
      </c>
      <c r="F97" s="11"/>
      <c r="G97" s="10"/>
      <c r="H97" s="10"/>
      <c r="I97" s="12"/>
      <c r="J97" s="12"/>
      <c r="K97" s="12"/>
      <c r="M97" t="e">
        <f>IF(A97=O97,TRUE,FALESE)</f>
        <v>#NAME?</v>
      </c>
      <c r="O97" s="3"/>
      <c r="P97" s="1"/>
      <c r="Q97" s="1"/>
      <c r="R97" s="1"/>
      <c r="S97" s="14"/>
      <c r="T97" s="11"/>
      <c r="U97" s="10"/>
      <c r="V97" s="10"/>
      <c r="W97" s="12"/>
      <c r="X97" s="12"/>
      <c r="Y97" s="12"/>
    </row>
    <row r="98" spans="1:25" x14ac:dyDescent="0.4">
      <c r="A98" s="3" t="s">
        <v>299</v>
      </c>
      <c r="B98" s="41" t="s">
        <v>241</v>
      </c>
      <c r="C98" s="41" t="s">
        <v>181</v>
      </c>
      <c r="D98" s="41" t="s">
        <v>247</v>
      </c>
      <c r="E98" s="45">
        <v>4906</v>
      </c>
      <c r="F98" s="43"/>
      <c r="G98" s="42"/>
      <c r="H98" s="42"/>
      <c r="I98" s="44"/>
      <c r="J98" s="44"/>
      <c r="K98" s="44">
        <v>1</v>
      </c>
      <c r="M98" t="e">
        <f>IF(A98=O98,TRUE,FALESE)</f>
        <v>#NAME?</v>
      </c>
      <c r="O98" s="3"/>
      <c r="P98" s="41"/>
      <c r="Q98" s="41"/>
      <c r="R98" s="41"/>
      <c r="S98" s="45"/>
      <c r="T98" s="43"/>
      <c r="U98" s="42"/>
      <c r="V98" s="42"/>
      <c r="W98" s="44"/>
      <c r="X98" s="44"/>
      <c r="Y98" s="44"/>
    </row>
    <row r="99" spans="1:25" x14ac:dyDescent="0.4">
      <c r="A99" s="3" t="s">
        <v>56</v>
      </c>
      <c r="B99" s="1" t="s">
        <v>257</v>
      </c>
      <c r="C99" s="1" t="s">
        <v>331</v>
      </c>
      <c r="D99" s="1" t="s">
        <v>182</v>
      </c>
      <c r="E99" s="14">
        <v>4907</v>
      </c>
      <c r="F99" s="15" t="s">
        <v>114</v>
      </c>
      <c r="G99" s="10"/>
      <c r="H99" s="10"/>
      <c r="I99" s="12"/>
      <c r="J99" s="12"/>
      <c r="K99" s="13">
        <v>1</v>
      </c>
      <c r="M99" t="e">
        <f>IF(A99=O99,TRUE,FALESE)</f>
        <v>#NAME?</v>
      </c>
      <c r="O99" s="3"/>
      <c r="P99" s="1"/>
      <c r="Q99" s="1"/>
      <c r="R99" s="1"/>
      <c r="S99" s="14"/>
      <c r="T99" s="15"/>
      <c r="U99" s="10"/>
      <c r="V99" s="10"/>
      <c r="W99" s="12"/>
      <c r="X99" s="12"/>
      <c r="Y99" s="13"/>
    </row>
    <row r="100" spans="1:25" x14ac:dyDescent="0.4">
      <c r="A100" s="3" t="s">
        <v>64</v>
      </c>
      <c r="B100" s="1" t="s">
        <v>241</v>
      </c>
      <c r="C100" s="1" t="s">
        <v>110</v>
      </c>
      <c r="D100" s="1" t="s">
        <v>243</v>
      </c>
      <c r="E100" s="14">
        <v>4909</v>
      </c>
      <c r="F100" s="15" t="s">
        <v>183</v>
      </c>
      <c r="G100" s="10"/>
      <c r="H100" s="10"/>
      <c r="I100" s="12"/>
      <c r="J100" s="12"/>
      <c r="K100" s="12"/>
      <c r="M100" t="e">
        <f>IF(A100=O100,TRUE,FALESE)</f>
        <v>#NAME?</v>
      </c>
      <c r="O100" s="3"/>
      <c r="P100" s="1"/>
      <c r="Q100" s="1"/>
      <c r="R100" s="1"/>
      <c r="S100" s="14"/>
      <c r="T100" s="15"/>
      <c r="U100" s="10"/>
      <c r="V100" s="10"/>
      <c r="W100" s="12"/>
      <c r="X100" s="12"/>
      <c r="Y100" s="12"/>
    </row>
    <row r="101" spans="1:25" x14ac:dyDescent="0.4">
      <c r="A101" s="3" t="s">
        <v>78</v>
      </c>
      <c r="B101" s="16" t="s">
        <v>241</v>
      </c>
      <c r="C101" s="16" t="s">
        <v>332</v>
      </c>
      <c r="D101" s="16" t="s">
        <v>155</v>
      </c>
      <c r="E101" s="17">
        <v>4916</v>
      </c>
      <c r="F101" s="15" t="s">
        <v>131</v>
      </c>
      <c r="G101" s="10"/>
      <c r="H101" s="10"/>
      <c r="I101" s="12"/>
      <c r="J101" s="12"/>
      <c r="K101" s="12"/>
      <c r="M101" t="e">
        <f>IF(A101=O101,TRUE,FALESE)</f>
        <v>#NAME?</v>
      </c>
      <c r="O101" s="3"/>
      <c r="P101" s="16"/>
      <c r="Q101" s="16"/>
      <c r="R101" s="16"/>
      <c r="S101" s="17"/>
      <c r="T101" s="15"/>
      <c r="U101" s="10"/>
      <c r="V101" s="10"/>
      <c r="W101" s="12"/>
      <c r="X101" s="12"/>
      <c r="Y101" s="12"/>
    </row>
    <row r="102" spans="1:25" x14ac:dyDescent="0.4">
      <c r="A102" s="3" t="s">
        <v>5</v>
      </c>
      <c r="B102" s="16" t="s">
        <v>241</v>
      </c>
      <c r="C102" s="16" t="s">
        <v>332</v>
      </c>
      <c r="D102" s="16" t="s">
        <v>155</v>
      </c>
      <c r="E102" s="17">
        <v>4916</v>
      </c>
      <c r="F102" s="15" t="s">
        <v>129</v>
      </c>
      <c r="G102" s="10"/>
      <c r="H102" s="10"/>
      <c r="I102" s="12"/>
      <c r="J102" s="12"/>
      <c r="K102" s="13"/>
      <c r="M102" t="e">
        <f>IF(A102=O102,TRUE,FALESE)</f>
        <v>#NAME?</v>
      </c>
      <c r="O102" s="3"/>
      <c r="P102" s="16"/>
      <c r="Q102" s="16"/>
      <c r="R102" s="16"/>
      <c r="S102" s="17"/>
      <c r="T102" s="15"/>
      <c r="U102" s="10"/>
      <c r="V102" s="10"/>
      <c r="W102" s="12"/>
      <c r="X102" s="12"/>
      <c r="Y102" s="13"/>
    </row>
    <row r="103" spans="1:25" x14ac:dyDescent="0.4">
      <c r="A103" s="3" t="s">
        <v>360</v>
      </c>
      <c r="B103" s="4" t="s">
        <v>361</v>
      </c>
      <c r="C103" s="4" t="s">
        <v>362</v>
      </c>
      <c r="D103" s="4" t="s">
        <v>363</v>
      </c>
      <c r="E103" s="37">
        <v>4916</v>
      </c>
      <c r="F103" s="65" t="s">
        <v>364</v>
      </c>
      <c r="G103" s="39"/>
      <c r="H103" s="39"/>
      <c r="I103" s="22"/>
      <c r="J103" s="22"/>
      <c r="K103" s="22"/>
      <c r="M103" t="e">
        <f>IF(A103=O103,TRUE,FALESE)</f>
        <v>#NAME?</v>
      </c>
      <c r="O103" s="3"/>
      <c r="P103" s="1"/>
      <c r="Q103" s="16"/>
      <c r="R103" s="1"/>
      <c r="S103" s="17"/>
      <c r="T103" s="15"/>
      <c r="U103" s="15"/>
      <c r="V103" s="10"/>
      <c r="W103" s="12"/>
      <c r="X103" s="12"/>
      <c r="Y103" s="13"/>
    </row>
    <row r="104" spans="1:25" x14ac:dyDescent="0.4">
      <c r="A104" s="3" t="s">
        <v>93</v>
      </c>
      <c r="B104" s="1" t="s">
        <v>258</v>
      </c>
      <c r="C104" s="16" t="s">
        <v>327</v>
      </c>
      <c r="D104" s="1" t="s">
        <v>161</v>
      </c>
      <c r="E104" s="17">
        <v>4918</v>
      </c>
      <c r="F104" s="15" t="s">
        <v>129</v>
      </c>
      <c r="G104" s="15" t="s">
        <v>115</v>
      </c>
      <c r="H104" s="10"/>
      <c r="I104" s="12"/>
      <c r="J104" s="12"/>
      <c r="K104" s="13">
        <v>1</v>
      </c>
      <c r="M104" t="e">
        <f>IF(A104=O104,TRUE,FALESE)</f>
        <v>#NAME?</v>
      </c>
      <c r="O104" s="3"/>
      <c r="P104" s="1"/>
      <c r="Q104" s="1"/>
      <c r="R104" s="1"/>
      <c r="S104" s="14"/>
      <c r="T104" s="11"/>
      <c r="U104" s="10"/>
      <c r="V104" s="10"/>
      <c r="W104" s="12"/>
      <c r="X104" s="12"/>
      <c r="Y104" s="12"/>
    </row>
    <row r="105" spans="1:25" x14ac:dyDescent="0.4">
      <c r="A105" s="3" t="s">
        <v>20</v>
      </c>
      <c r="B105" s="1" t="s">
        <v>241</v>
      </c>
      <c r="C105" s="1" t="s">
        <v>184</v>
      </c>
      <c r="D105" s="1" t="s">
        <v>243</v>
      </c>
      <c r="E105" s="14">
        <v>4924</v>
      </c>
      <c r="F105" s="11"/>
      <c r="G105" s="10"/>
      <c r="H105" s="10"/>
      <c r="I105" s="12"/>
      <c r="J105" s="12"/>
      <c r="K105" s="12"/>
      <c r="M105" t="e">
        <f>IF(A105=O105,TRUE,FALESE)</f>
        <v>#NAME?</v>
      </c>
      <c r="O105" s="3"/>
      <c r="P105" s="1"/>
      <c r="Q105" s="1"/>
      <c r="R105" s="1"/>
      <c r="S105" s="14"/>
      <c r="T105" s="11"/>
      <c r="U105" s="10"/>
      <c r="V105" s="10"/>
      <c r="W105" s="12"/>
      <c r="X105" s="12"/>
      <c r="Y105" s="12"/>
    </row>
    <row r="106" spans="1:25" x14ac:dyDescent="0.4">
      <c r="A106" s="3" t="s">
        <v>60</v>
      </c>
      <c r="B106" s="1" t="s">
        <v>257</v>
      </c>
      <c r="C106" s="1" t="s">
        <v>331</v>
      </c>
      <c r="D106" s="1" t="s">
        <v>185</v>
      </c>
      <c r="E106" s="14">
        <v>4928</v>
      </c>
      <c r="F106" s="11"/>
      <c r="G106" s="10"/>
      <c r="H106" s="10"/>
      <c r="I106" s="12"/>
      <c r="J106" s="12"/>
      <c r="K106" s="12"/>
      <c r="M106" t="e">
        <f>IF(A106=O106,TRUE,FALESE)</f>
        <v>#NAME?</v>
      </c>
      <c r="O106" s="3"/>
      <c r="P106" s="1"/>
      <c r="Q106" s="1"/>
      <c r="R106" s="1"/>
      <c r="S106" s="14"/>
      <c r="T106" s="11"/>
      <c r="U106" s="10"/>
      <c r="V106" s="10"/>
      <c r="W106" s="13"/>
      <c r="X106" s="12"/>
      <c r="Y106" s="13"/>
    </row>
    <row r="107" spans="1:25" x14ac:dyDescent="0.4">
      <c r="A107" s="3" t="s">
        <v>288</v>
      </c>
      <c r="B107" s="1" t="s">
        <v>241</v>
      </c>
      <c r="C107" s="1" t="s">
        <v>186</v>
      </c>
      <c r="D107" s="1" t="s">
        <v>163</v>
      </c>
      <c r="E107" s="14">
        <v>4931</v>
      </c>
      <c r="F107" s="11"/>
      <c r="G107" s="10"/>
      <c r="H107" s="10"/>
      <c r="I107" s="13" t="s">
        <v>187</v>
      </c>
      <c r="J107" s="12"/>
      <c r="K107" s="13">
        <v>1</v>
      </c>
      <c r="M107" t="e">
        <f>IF(A107=O107,TRUE,FALESE)</f>
        <v>#NAME?</v>
      </c>
      <c r="O107" s="3"/>
      <c r="P107" s="1"/>
      <c r="Q107" s="1"/>
      <c r="R107" s="1"/>
      <c r="S107" s="14"/>
      <c r="T107" s="15"/>
      <c r="U107" s="10"/>
      <c r="V107" s="10"/>
      <c r="W107" s="25"/>
      <c r="X107" s="13"/>
      <c r="Y107" s="12"/>
    </row>
    <row r="108" spans="1:25" x14ac:dyDescent="0.4">
      <c r="A108" s="3" t="s">
        <v>222</v>
      </c>
      <c r="B108" s="1" t="s">
        <v>275</v>
      </c>
      <c r="C108" s="1" t="s">
        <v>333</v>
      </c>
      <c r="D108" s="1" t="s">
        <v>188</v>
      </c>
      <c r="E108" s="14">
        <v>9713</v>
      </c>
      <c r="F108" s="15" t="s">
        <v>290</v>
      </c>
      <c r="G108" s="10"/>
      <c r="H108" s="10"/>
      <c r="I108" s="25" t="s">
        <v>142</v>
      </c>
      <c r="J108" s="13" t="s">
        <v>189</v>
      </c>
      <c r="K108" s="12"/>
      <c r="M108" t="e">
        <f>IF(A108=O108,TRUE,FALESE)</f>
        <v>#NAME?</v>
      </c>
      <c r="O108" s="3"/>
      <c r="P108" s="1"/>
      <c r="Q108" s="1"/>
      <c r="R108" s="1"/>
      <c r="S108" s="14"/>
      <c r="T108" s="15"/>
      <c r="U108" s="10"/>
      <c r="V108" s="10"/>
      <c r="W108" s="25"/>
      <c r="X108" s="13"/>
      <c r="Y108" s="12"/>
    </row>
    <row r="109" spans="1:25" x14ac:dyDescent="0.4">
      <c r="A109" s="3" t="s">
        <v>291</v>
      </c>
      <c r="B109" s="1" t="s">
        <v>275</v>
      </c>
      <c r="C109" s="1" t="s">
        <v>334</v>
      </c>
      <c r="D109" s="1" t="s">
        <v>190</v>
      </c>
      <c r="E109" s="14">
        <v>9732</v>
      </c>
      <c r="F109" s="15" t="s">
        <v>289</v>
      </c>
      <c r="G109" s="10"/>
      <c r="H109" s="10"/>
      <c r="I109" s="25" t="s">
        <v>142</v>
      </c>
      <c r="J109" s="13" t="s">
        <v>189</v>
      </c>
      <c r="K109" s="12"/>
      <c r="M109" t="e">
        <f>IF(A109=O109,TRUE,FALESE)</f>
        <v>#NAME?</v>
      </c>
      <c r="O109" s="3"/>
      <c r="P109" s="1"/>
      <c r="Q109" s="1"/>
      <c r="R109" s="1"/>
      <c r="S109" s="14"/>
      <c r="T109" s="11"/>
      <c r="U109" s="10"/>
      <c r="V109" s="10"/>
      <c r="W109" s="12"/>
      <c r="X109" s="12"/>
      <c r="Y109" s="12"/>
    </row>
    <row r="110" spans="1:25" x14ac:dyDescent="0.4">
      <c r="A110" s="3" t="s">
        <v>68</v>
      </c>
      <c r="B110" s="1" t="s">
        <v>275</v>
      </c>
      <c r="C110" s="1" t="s">
        <v>338</v>
      </c>
      <c r="D110" s="1" t="s">
        <v>191</v>
      </c>
      <c r="E110" s="14">
        <v>9734</v>
      </c>
      <c r="F110" s="11">
        <v>57</v>
      </c>
      <c r="G110" s="10">
        <v>61</v>
      </c>
      <c r="H110" s="10"/>
      <c r="I110" s="12"/>
      <c r="J110" s="12"/>
      <c r="K110" s="12"/>
      <c r="M110" t="e">
        <f>IF(A110=O110,TRUE,FALESE)</f>
        <v>#NAME?</v>
      </c>
      <c r="O110" s="3"/>
      <c r="P110" s="1"/>
      <c r="Q110" s="1"/>
      <c r="R110" s="1"/>
      <c r="S110" s="14"/>
      <c r="T110" s="11"/>
      <c r="U110" s="10"/>
      <c r="V110" s="10"/>
      <c r="W110" s="12"/>
      <c r="X110" s="12"/>
      <c r="Y110" s="12"/>
    </row>
    <row r="111" spans="1:25" x14ac:dyDescent="0.4">
      <c r="A111" s="3" t="s">
        <v>71</v>
      </c>
      <c r="B111" s="1" t="s">
        <v>275</v>
      </c>
      <c r="C111" s="1" t="s">
        <v>335</v>
      </c>
      <c r="D111" s="1" t="s">
        <v>192</v>
      </c>
      <c r="E111" s="14">
        <v>9735</v>
      </c>
      <c r="F111" s="11"/>
      <c r="G111" s="10"/>
      <c r="H111" s="10"/>
      <c r="I111" s="12"/>
      <c r="J111" s="12"/>
      <c r="K111" s="12"/>
      <c r="M111" t="e">
        <f>IF(A111=O111,TRUE,FALESE)</f>
        <v>#NAME?</v>
      </c>
      <c r="O111" s="3"/>
      <c r="P111" s="1"/>
      <c r="Q111" s="1"/>
      <c r="R111" s="1"/>
      <c r="S111" s="14"/>
      <c r="T111" s="15"/>
      <c r="U111" s="10"/>
      <c r="V111" s="10"/>
      <c r="W111" s="12"/>
      <c r="X111" s="12"/>
      <c r="Y111" s="12"/>
    </row>
    <row r="112" spans="1:25" x14ac:dyDescent="0.4">
      <c r="A112" s="3" t="s">
        <v>70</v>
      </c>
      <c r="B112" s="1" t="s">
        <v>275</v>
      </c>
      <c r="C112" s="1" t="s">
        <v>336</v>
      </c>
      <c r="D112" s="1" t="s">
        <v>191</v>
      </c>
      <c r="E112" s="14">
        <v>9738</v>
      </c>
      <c r="F112" s="15" t="s">
        <v>117</v>
      </c>
      <c r="G112" s="10"/>
      <c r="H112" s="10"/>
      <c r="I112" s="12"/>
      <c r="J112" s="12"/>
      <c r="K112" s="12"/>
      <c r="M112" t="e">
        <f>IF(A112=O112,TRUE,FALESE)</f>
        <v>#NAME?</v>
      </c>
      <c r="O112" s="3"/>
      <c r="P112" s="1"/>
      <c r="Q112" s="1"/>
      <c r="R112" s="1"/>
      <c r="S112" s="14"/>
      <c r="T112" s="11"/>
      <c r="U112" s="10"/>
      <c r="V112" s="10"/>
      <c r="W112" s="12"/>
      <c r="X112" s="12"/>
      <c r="Y112" s="12"/>
    </row>
    <row r="113" spans="1:25" x14ac:dyDescent="0.4">
      <c r="A113" s="3" t="s">
        <v>69</v>
      </c>
      <c r="B113" s="1" t="s">
        <v>275</v>
      </c>
      <c r="C113" s="1" t="s">
        <v>335</v>
      </c>
      <c r="D113" s="1" t="s">
        <v>191</v>
      </c>
      <c r="E113" s="14">
        <v>9738</v>
      </c>
      <c r="F113" s="11"/>
      <c r="G113" s="10"/>
      <c r="H113" s="10"/>
      <c r="I113" s="12"/>
      <c r="J113" s="12"/>
      <c r="K113" s="12"/>
      <c r="M113" t="e">
        <f>IF(A113=O113,TRUE,FALESE)</f>
        <v>#NAME?</v>
      </c>
      <c r="O113" s="3"/>
      <c r="P113" s="1"/>
      <c r="Q113" s="1"/>
      <c r="R113" s="1"/>
      <c r="S113" s="14"/>
      <c r="T113" s="15"/>
      <c r="U113" s="10"/>
      <c r="V113" s="10"/>
      <c r="W113" s="12"/>
      <c r="X113" s="12"/>
      <c r="Y113" s="12"/>
    </row>
    <row r="114" spans="1:25" x14ac:dyDescent="0.4">
      <c r="A114" s="3" t="s">
        <v>61</v>
      </c>
      <c r="B114" s="1" t="s">
        <v>275</v>
      </c>
      <c r="C114" s="1" t="s">
        <v>335</v>
      </c>
      <c r="D114" s="1" t="s">
        <v>193</v>
      </c>
      <c r="E114" s="14">
        <v>9751</v>
      </c>
      <c r="F114" s="15" t="s">
        <v>131</v>
      </c>
      <c r="G114" s="10"/>
      <c r="H114" s="10"/>
      <c r="I114" s="12"/>
      <c r="J114" s="12"/>
      <c r="K114" s="12"/>
      <c r="M114" t="e">
        <f>IF(A114=O114,TRUE,FALESE)</f>
        <v>#NAME?</v>
      </c>
      <c r="O114" s="3"/>
      <c r="P114" s="1"/>
      <c r="Q114" s="1"/>
      <c r="R114" s="1"/>
      <c r="S114" s="14"/>
      <c r="T114" s="11"/>
      <c r="U114" s="10"/>
      <c r="V114" s="10"/>
      <c r="W114" s="12"/>
      <c r="X114" s="12"/>
      <c r="Y114" s="12"/>
    </row>
    <row r="115" spans="1:25" x14ac:dyDescent="0.4">
      <c r="A115" s="3" t="s">
        <v>72</v>
      </c>
      <c r="B115" s="1" t="s">
        <v>275</v>
      </c>
      <c r="C115" s="1" t="s">
        <v>337</v>
      </c>
      <c r="D115" s="1" t="s">
        <v>192</v>
      </c>
      <c r="E115" s="14">
        <v>9764</v>
      </c>
      <c r="F115" s="11"/>
      <c r="G115" s="10"/>
      <c r="H115" s="10"/>
      <c r="I115" s="12"/>
      <c r="J115" s="12"/>
      <c r="K115" s="12"/>
      <c r="M115" t="e">
        <f>IF(A115=O115,TRUE,FALESE)</f>
        <v>#NAME?</v>
      </c>
      <c r="O115" s="3"/>
      <c r="P115" s="1"/>
      <c r="Q115" s="1"/>
      <c r="R115" s="1"/>
      <c r="S115" s="14"/>
      <c r="T115" s="11"/>
      <c r="U115" s="10"/>
      <c r="V115" s="10"/>
      <c r="W115" s="22"/>
      <c r="X115" s="22"/>
      <c r="Y115" s="22"/>
    </row>
    <row r="116" spans="1:25" x14ac:dyDescent="0.4">
      <c r="A116" s="3" t="s">
        <v>339</v>
      </c>
      <c r="B116" s="1" t="s">
        <v>275</v>
      </c>
      <c r="C116" s="1" t="s">
        <v>340</v>
      </c>
      <c r="D116" s="1" t="s">
        <v>196</v>
      </c>
      <c r="E116" s="14">
        <v>9901</v>
      </c>
      <c r="F116" s="11">
        <v>20</v>
      </c>
      <c r="G116" s="10"/>
      <c r="H116" s="10"/>
      <c r="I116" s="22"/>
      <c r="J116" s="22"/>
      <c r="K116" s="22"/>
      <c r="M116" t="e">
        <f>IF(A116=O116,TRUE,FALESE)</f>
        <v>#NAME?</v>
      </c>
      <c r="O116" s="3"/>
      <c r="P116" s="1"/>
      <c r="Q116" s="1"/>
      <c r="R116" s="1"/>
      <c r="S116" s="14"/>
      <c r="T116" s="15"/>
      <c r="U116" s="10"/>
      <c r="V116" s="10"/>
      <c r="W116" s="12"/>
      <c r="X116" s="12"/>
      <c r="Y116" s="12"/>
    </row>
    <row r="117" spans="1:25" x14ac:dyDescent="0.4">
      <c r="A117" s="3" t="s">
        <v>67</v>
      </c>
      <c r="B117" s="1" t="s">
        <v>275</v>
      </c>
      <c r="C117" s="1" t="s">
        <v>341</v>
      </c>
      <c r="D117" s="1" t="s">
        <v>198</v>
      </c>
      <c r="E117" s="14">
        <v>9901</v>
      </c>
      <c r="F117" s="15" t="s">
        <v>107</v>
      </c>
      <c r="G117" s="10"/>
      <c r="H117" s="10"/>
      <c r="I117" s="12"/>
      <c r="J117" s="12"/>
      <c r="K117" s="12"/>
      <c r="M117" t="e">
        <f>IF(A117=O117,TRUE,FALESE)</f>
        <v>#NAME?</v>
      </c>
      <c r="O117" s="3"/>
      <c r="P117" s="1"/>
      <c r="Q117" s="1"/>
      <c r="R117" s="1"/>
      <c r="S117" s="14"/>
      <c r="T117" s="11"/>
      <c r="U117" s="10"/>
      <c r="V117" s="10"/>
      <c r="W117" s="12"/>
      <c r="X117" s="12"/>
      <c r="Y117" s="12"/>
    </row>
    <row r="118" spans="1:25" x14ac:dyDescent="0.4">
      <c r="A118" s="3" t="s">
        <v>66</v>
      </c>
      <c r="B118" s="1" t="s">
        <v>275</v>
      </c>
      <c r="C118" s="1" t="s">
        <v>340</v>
      </c>
      <c r="D118" s="1" t="s">
        <v>197</v>
      </c>
      <c r="E118" s="14">
        <v>9901</v>
      </c>
      <c r="F118" s="11"/>
      <c r="G118" s="10"/>
      <c r="H118" s="10"/>
      <c r="I118" s="12"/>
      <c r="J118" s="12"/>
      <c r="K118" s="12"/>
      <c r="M118" t="e">
        <f>IF(A118=O118,TRUE,FALESE)</f>
        <v>#NAME?</v>
      </c>
      <c r="O118" s="3"/>
      <c r="P118" s="1"/>
      <c r="Q118" s="1"/>
      <c r="R118" s="1"/>
      <c r="S118" s="14"/>
      <c r="T118" s="15"/>
      <c r="U118" s="10"/>
      <c r="V118" s="10"/>
      <c r="W118" s="12"/>
      <c r="X118" s="12"/>
      <c r="Y118" s="12"/>
    </row>
    <row r="119" spans="1:25" x14ac:dyDescent="0.4">
      <c r="A119" s="3" t="s">
        <v>62</v>
      </c>
      <c r="B119" s="1" t="s">
        <v>275</v>
      </c>
      <c r="C119" s="1" t="s">
        <v>333</v>
      </c>
      <c r="D119" s="1" t="s">
        <v>194</v>
      </c>
      <c r="E119" s="14">
        <v>9901</v>
      </c>
      <c r="F119" s="15" t="s">
        <v>131</v>
      </c>
      <c r="G119" s="10"/>
      <c r="H119" s="10"/>
      <c r="I119" s="12"/>
      <c r="J119" s="12"/>
      <c r="K119" s="12"/>
      <c r="M119" t="e">
        <f>IF(A119=O119,TRUE,FALESE)</f>
        <v>#NAME?</v>
      </c>
      <c r="O119" s="3"/>
      <c r="P119" s="1"/>
      <c r="Q119" s="1"/>
      <c r="R119" s="1"/>
      <c r="S119" s="14"/>
      <c r="T119" s="15"/>
      <c r="U119" s="10"/>
      <c r="V119" s="10"/>
      <c r="W119" s="22"/>
      <c r="X119" s="22"/>
      <c r="Y119" s="22"/>
    </row>
    <row r="120" spans="1:25" x14ac:dyDescent="0.4">
      <c r="A120" s="3" t="s">
        <v>65</v>
      </c>
      <c r="B120" s="1" t="s">
        <v>275</v>
      </c>
      <c r="C120" s="1" t="s">
        <v>340</v>
      </c>
      <c r="D120" s="1" t="s">
        <v>213</v>
      </c>
      <c r="E120" s="14">
        <v>9901</v>
      </c>
      <c r="F120" s="15" t="s">
        <v>214</v>
      </c>
      <c r="G120" s="10"/>
      <c r="H120" s="10"/>
      <c r="I120" s="22"/>
      <c r="J120" s="22"/>
      <c r="K120" s="22"/>
      <c r="M120" t="e">
        <f>IF(A120=O120,TRUE,FALESE)</f>
        <v>#NAME?</v>
      </c>
      <c r="O120" s="3"/>
      <c r="P120" s="1"/>
      <c r="Q120" s="1"/>
      <c r="R120" s="1"/>
      <c r="S120" s="14"/>
      <c r="T120" s="15"/>
      <c r="U120" s="10"/>
      <c r="V120" s="10"/>
      <c r="W120" s="12"/>
      <c r="X120" s="12"/>
      <c r="Y120" s="12"/>
    </row>
    <row r="121" spans="1:25" x14ac:dyDescent="0.4">
      <c r="A121" s="3" t="s">
        <v>342</v>
      </c>
      <c r="B121" s="1" t="s">
        <v>275</v>
      </c>
      <c r="C121" s="1" t="s">
        <v>343</v>
      </c>
      <c r="D121" s="1" t="s">
        <v>195</v>
      </c>
      <c r="E121" s="14">
        <v>9901</v>
      </c>
      <c r="F121" s="15" t="s">
        <v>164</v>
      </c>
      <c r="G121" s="10"/>
      <c r="H121" s="10"/>
      <c r="I121" s="12"/>
      <c r="J121" s="12"/>
      <c r="K121" s="12"/>
      <c r="M121" t="e">
        <f>IF(A121=O121,TRUE,FALESE)</f>
        <v>#NAME?</v>
      </c>
      <c r="O121" s="3"/>
      <c r="P121" s="1"/>
      <c r="Q121" s="1"/>
      <c r="R121" s="1"/>
      <c r="S121" s="14"/>
      <c r="T121" s="15"/>
      <c r="U121" s="10"/>
      <c r="V121" s="10"/>
      <c r="W121" s="12"/>
      <c r="X121" s="12"/>
      <c r="Y121" s="12"/>
    </row>
    <row r="122" spans="1:25" x14ac:dyDescent="0.4">
      <c r="A122" s="3" t="s">
        <v>86</v>
      </c>
      <c r="B122" s="1" t="s">
        <v>241</v>
      </c>
      <c r="C122" s="1" t="s">
        <v>110</v>
      </c>
      <c r="D122" s="1" t="s">
        <v>276</v>
      </c>
      <c r="E122" s="26" t="s">
        <v>358</v>
      </c>
      <c r="F122" s="15" t="s">
        <v>126</v>
      </c>
      <c r="G122" s="10"/>
      <c r="H122" s="10"/>
      <c r="I122" s="12"/>
      <c r="J122" s="12"/>
      <c r="K122" s="12"/>
      <c r="M122" t="e">
        <f>IF(A122=O122,TRUE,FALESE)</f>
        <v>#NAME?</v>
      </c>
      <c r="O122" s="3"/>
      <c r="P122" s="1"/>
      <c r="Q122" s="1"/>
      <c r="R122" s="1"/>
      <c r="S122" s="14"/>
      <c r="T122" s="15"/>
      <c r="U122" s="10"/>
      <c r="V122" s="10"/>
      <c r="W122" s="12"/>
      <c r="X122" s="12"/>
      <c r="Y122" s="12"/>
    </row>
    <row r="123" spans="1:25" x14ac:dyDescent="0.4">
      <c r="A123" s="3" t="s">
        <v>21</v>
      </c>
      <c r="B123" s="1" t="s">
        <v>241</v>
      </c>
      <c r="C123" s="1" t="s">
        <v>199</v>
      </c>
      <c r="D123" s="1" t="s">
        <v>243</v>
      </c>
      <c r="E123" s="26" t="s">
        <v>356</v>
      </c>
      <c r="F123" s="62" t="s">
        <v>357</v>
      </c>
      <c r="G123" s="10"/>
      <c r="H123" s="10"/>
      <c r="I123" s="12"/>
      <c r="J123" s="12"/>
      <c r="K123" s="12"/>
      <c r="M123" t="e">
        <f>IF(A123=O123,TRUE,FALESE)</f>
        <v>#NAME?</v>
      </c>
      <c r="O123" s="3"/>
      <c r="P123" s="1"/>
      <c r="Q123" s="1"/>
      <c r="R123" s="1"/>
      <c r="S123" s="14"/>
      <c r="T123" s="15"/>
      <c r="U123" s="10"/>
      <c r="V123" s="10"/>
      <c r="W123" s="12"/>
      <c r="X123" s="12"/>
      <c r="Y123" s="12"/>
    </row>
    <row r="124" spans="1:25" x14ac:dyDescent="0.4">
      <c r="A124" s="3" t="s">
        <v>37</v>
      </c>
      <c r="B124" s="1" t="s">
        <v>281</v>
      </c>
      <c r="C124" s="1" t="s">
        <v>350</v>
      </c>
      <c r="D124" s="1" t="s">
        <v>200</v>
      </c>
      <c r="E124" s="14" t="s">
        <v>201</v>
      </c>
      <c r="F124" s="11"/>
      <c r="G124" s="10"/>
      <c r="H124" s="10"/>
      <c r="I124" s="12"/>
      <c r="J124" s="12"/>
      <c r="K124" s="12"/>
      <c r="M124" t="e">
        <f>IF(A124=O124,TRUE,FALESE)</f>
        <v>#NAME?</v>
      </c>
      <c r="O124" s="3"/>
      <c r="P124" s="1"/>
      <c r="Q124" s="1"/>
      <c r="R124" s="1"/>
      <c r="S124" s="14"/>
      <c r="T124" s="15"/>
      <c r="U124" s="10"/>
      <c r="V124" s="10"/>
      <c r="W124" s="12"/>
      <c r="X124" s="12"/>
      <c r="Y124" s="13"/>
    </row>
    <row r="125" spans="1:25" x14ac:dyDescent="0.4">
      <c r="A125" s="3" t="s">
        <v>365</v>
      </c>
      <c r="B125" s="4" t="s">
        <v>366</v>
      </c>
      <c r="C125" s="4" t="s">
        <v>367</v>
      </c>
      <c r="D125" s="4" t="s">
        <v>367</v>
      </c>
      <c r="E125" s="37" t="s">
        <v>368</v>
      </c>
      <c r="F125" s="65"/>
      <c r="G125" s="39"/>
      <c r="H125" s="39"/>
      <c r="I125" s="22"/>
      <c r="J125" s="22"/>
      <c r="K125" s="22"/>
      <c r="M125" t="e">
        <f>IF(A125=O125,TRUE,FALESE)</f>
        <v>#NAME?</v>
      </c>
      <c r="O125" s="3"/>
      <c r="P125" s="16"/>
      <c r="Q125" s="16"/>
      <c r="R125" s="16"/>
      <c r="S125" s="17"/>
      <c r="T125" s="15"/>
      <c r="U125" s="10"/>
      <c r="V125" s="10"/>
      <c r="W125" s="12"/>
      <c r="X125" s="12"/>
      <c r="Y125" s="23"/>
    </row>
    <row r="126" spans="1:25" x14ac:dyDescent="0.4">
      <c r="A126" s="3" t="s">
        <v>31</v>
      </c>
      <c r="B126" s="1" t="s">
        <v>258</v>
      </c>
      <c r="C126" s="1" t="s">
        <v>344</v>
      </c>
      <c r="D126" s="1" t="s">
        <v>202</v>
      </c>
      <c r="E126" s="14" t="s">
        <v>203</v>
      </c>
      <c r="F126" s="11"/>
      <c r="G126" s="10"/>
      <c r="H126" s="10"/>
      <c r="I126" s="12"/>
      <c r="J126" s="12"/>
      <c r="K126" s="12"/>
      <c r="M126" t="e">
        <f>IF(A126=O126,TRUE,FALESE)</f>
        <v>#NAME?</v>
      </c>
      <c r="O126" s="3"/>
      <c r="P126" s="1"/>
      <c r="Q126" s="1"/>
      <c r="R126" s="1"/>
      <c r="S126" s="14"/>
      <c r="T126" s="15"/>
      <c r="U126" s="10"/>
      <c r="V126" s="10"/>
      <c r="W126" s="12"/>
      <c r="X126" s="12"/>
      <c r="Y126" s="12"/>
    </row>
    <row r="127" spans="1:25" x14ac:dyDescent="0.4">
      <c r="A127" s="3" t="s">
        <v>7</v>
      </c>
      <c r="B127" s="16" t="s">
        <v>241</v>
      </c>
      <c r="C127" s="16" t="s">
        <v>345</v>
      </c>
      <c r="D127" s="16" t="s">
        <v>204</v>
      </c>
      <c r="E127" s="17" t="s">
        <v>205</v>
      </c>
      <c r="F127" s="15" t="s">
        <v>115</v>
      </c>
      <c r="G127" s="10"/>
      <c r="H127" s="10"/>
      <c r="I127" s="12"/>
      <c r="J127" s="12"/>
      <c r="K127" s="12"/>
      <c r="M127" t="e">
        <f>IF(A127=O127,TRUE,FALESE)</f>
        <v>#NAME?</v>
      </c>
      <c r="O127" s="3"/>
      <c r="P127" s="24"/>
      <c r="Q127" s="16"/>
      <c r="R127" s="16"/>
      <c r="S127" s="17"/>
      <c r="T127" s="15"/>
      <c r="U127" s="10"/>
      <c r="V127" s="10"/>
      <c r="W127" s="12"/>
      <c r="X127" s="12"/>
      <c r="Y127" s="12"/>
    </row>
    <row r="128" spans="1:25" x14ac:dyDescent="0.4">
      <c r="A128" s="3" t="s">
        <v>98</v>
      </c>
      <c r="B128" s="1" t="s">
        <v>281</v>
      </c>
      <c r="C128" s="1" t="s">
        <v>346</v>
      </c>
      <c r="D128" s="1" t="s">
        <v>215</v>
      </c>
      <c r="E128" s="14" t="s">
        <v>216</v>
      </c>
      <c r="F128" s="15" t="s">
        <v>217</v>
      </c>
      <c r="G128" s="10"/>
      <c r="H128" s="10"/>
      <c r="I128" s="12"/>
      <c r="J128" s="12"/>
      <c r="K128" s="12"/>
      <c r="M128" t="e">
        <f>IF(A128=O128,TRUE,FALESE)</f>
        <v>#NAME?</v>
      </c>
      <c r="O128" s="3"/>
      <c r="P128" s="1"/>
      <c r="Q128" s="1"/>
      <c r="R128" s="1"/>
      <c r="S128" s="14"/>
      <c r="T128" s="15"/>
      <c r="U128" s="10"/>
      <c r="V128" s="10"/>
      <c r="W128" s="12"/>
      <c r="X128" s="12"/>
      <c r="Y128" s="12"/>
    </row>
    <row r="129" spans="1:25" x14ac:dyDescent="0.4">
      <c r="A129" s="3" t="s">
        <v>98</v>
      </c>
      <c r="B129" s="1" t="s">
        <v>282</v>
      </c>
      <c r="C129" s="1" t="s">
        <v>346</v>
      </c>
      <c r="D129" s="1" t="s">
        <v>218</v>
      </c>
      <c r="E129" s="14" t="s">
        <v>216</v>
      </c>
      <c r="F129" s="15" t="s">
        <v>217</v>
      </c>
      <c r="G129" s="10"/>
      <c r="H129" s="10"/>
      <c r="I129" s="12"/>
      <c r="J129" s="12"/>
      <c r="K129" s="12"/>
      <c r="M129" t="e">
        <f>IF(A129=O129,TRUE,FALESE)</f>
        <v>#NAME?</v>
      </c>
      <c r="O129" s="3"/>
      <c r="P129" s="1"/>
      <c r="Q129" s="1"/>
      <c r="R129" s="1"/>
      <c r="S129" s="26"/>
      <c r="T129" s="15"/>
      <c r="U129" s="10"/>
      <c r="V129" s="10"/>
      <c r="W129" s="12"/>
      <c r="X129" s="12"/>
      <c r="Y129" s="12"/>
    </row>
    <row r="130" spans="1:25" x14ac:dyDescent="0.4">
      <c r="A130" s="3" t="s">
        <v>23</v>
      </c>
      <c r="B130" s="1" t="s">
        <v>258</v>
      </c>
      <c r="C130" s="1" t="s">
        <v>349</v>
      </c>
      <c r="D130" s="1" t="s">
        <v>206</v>
      </c>
      <c r="E130" s="14" t="s">
        <v>207</v>
      </c>
      <c r="F130" s="15" t="s">
        <v>115</v>
      </c>
      <c r="G130" s="10"/>
      <c r="H130" s="10"/>
      <c r="I130" s="12"/>
      <c r="J130" s="12"/>
      <c r="K130" s="12"/>
      <c r="M130" t="e">
        <f>IF(A130=O130,TRUE,FALESE)</f>
        <v>#NAME?</v>
      </c>
      <c r="O130" s="3"/>
      <c r="P130" s="1"/>
      <c r="Q130" s="1"/>
      <c r="R130" s="1"/>
      <c r="S130" s="26"/>
      <c r="T130" s="11"/>
      <c r="U130" s="10"/>
      <c r="V130" s="10"/>
      <c r="W130" s="12"/>
      <c r="X130" s="12"/>
      <c r="Y130" s="12"/>
    </row>
    <row r="131" spans="1:25" x14ac:dyDescent="0.4">
      <c r="A131" s="3" t="s">
        <v>99</v>
      </c>
      <c r="B131" s="1" t="s">
        <v>100</v>
      </c>
      <c r="C131" s="1" t="s">
        <v>318</v>
      </c>
      <c r="D131" s="1" t="s">
        <v>101</v>
      </c>
      <c r="E131" s="14" t="s">
        <v>102</v>
      </c>
      <c r="F131" s="15" t="s">
        <v>183</v>
      </c>
      <c r="G131" s="10">
        <v>51</v>
      </c>
      <c r="H131" s="10"/>
      <c r="I131" s="12"/>
      <c r="J131" s="12"/>
      <c r="K131" s="13">
        <v>1</v>
      </c>
      <c r="M131" t="e">
        <f>IF(A131=O131,TRUE,FALESE)</f>
        <v>#NAME?</v>
      </c>
      <c r="O131" s="3"/>
      <c r="P131" s="1"/>
      <c r="Q131" s="1"/>
      <c r="R131" s="1"/>
      <c r="S131" s="14"/>
      <c r="T131" s="11"/>
      <c r="U131" s="10"/>
      <c r="V131" s="10"/>
      <c r="W131" s="12"/>
      <c r="X131" s="12"/>
      <c r="Y131" s="12"/>
    </row>
    <row r="132" spans="1:25" x14ac:dyDescent="0.4">
      <c r="A132" s="3" t="s">
        <v>285</v>
      </c>
      <c r="B132" s="16" t="s">
        <v>230</v>
      </c>
      <c r="C132" s="16" t="s">
        <v>347</v>
      </c>
      <c r="D132" s="16" t="s">
        <v>208</v>
      </c>
      <c r="E132" s="17" t="s">
        <v>209</v>
      </c>
      <c r="F132" s="15" t="s">
        <v>114</v>
      </c>
      <c r="G132" s="10"/>
      <c r="H132" s="10"/>
      <c r="I132" s="12"/>
      <c r="J132" s="12"/>
      <c r="K132" s="23">
        <v>1</v>
      </c>
      <c r="M132" t="e">
        <f>IF(A132=O132,TRUE,FALESE)</f>
        <v>#NAME?</v>
      </c>
      <c r="O132" s="4"/>
      <c r="P132" s="4"/>
      <c r="Q132" s="4"/>
      <c r="R132" s="4"/>
      <c r="S132" s="37"/>
      <c r="T132" s="38"/>
      <c r="U132" s="39"/>
      <c r="V132" s="39"/>
      <c r="W132" s="22"/>
      <c r="X132" s="22"/>
      <c r="Y132" s="22"/>
    </row>
    <row r="133" spans="1:25" x14ac:dyDescent="0.4">
      <c r="A133" s="3" t="s">
        <v>52</v>
      </c>
      <c r="B133" s="1" t="s">
        <v>211</v>
      </c>
      <c r="C133" s="1" t="s">
        <v>212</v>
      </c>
      <c r="D133" s="1"/>
      <c r="E133" s="14"/>
      <c r="F133" s="15"/>
      <c r="G133" s="10"/>
      <c r="H133" s="10"/>
      <c r="I133" s="12"/>
      <c r="J133" s="12"/>
      <c r="K133" s="12"/>
      <c r="T133" s="7"/>
    </row>
    <row r="134" spans="1:25" x14ac:dyDescent="0.4">
      <c r="A134" s="3" t="s">
        <v>81</v>
      </c>
      <c r="B134" s="24" t="s">
        <v>277</v>
      </c>
      <c r="C134" s="63" t="s">
        <v>359</v>
      </c>
      <c r="D134" s="16" t="s">
        <v>210</v>
      </c>
      <c r="E134" s="17"/>
      <c r="F134" s="15"/>
      <c r="G134" s="10"/>
      <c r="H134" s="10"/>
      <c r="I134" s="12"/>
      <c r="J134" s="12"/>
      <c r="K134" s="12"/>
      <c r="T134" s="7"/>
    </row>
    <row r="135" spans="1:25" x14ac:dyDescent="0.4">
      <c r="A135" s="67" t="s">
        <v>73</v>
      </c>
      <c r="B135" s="68" t="s">
        <v>275</v>
      </c>
      <c r="C135" s="68" t="s">
        <v>348</v>
      </c>
      <c r="D135" s="68" t="s">
        <v>192</v>
      </c>
      <c r="E135" s="69"/>
      <c r="F135" s="70"/>
      <c r="G135" s="71"/>
      <c r="H135" s="71"/>
      <c r="I135" s="72"/>
      <c r="J135" s="72"/>
      <c r="K135" s="72"/>
      <c r="T135" s="7"/>
    </row>
    <row r="136" spans="1:25" x14ac:dyDescent="0.4">
      <c r="A136" s="4" t="s">
        <v>97</v>
      </c>
      <c r="B136" s="4"/>
      <c r="C136" s="4"/>
      <c r="D136" s="4"/>
      <c r="E136" s="37"/>
      <c r="F136" s="38"/>
      <c r="G136" s="39"/>
      <c r="H136" s="39"/>
      <c r="I136" s="22"/>
      <c r="J136" s="22"/>
      <c r="K136" s="22"/>
      <c r="T136" s="7"/>
    </row>
    <row r="137" spans="1:25" x14ac:dyDescent="0.4">
      <c r="F137" s="7"/>
      <c r="T137" s="7"/>
    </row>
    <row r="138" spans="1:25" x14ac:dyDescent="0.4">
      <c r="F138" s="7"/>
      <c r="T138" s="7"/>
    </row>
    <row r="139" spans="1:25" x14ac:dyDescent="0.4">
      <c r="F139" s="7"/>
      <c r="T139" s="7"/>
    </row>
    <row r="140" spans="1:25" x14ac:dyDescent="0.4">
      <c r="F140" s="7"/>
      <c r="T140" s="7"/>
    </row>
    <row r="141" spans="1:25" x14ac:dyDescent="0.4">
      <c r="F141" s="7"/>
      <c r="T141" s="7"/>
    </row>
    <row r="142" spans="1:25" x14ac:dyDescent="0.4">
      <c r="F142" s="7"/>
      <c r="T142" s="7"/>
    </row>
    <row r="143" spans="1:25" x14ac:dyDescent="0.4">
      <c r="F143" s="7"/>
      <c r="T143" s="7"/>
    </row>
    <row r="144" spans="1:25" x14ac:dyDescent="0.4">
      <c r="F144" s="7"/>
      <c r="T144" s="7"/>
    </row>
    <row r="145" spans="6:20" x14ac:dyDescent="0.4">
      <c r="F145" s="7"/>
      <c r="T145" s="7"/>
    </row>
    <row r="146" spans="6:20" x14ac:dyDescent="0.4">
      <c r="F146" s="7"/>
      <c r="T146" s="7"/>
    </row>
    <row r="147" spans="6:20" x14ac:dyDescent="0.4">
      <c r="F147" s="7"/>
      <c r="T147" s="7"/>
    </row>
    <row r="148" spans="6:20" x14ac:dyDescent="0.4">
      <c r="F148" s="7"/>
      <c r="T148" s="7"/>
    </row>
    <row r="149" spans="6:20" x14ac:dyDescent="0.4">
      <c r="F149" s="7"/>
      <c r="T149" s="7"/>
    </row>
    <row r="150" spans="6:20" x14ac:dyDescent="0.4">
      <c r="F150" s="7"/>
      <c r="T150" s="7"/>
    </row>
    <row r="151" spans="6:20" x14ac:dyDescent="0.4">
      <c r="F151" s="7"/>
      <c r="T151" s="7"/>
    </row>
    <row r="152" spans="6:20" x14ac:dyDescent="0.4">
      <c r="F152" s="7"/>
      <c r="T152" s="7"/>
    </row>
    <row r="153" spans="6:20" x14ac:dyDescent="0.4">
      <c r="F153" s="7"/>
      <c r="T153" s="7"/>
    </row>
  </sheetData>
  <autoFilter ref="A1:K1">
    <sortState ref="A2:K133">
      <sortCondition ref="E1"/>
    </sortState>
  </autoFilter>
  <phoneticPr fontId="1"/>
  <hyperlinks>
    <hyperlink ref="A12" r:id="rId1"/>
    <hyperlink ref="A75" r:id="rId2"/>
    <hyperlink ref="A33" r:id="rId3"/>
    <hyperlink ref="A95" r:id="rId4"/>
    <hyperlink ref="A72" r:id="rId5"/>
    <hyperlink ref="A102" r:id="rId6"/>
    <hyperlink ref="A45" r:id="rId7"/>
    <hyperlink ref="A127" r:id="rId8"/>
    <hyperlink ref="A17" r:id="rId9"/>
    <hyperlink ref="A58" r:id="rId10"/>
    <hyperlink ref="A79" r:id="rId11"/>
    <hyperlink ref="A98" r:id="rId12" display="20180827_TOOLING LIST_KS-400B5"/>
    <hyperlink ref="A26" r:id="rId13"/>
    <hyperlink ref="A27" r:id="rId14"/>
    <hyperlink ref="A25" r:id="rId15"/>
    <hyperlink ref="A35" r:id="rId16"/>
    <hyperlink ref="A59" r:id="rId17"/>
    <hyperlink ref="A82" r:id="rId18"/>
    <hyperlink ref="A107" r:id="rId19"/>
    <hyperlink ref="A40" r:id="rId20"/>
    <hyperlink ref="A8" r:id="rId21"/>
    <hyperlink ref="A11" r:id="rId22"/>
    <hyperlink ref="A29" r:id="rId23"/>
    <hyperlink ref="A94" r:id="rId24"/>
    <hyperlink ref="A105" r:id="rId25"/>
    <hyperlink ref="A123" r:id="rId26"/>
    <hyperlink ref="A24" r:id="rId27"/>
    <hyperlink ref="A130" r:id="rId28"/>
    <hyperlink ref="A44" r:id="rId29"/>
    <hyperlink ref="A46" r:id="rId30"/>
    <hyperlink ref="A42" r:id="rId31"/>
    <hyperlink ref="A43" r:id="rId32"/>
    <hyperlink ref="A41" r:id="rId33"/>
    <hyperlink ref="A39" r:id="rId34"/>
    <hyperlink ref="A77" r:id="rId35"/>
    <hyperlink ref="A126" r:id="rId36"/>
    <hyperlink ref="A37" r:id="rId37"/>
    <hyperlink ref="A38" r:id="rId38"/>
    <hyperlink ref="A85" r:id="rId39" display="20200908_リベッティングマシン用治具(4843-XX-XXXX)リスト"/>
    <hyperlink ref="A78" r:id="rId40"/>
    <hyperlink ref="A97" r:id="rId41"/>
    <hyperlink ref="A76" r:id="rId42"/>
    <hyperlink ref="A124" r:id="rId43"/>
    <hyperlink ref="A5" r:id="rId44"/>
    <hyperlink ref="A7" r:id="rId45"/>
    <hyperlink ref="A21" r:id="rId46"/>
    <hyperlink ref="A73" r:id="rId47"/>
    <hyperlink ref="A47" r:id="rId48"/>
    <hyperlink ref="A3" r:id="rId49"/>
    <hyperlink ref="A51" r:id="rId50"/>
    <hyperlink ref="A52" r:id="rId51"/>
    <hyperlink ref="A50" r:id="rId52"/>
    <hyperlink ref="A23" r:id="rId53"/>
    <hyperlink ref="A96" r:id="rId54"/>
    <hyperlink ref="A87" r:id="rId55"/>
    <hyperlink ref="A88" r:id="rId56"/>
    <hyperlink ref="A133" r:id="rId57"/>
    <hyperlink ref="A65" r:id="rId58"/>
    <hyperlink ref="A64" r:id="rId59"/>
    <hyperlink ref="A63" r:id="rId60"/>
    <hyperlink ref="A99" r:id="rId61"/>
    <hyperlink ref="A57" r:id="rId62"/>
    <hyperlink ref="A36" r:id="rId63"/>
    <hyperlink ref="A55" r:id="rId64"/>
    <hyperlink ref="A106" r:id="rId65"/>
    <hyperlink ref="A74" r:id="rId66"/>
    <hyperlink ref="A109" r:id="rId67"/>
    <hyperlink ref="A114" r:id="rId68"/>
    <hyperlink ref="A108" r:id="rId69" display="20050325_揺動トルク測定冶具設計基準"/>
    <hyperlink ref="A119" r:id="rId70"/>
    <hyperlink ref="A91" r:id="rId71"/>
    <hyperlink ref="A100" r:id="rId72"/>
    <hyperlink ref="A121" r:id="rId73"/>
    <hyperlink ref="A116" r:id="rId74"/>
    <hyperlink ref="A118" r:id="rId75"/>
    <hyperlink ref="A117" r:id="rId76"/>
    <hyperlink ref="A110" r:id="rId77"/>
    <hyperlink ref="A113" r:id="rId78"/>
    <hyperlink ref="A112" r:id="rId79"/>
    <hyperlink ref="A111" r:id="rId80"/>
    <hyperlink ref="A115" r:id="rId81"/>
    <hyperlink ref="A135" r:id="rId82"/>
    <hyperlink ref="A20" r:id="rId83"/>
    <hyperlink ref="A81" r:id="rId84"/>
    <hyperlink ref="A89" r:id="rId85"/>
    <hyperlink ref="A90" r:id="rId86"/>
    <hyperlink ref="A84" r:id="rId87"/>
    <hyperlink ref="A101" r:id="rId88"/>
    <hyperlink ref="A22" r:id="rId89"/>
    <hyperlink ref="A13" r:id="rId90"/>
    <hyperlink ref="A132" r:id="rId91"/>
    <hyperlink ref="A134" r:id="rId92"/>
    <hyperlink ref="A16" r:id="rId93"/>
    <hyperlink ref="A80" r:id="rId94"/>
    <hyperlink ref="A83" r:id="rId95"/>
    <hyperlink ref="A122" r:id="rId96"/>
    <hyperlink ref="A9" r:id="rId97"/>
    <hyperlink ref="A28" r:id="rId98"/>
    <hyperlink ref="A32" r:id="rId99"/>
    <hyperlink ref="A30" r:id="rId100"/>
    <hyperlink ref="A70" r:id="rId101" display="20171219_ミネロン治具_TOOLING LIST"/>
    <hyperlink ref="A67" r:id="rId102" display="3DプリンターLIST"/>
    <hyperlink ref="A104" r:id="rId103"/>
    <hyperlink ref="A68" r:id="rId104"/>
    <hyperlink ref="A69" r:id="rId105"/>
    <hyperlink ref="A93" r:id="rId106"/>
    <hyperlink ref="A120" r:id="rId107"/>
    <hyperlink ref="A34" r:id="rId108"/>
    <hyperlink ref="A128" r:id="rId109"/>
    <hyperlink ref="A129" r:id="rId110"/>
    <hyperlink ref="A131" r:id="rId111"/>
    <hyperlink ref="A19" r:id="rId112"/>
    <hyperlink ref="A66" r:id="rId113"/>
    <hyperlink ref="A4" r:id="rId114"/>
    <hyperlink ref="A2" r:id="rId115"/>
    <hyperlink ref="A6" r:id="rId116"/>
    <hyperlink ref="A53" r:id="rId117"/>
    <hyperlink ref="A62" r:id="rId118"/>
    <hyperlink ref="A71" r:id="rId119"/>
    <hyperlink ref="A92" r:id="rId120"/>
    <hyperlink ref="A10" r:id="rId121"/>
    <hyperlink ref="A15" r:id="rId122"/>
    <hyperlink ref="A14" r:id="rId123"/>
    <hyperlink ref="A86" r:id="rId124"/>
    <hyperlink ref="A61" r:id="rId125"/>
    <hyperlink ref="A103" r:id="rId126"/>
    <hyperlink ref="A125" r:id="rId127"/>
    <hyperlink ref="A56" r:id="rId128"/>
    <hyperlink ref="A18" r:id="rId129"/>
    <hyperlink ref="A31" r:id="rId130"/>
    <hyperlink ref="A60" r:id="rId131" display="クイル"/>
    <hyperlink ref="A54" r:id="rId132" display="クイル"/>
  </hyperlinks>
  <pageMargins left="0.7" right="0.7" top="0.75" bottom="0.75" header="0.3" footer="0.3"/>
  <pageSetup paperSize="9" orientation="portrait" r:id="rId13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MinebeaMitsumi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cp:lastPrinted>2024-03-06T08:45:35Z</cp:lastPrinted>
  <dcterms:created xsi:type="dcterms:W3CDTF">2023-01-18T07:34:54Z</dcterms:created>
  <dcterms:modified xsi:type="dcterms:W3CDTF">2026-08-21T00:58:28Z</dcterms:modified>
</cp:coreProperties>
</file>