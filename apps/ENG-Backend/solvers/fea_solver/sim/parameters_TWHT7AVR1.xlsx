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M:\#JOB\99_setting\"/>
    </mc:Choice>
  </mc:AlternateContent>
  <bookViews>
    <workbookView xWindow="0" yWindow="0" windowWidth="10425" windowHeight="1965" activeTab="3"/>
  </bookViews>
  <sheets>
    <sheet name="parameters" sheetId="1" r:id="rId1"/>
    <sheet name="material" sheetId="2" r:id="rId2"/>
    <sheet name="timestep" sheetId="3" r:id="rId3"/>
    <sheet name="setting" sheetId="4" r:id="rId4"/>
  </sheets>
  <calcPr calcId="162913"/>
</workbook>
</file>

<file path=xl/calcChain.xml><?xml version="1.0" encoding="utf-8"?>
<calcChain xmlns="http://schemas.openxmlformats.org/spreadsheetml/2006/main">
  <c r="B6" i="4" l="1"/>
  <c r="B16" i="1" l="1"/>
  <c r="B15" i="1"/>
  <c r="K4" i="4" l="1"/>
  <c r="J4" i="4"/>
  <c r="I4" i="4"/>
  <c r="G4" i="4"/>
  <c r="H4" i="4"/>
  <c r="B2" i="1"/>
  <c r="B3" i="1"/>
  <c r="B4" i="1"/>
  <c r="B5" i="1"/>
  <c r="B6" i="1"/>
  <c r="B7" i="1"/>
  <c r="B8" i="1"/>
  <c r="B9" i="1"/>
  <c r="B10" i="1"/>
  <c r="B11" i="1"/>
  <c r="B12" i="1"/>
  <c r="B13" i="1"/>
  <c r="B17" i="1"/>
  <c r="B18" i="1"/>
  <c r="B19" i="1"/>
  <c r="B20" i="1"/>
  <c r="B21" i="1"/>
  <c r="B22" i="1"/>
  <c r="B23" i="1"/>
  <c r="B26" i="1"/>
  <c r="B27" i="1"/>
  <c r="B28" i="1"/>
  <c r="B29" i="1"/>
  <c r="B30" i="1"/>
  <c r="B31" i="1"/>
  <c r="B32" i="1"/>
  <c r="B33" i="1"/>
  <c r="B24" i="1"/>
  <c r="B4" i="4" l="1"/>
  <c r="B5" i="4"/>
  <c r="B3" i="4"/>
</calcChain>
</file>

<file path=xl/sharedStrings.xml><?xml version="1.0" encoding="utf-8"?>
<sst xmlns="http://schemas.openxmlformats.org/spreadsheetml/2006/main" count="248" uniqueCount="242">
  <si>
    <t>Parameter</t>
  </si>
  <si>
    <t>Value</t>
  </si>
  <si>
    <t>Detail</t>
  </si>
  <si>
    <t>file_name</t>
  </si>
  <si>
    <t>ball_mesh_size</t>
  </si>
  <si>
    <t>gp_mesh_size</t>
  </si>
  <si>
    <t>GUIDE PIN MESHING SIZE</t>
  </si>
  <si>
    <t>SD_sim</t>
  </si>
  <si>
    <t>SIM THICKNESS(FIRST ITERATION)</t>
  </si>
  <si>
    <t>D0</t>
  </si>
  <si>
    <t>RACE OD</t>
  </si>
  <si>
    <t>H0</t>
  </si>
  <si>
    <t>RACE WIDTH</t>
  </si>
  <si>
    <t>B0</t>
  </si>
  <si>
    <t>RACE ID</t>
  </si>
  <si>
    <t>A0</t>
  </si>
  <si>
    <t>RACE CHAMFER DIA</t>
  </si>
  <si>
    <t>A</t>
  </si>
  <si>
    <t>RACE CHAMFER ANGLE</t>
  </si>
  <si>
    <t>X1</t>
  </si>
  <si>
    <t>RACE OD CHAMFER RADIUS</t>
  </si>
  <si>
    <t>X2</t>
  </si>
  <si>
    <t>RACE OD CHAMFER HORIZONTAL LENGTH</t>
  </si>
  <si>
    <t>X3</t>
  </si>
  <si>
    <t>RACE OD CHAMFER VERTICAL LENGTH</t>
  </si>
  <si>
    <t>DR</t>
  </si>
  <si>
    <t>BALL OD</t>
  </si>
  <si>
    <t>W</t>
  </si>
  <si>
    <t>BALL WIDTH</t>
  </si>
  <si>
    <t>B</t>
  </si>
  <si>
    <t>BALL ID</t>
  </si>
  <si>
    <t>C</t>
  </si>
  <si>
    <t>BALL ID CHAMFER</t>
  </si>
  <si>
    <t>B_SD</t>
  </si>
  <si>
    <t>DD</t>
  </si>
  <si>
    <t>D_SD</t>
  </si>
  <si>
    <t>D</t>
  </si>
  <si>
    <t>A_SD</t>
  </si>
  <si>
    <t>C_SD</t>
  </si>
  <si>
    <t>SD SPH DIA OFFSET</t>
  </si>
  <si>
    <t>B_GP</t>
  </si>
  <si>
    <t>GUIDE PIN OD</t>
  </si>
  <si>
    <t>TD_ats</t>
  </si>
  <si>
    <t>TURNING DEPTH 1STEP</t>
  </si>
  <si>
    <t>TDfin_ats</t>
  </si>
  <si>
    <t>FINAL TURNING DEPTH (TDfin_ats &gt; race_mesh_size)</t>
  </si>
  <si>
    <t>HR_ats_or</t>
  </si>
  <si>
    <t>FACE TURNING INITIAL LOCATION(H0/2*HR_ats_or)</t>
  </si>
  <si>
    <t>D0_ats</t>
  </si>
  <si>
    <t>SPH TURNING OD</t>
  </si>
  <si>
    <t>HR_ats</t>
  </si>
  <si>
    <t>SPH TURNING WIDTH</t>
  </si>
  <si>
    <t>CV</t>
  </si>
  <si>
    <t>CHAMFER or V-GROOVE</t>
  </si>
  <si>
    <t>C_ats</t>
  </si>
  <si>
    <t>X1_ats</t>
  </si>
  <si>
    <t>V-GROOVE WIDTH</t>
  </si>
  <si>
    <t>PCD_ats</t>
  </si>
  <si>
    <t>V-GROOVE PCD</t>
  </si>
  <si>
    <t>P1_ats</t>
  </si>
  <si>
    <t>V-GROOVE DEPTH</t>
  </si>
  <si>
    <t>R1_ats</t>
  </si>
  <si>
    <t>V-GROOVE BOTTOM R</t>
  </si>
  <si>
    <t>A1_ats</t>
  </si>
  <si>
    <t>V-GROOVE INSIDE ANGLE</t>
  </si>
  <si>
    <t>A2_ats</t>
  </si>
  <si>
    <t>V-GROOVE OUTSIDE ANGLE</t>
  </si>
  <si>
    <t>D0R_ats</t>
  </si>
  <si>
    <t>OD FILET R</t>
  </si>
  <si>
    <t>part</t>
  </si>
  <si>
    <t>material</t>
  </si>
  <si>
    <t>race</t>
  </si>
  <si>
    <t>ball</t>
  </si>
  <si>
    <t>gp</t>
  </si>
  <si>
    <t>time</t>
  </si>
  <si>
    <t>location</t>
  </si>
  <si>
    <t>SB_tgt</t>
    <phoneticPr fontId="1"/>
  </si>
  <si>
    <t>TARGET SET BACK</t>
    <phoneticPr fontId="1"/>
  </si>
  <si>
    <t>RACE MESHING SIZE [mm]</t>
    <phoneticPr fontId="1"/>
  </si>
  <si>
    <t>BALL MESHING SIZE [mm]</t>
    <phoneticPr fontId="1"/>
  </si>
  <si>
    <t>レースのメッシュサイズ [mm]</t>
    <phoneticPr fontId="1"/>
  </si>
  <si>
    <t>ボールのメッシュサイズ [mm]</t>
    <phoneticPr fontId="1"/>
  </si>
  <si>
    <t>ガイドピンのメッシュサイズ [mm]</t>
    <phoneticPr fontId="1"/>
  </si>
  <si>
    <t>シムの厚さ [mm]</t>
    <rPh sb="3" eb="4">
      <t>アツ</t>
    </rPh>
    <phoneticPr fontId="1"/>
  </si>
  <si>
    <t>組切削の最終パスの切り込み量 [mm]</t>
    <rPh sb="0" eb="1">
      <t>クミ</t>
    </rPh>
    <rPh sb="1" eb="3">
      <t>セッサク</t>
    </rPh>
    <rPh sb="4" eb="6">
      <t>サイシュウ</t>
    </rPh>
    <rPh sb="9" eb="10">
      <t>キ</t>
    </rPh>
    <rPh sb="11" eb="12">
      <t>コ</t>
    </rPh>
    <rPh sb="13" eb="14">
      <t>リョウ</t>
    </rPh>
    <phoneticPr fontId="1"/>
  </si>
  <si>
    <t>組切削の1パス当たりの切り込み量 [mm]</t>
    <rPh sb="0" eb="1">
      <t>クミ</t>
    </rPh>
    <rPh sb="1" eb="3">
      <t>セッサク</t>
    </rPh>
    <rPh sb="7" eb="8">
      <t>ア</t>
    </rPh>
    <rPh sb="11" eb="12">
      <t>キ</t>
    </rPh>
    <rPh sb="13" eb="14">
      <t>コ</t>
    </rPh>
    <rPh sb="15" eb="16">
      <t>リョウ</t>
    </rPh>
    <phoneticPr fontId="1"/>
  </si>
  <si>
    <t>組切削(端面)の初期パスの開始位置補正係数</t>
    <rPh sb="0" eb="1">
      <t>クミ</t>
    </rPh>
    <rPh sb="1" eb="3">
      <t>セッサク</t>
    </rPh>
    <rPh sb="4" eb="6">
      <t>タンメン</t>
    </rPh>
    <rPh sb="8" eb="10">
      <t>ショキ</t>
    </rPh>
    <rPh sb="13" eb="17">
      <t>カイシイチ</t>
    </rPh>
    <rPh sb="17" eb="21">
      <t>ホセイケイスウ</t>
    </rPh>
    <phoneticPr fontId="1"/>
  </si>
  <si>
    <t>解析ファイル名</t>
    <rPh sb="0" eb="2">
      <t>カイセキ</t>
    </rPh>
    <rPh sb="6" eb="7">
      <t>メイ</t>
    </rPh>
    <phoneticPr fontId="1"/>
  </si>
  <si>
    <t>ANALYSIS FILE NAME</t>
    <phoneticPr fontId="1"/>
  </si>
  <si>
    <t>詳細</t>
    <rPh sb="0" eb="2">
      <t>ショウサイ</t>
    </rPh>
    <phoneticPr fontId="1"/>
  </si>
  <si>
    <t>swage_analysis</t>
    <phoneticPr fontId="1"/>
  </si>
  <si>
    <t>詳細</t>
    <rPh sb="0" eb="2">
      <t>ショウサイ</t>
    </rPh>
    <phoneticPr fontId="1"/>
  </si>
  <si>
    <t>レース外径</t>
    <rPh sb="3" eb="5">
      <t>ガイケイ</t>
    </rPh>
    <phoneticPr fontId="1"/>
  </si>
  <si>
    <t>レース巾</t>
    <rPh sb="3" eb="4">
      <t>ハバ</t>
    </rPh>
    <phoneticPr fontId="1"/>
  </si>
  <si>
    <t>レース内径</t>
    <rPh sb="3" eb="5">
      <t>ナイケイ</t>
    </rPh>
    <phoneticPr fontId="1"/>
  </si>
  <si>
    <t>レース内径面取り径</t>
    <rPh sb="3" eb="7">
      <t>ナイケイメント</t>
    </rPh>
    <rPh sb="8" eb="9">
      <t>ケイ</t>
    </rPh>
    <phoneticPr fontId="1"/>
  </si>
  <si>
    <t>レース内径面取り角度</t>
    <rPh sb="3" eb="7">
      <t>ナイケイメント</t>
    </rPh>
    <rPh sb="8" eb="10">
      <t>カクド</t>
    </rPh>
    <phoneticPr fontId="1"/>
  </si>
  <si>
    <t>レース外径面取りフィレットR</t>
    <rPh sb="3" eb="7">
      <t>ガイケイメント</t>
    </rPh>
    <phoneticPr fontId="1"/>
  </si>
  <si>
    <t>レース外径面取り水平長</t>
    <rPh sb="3" eb="7">
      <t>ガイケイメント</t>
    </rPh>
    <rPh sb="8" eb="10">
      <t>スイヘイ</t>
    </rPh>
    <rPh sb="10" eb="11">
      <t>チョウ</t>
    </rPh>
    <phoneticPr fontId="1"/>
  </si>
  <si>
    <t>レース外径面取り垂直長</t>
    <rPh sb="3" eb="7">
      <t>ガイケイメント</t>
    </rPh>
    <rPh sb="8" eb="10">
      <t>スイチョク</t>
    </rPh>
    <rPh sb="10" eb="11">
      <t>チョウ</t>
    </rPh>
    <phoneticPr fontId="1"/>
  </si>
  <si>
    <t>ボール球径</t>
    <rPh sb="3" eb="5">
      <t>キュウケイ</t>
    </rPh>
    <phoneticPr fontId="1"/>
  </si>
  <si>
    <t>ボール巾</t>
    <rPh sb="3" eb="4">
      <t>ハバ</t>
    </rPh>
    <phoneticPr fontId="1"/>
  </si>
  <si>
    <t>ボール内径</t>
    <rPh sb="3" eb="5">
      <t>ナイケイ</t>
    </rPh>
    <phoneticPr fontId="1"/>
  </si>
  <si>
    <t>スウェジダイカップ球径</t>
    <rPh sb="9" eb="11">
      <t>キュウケイ</t>
    </rPh>
    <phoneticPr fontId="1"/>
  </si>
  <si>
    <t>スウェジダイ口径</t>
    <rPh sb="6" eb="8">
      <t>クチケイ</t>
    </rPh>
    <phoneticPr fontId="1"/>
  </si>
  <si>
    <t>スウェジダイ内径 (ダイピン外径はめ合い部)</t>
    <rPh sb="6" eb="8">
      <t>ナイケイ</t>
    </rPh>
    <rPh sb="14" eb="16">
      <t>ガイケイ</t>
    </rPh>
    <rPh sb="18" eb="19">
      <t>ア</t>
    </rPh>
    <rPh sb="20" eb="21">
      <t>ブ</t>
    </rPh>
    <phoneticPr fontId="1"/>
  </si>
  <si>
    <t>スウェジダイカップ球径オフセット</t>
    <rPh sb="9" eb="11">
      <t>キュウケイ</t>
    </rPh>
    <phoneticPr fontId="1"/>
  </si>
  <si>
    <t>ガイドピン外径</t>
    <rPh sb="5" eb="7">
      <t>ガイケイ</t>
    </rPh>
    <phoneticPr fontId="1"/>
  </si>
  <si>
    <t>CHAMFER DEPTH</t>
    <phoneticPr fontId="1"/>
  </si>
  <si>
    <t>外径面取り深さ</t>
    <rPh sb="0" eb="4">
      <t>ガイケイメント</t>
    </rPh>
    <rPh sb="5" eb="6">
      <t>フカ</t>
    </rPh>
    <phoneticPr fontId="1"/>
  </si>
  <si>
    <t>V溝巾</t>
    <rPh sb="1" eb="2">
      <t>ミゾ</t>
    </rPh>
    <rPh sb="2" eb="3">
      <t>ハバ</t>
    </rPh>
    <phoneticPr fontId="1"/>
  </si>
  <si>
    <t>V溝PCD</t>
    <rPh sb="1" eb="2">
      <t>ミゾ</t>
    </rPh>
    <phoneticPr fontId="1"/>
  </si>
  <si>
    <t>V溝深さ</t>
    <rPh sb="1" eb="2">
      <t>ミゾ</t>
    </rPh>
    <rPh sb="2" eb="3">
      <t>フカ</t>
    </rPh>
    <phoneticPr fontId="1"/>
  </si>
  <si>
    <t>V溝底R</t>
    <rPh sb="1" eb="2">
      <t>ミゾ</t>
    </rPh>
    <rPh sb="2" eb="3">
      <t>ソコ</t>
    </rPh>
    <phoneticPr fontId="1"/>
  </si>
  <si>
    <t>V溝内側角度</t>
    <rPh sb="1" eb="2">
      <t>ミゾ</t>
    </rPh>
    <rPh sb="2" eb="4">
      <t>ウチガワ</t>
    </rPh>
    <rPh sb="4" eb="6">
      <t>カクド</t>
    </rPh>
    <phoneticPr fontId="1"/>
  </si>
  <si>
    <t>V溝外側角度</t>
    <rPh sb="1" eb="2">
      <t>ミゾ</t>
    </rPh>
    <rPh sb="2" eb="4">
      <t>ソトガワ</t>
    </rPh>
    <rPh sb="4" eb="6">
      <t>カクド</t>
    </rPh>
    <phoneticPr fontId="1"/>
  </si>
  <si>
    <t>V溝タイプ外径面取りR</t>
    <rPh sb="1" eb="2">
      <t>ミゾ</t>
    </rPh>
    <rPh sb="5" eb="7">
      <t>ガイケイ</t>
    </rPh>
    <rPh sb="7" eb="9">
      <t>メント</t>
    </rPh>
    <phoneticPr fontId="1"/>
  </si>
  <si>
    <t>狙いセットバック値</t>
    <rPh sb="0" eb="1">
      <t>ネラ</t>
    </rPh>
    <rPh sb="8" eb="9">
      <t>チ</t>
    </rPh>
    <phoneticPr fontId="1"/>
  </si>
  <si>
    <t>CATIA Parameter</t>
    <phoneticPr fontId="1"/>
  </si>
  <si>
    <t>oD_2_1_1(mm)</t>
  </si>
  <si>
    <t>w_2_1_1(mm)</t>
  </si>
  <si>
    <t>iD_2_1_1(mm)</t>
  </si>
  <si>
    <t>iC_2_1_1(mm)</t>
  </si>
  <si>
    <t>iCA_2_1_1(deg)</t>
  </si>
  <si>
    <t>oCR_2_1_1(mm)</t>
  </si>
  <si>
    <t>oC_2_1_1(mm)</t>
  </si>
  <si>
    <t>oC_2_2_1(mm)</t>
  </si>
  <si>
    <t>スフェリカル外径</t>
    <rPh sb="6" eb="8">
      <t>ガイケイ</t>
    </rPh>
    <phoneticPr fontId="1"/>
  </si>
  <si>
    <t>スフェリカル巾</t>
    <rPh sb="6" eb="7">
      <t>ハバ</t>
    </rPh>
    <phoneticPr fontId="1"/>
  </si>
  <si>
    <t>oD_4_1_3(mm)</t>
  </si>
  <si>
    <t>w_4_1_1(mm)</t>
  </si>
  <si>
    <t>pcGrW_4_1_1(mm)</t>
  </si>
  <si>
    <t>pcD_4_1_1(mm)</t>
  </si>
  <si>
    <t>pcGrD_4_1_1(mm)</t>
  </si>
  <si>
    <t>pcGrR_4_1_1(mm)</t>
  </si>
  <si>
    <t>PcGrA_4_2(deg)</t>
  </si>
  <si>
    <t>PcGrA_4_1(deg)</t>
  </si>
  <si>
    <t>oC_4_1_1(mm)</t>
  </si>
  <si>
    <t>IC_4_1(mm)</t>
  </si>
  <si>
    <t>sphD_3_1_2(mm)</t>
  </si>
  <si>
    <t>w_3_1_1(mm)</t>
  </si>
  <si>
    <t>iD_3_1_2(mm)</t>
  </si>
  <si>
    <t>iC_3_1_2</t>
  </si>
  <si>
    <t>CATIA Value</t>
    <phoneticPr fontId="1"/>
  </si>
  <si>
    <t>C</t>
    <phoneticPr fontId="1"/>
  </si>
  <si>
    <t>small</t>
    <phoneticPr fontId="1"/>
  </si>
  <si>
    <t>large</t>
    <phoneticPr fontId="1"/>
  </si>
  <si>
    <t>midiam</t>
    <phoneticPr fontId="1"/>
  </si>
  <si>
    <t>ex-large</t>
    <phoneticPr fontId="1"/>
  </si>
  <si>
    <t>プリセット</t>
    <phoneticPr fontId="1"/>
  </si>
  <si>
    <t>ex-small</t>
    <phoneticPr fontId="1"/>
  </si>
  <si>
    <t>ボール内径面取り(C x.xx)</t>
    <rPh sb="3" eb="5">
      <t>ナイケイ</t>
    </rPh>
    <rPh sb="5" eb="7">
      <t>メント</t>
    </rPh>
    <phoneticPr fontId="1"/>
  </si>
  <si>
    <t>V</t>
  </si>
  <si>
    <t>race_mesh_size</t>
    <phoneticPr fontId="1"/>
  </si>
  <si>
    <t>↑選択</t>
    <rPh sb="1" eb="3">
      <t>センタク</t>
    </rPh>
    <phoneticPr fontId="1"/>
  </si>
  <si>
    <t>アダプティブリメッシュ最小要素サイズのrace_mesh_sizeに対する係数</t>
    <rPh sb="11" eb="13">
      <t>サイショウ</t>
    </rPh>
    <rPh sb="13" eb="15">
      <t>ヨウソ</t>
    </rPh>
    <rPh sb="34" eb="35">
      <t>タイ</t>
    </rPh>
    <rPh sb="37" eb="39">
      <t>ケイスウ</t>
    </rPh>
    <phoneticPr fontId="1"/>
  </si>
  <si>
    <t>ADAPTIVE REMESHING - MIN ELEMENT SIZE FACTOR</t>
    <phoneticPr fontId="1"/>
  </si>
  <si>
    <t>ADAPTIVE REMESHING - SMOOTH RATIO</t>
    <phoneticPr fontId="1"/>
  </si>
  <si>
    <t>ADAPTIVE REMESHING - TRANSITION FACTOR</t>
    <phoneticPr fontId="1"/>
  </si>
  <si>
    <t>ADAPTIVE REMESHING - FEATURE VERTICAL ANGLE</t>
    <phoneticPr fontId="1"/>
  </si>
  <si>
    <t>アダプティブリメッシュ平滑比</t>
    <rPh sb="11" eb="13">
      <t>ヘイカツ</t>
    </rPh>
    <rPh sb="13" eb="14">
      <t>ヒ</t>
    </rPh>
    <phoneticPr fontId="1"/>
  </si>
  <si>
    <t>アダプティブリメッシュ遷移係数</t>
    <rPh sb="11" eb="13">
      <t>センイ</t>
    </rPh>
    <rPh sb="13" eb="15">
      <t>ケイスウ</t>
    </rPh>
    <phoneticPr fontId="1"/>
  </si>
  <si>
    <t>アダプティブリメッシュフィーチャー頂点角度</t>
    <rPh sb="17" eb="19">
      <t>チョウテン</t>
    </rPh>
    <rPh sb="19" eb="21">
      <t>カクド</t>
    </rPh>
    <phoneticPr fontId="1"/>
  </si>
  <si>
    <t>adr_sr</t>
    <phoneticPr fontId="1"/>
  </si>
  <si>
    <t>adr_tf</t>
    <phoneticPr fontId="1"/>
  </si>
  <si>
    <t>adr_fva</t>
    <phoneticPr fontId="1"/>
  </si>
  <si>
    <t>adr_mesf</t>
    <phoneticPr fontId="1"/>
  </si>
  <si>
    <t>t_maxrec</t>
    <phoneticPr fontId="1"/>
  </si>
  <si>
    <t>t_relative_force</t>
    <phoneticPr fontId="1"/>
  </si>
  <si>
    <t>t_minforce</t>
    <phoneticPr fontId="1"/>
  </si>
  <si>
    <t>t_maxforce</t>
    <phoneticPr fontId="1"/>
  </si>
  <si>
    <t>t_relative_disp</t>
    <phoneticPr fontId="1"/>
  </si>
  <si>
    <t>t_mindisp</t>
    <phoneticPr fontId="1"/>
  </si>
  <si>
    <t>t_maxdisp</t>
    <phoneticPr fontId="1"/>
  </si>
  <si>
    <t>s_maxrec</t>
  </si>
  <si>
    <t>s_maxfraction</t>
  </si>
  <si>
    <t>s_scale_step</t>
  </si>
  <si>
    <t>s_relative_force</t>
  </si>
  <si>
    <t>s_minforce</t>
  </si>
  <si>
    <t>s_maxforce</t>
  </si>
  <si>
    <t>s_relative_disp</t>
  </si>
  <si>
    <t>s_mindisp</t>
  </si>
  <si>
    <t>s_maxdisp</t>
  </si>
  <si>
    <t>スウェジ解析設定 最大反復回数</t>
  </si>
  <si>
    <t>スウェジ解析設定 最大増分ステップ</t>
  </si>
  <si>
    <t>スウェジ解析設定 時間ステップ増加係数</t>
  </si>
  <si>
    <t>スウェジ解析設定 相対力トレランス</t>
  </si>
  <si>
    <t>スウェジ解析設定 最小反力カットオフ</t>
  </si>
  <si>
    <t>スウェジ解析設定 最大絶対残差力</t>
  </si>
  <si>
    <t>スウェジ解析設定 相対変位トレランス</t>
  </si>
  <si>
    <t>スウェジ解析設定 最小変位カットオフ</t>
  </si>
  <si>
    <t>スウェジ解析設定 最大絶対変位量</t>
  </si>
  <si>
    <t>トリム解析設定 最大反復回数</t>
  </si>
  <si>
    <t>トリム解析設定 相対力トレランス</t>
  </si>
  <si>
    <t>トリム解析設定 最小反力カットオフ</t>
  </si>
  <si>
    <t>トリム解析設定 最大絶対残差力</t>
  </si>
  <si>
    <t>トリム解析設定 相対変位トレランス</t>
  </si>
  <si>
    <t>トリム解析設定 最小変位カットオフ</t>
  </si>
  <si>
    <t>トリム解析設定 最大絶対変位量</t>
  </si>
  <si>
    <t>SWAGE ANALYSIS SETTINGS MAXIMUM NUMBER OF ITERATIONS</t>
  </si>
  <si>
    <t>SWAGE ANALYSIS SETTINGS MAXIMUM INCREMENT STEPS</t>
  </si>
  <si>
    <t>SWAGE ANALYSIS SETTINGS TIME STEP INCREMENT FACTOR</t>
  </si>
  <si>
    <t>SWAGE ANALYSIS SETTINGS RELATIVE FORCE TOLERANCE</t>
  </si>
  <si>
    <t>SWAGE ANALYSIS SETTINGS MINIMUM REACTION FORCE CUTOFF</t>
  </si>
  <si>
    <t>SWAGE ANALYSIS SETTINGS MAXIMUM ABSOLUTE RESIDUAL FORCE</t>
  </si>
  <si>
    <t>SWAGE ANALYSIS SETTINGS RELATIVE DISPLACEMENT TOLERANCE</t>
  </si>
  <si>
    <t>SWAGE ANALYSIS SETTINGS MINIMUM DISPLACEMENT CUTOFF</t>
  </si>
  <si>
    <t>SWAGE ANALYSIS SETTINGS MAXIMUM ABSOLUTE DISPLACEMENT</t>
  </si>
  <si>
    <t>TRIM ANALYSIS SETTINGS MAXIMUM NUMBER OF ITERATIONS</t>
  </si>
  <si>
    <t>TRIM ANALYSIS SETTINGS RELATIVE FORCE TOLERANCE</t>
  </si>
  <si>
    <t>TRIM ANALYSIS SETTINGS MINIMUM REACTION FORCE CUTOFF</t>
  </si>
  <si>
    <t>TRIM ANALYSIS SETTINGS MAXIMUM ABSOLUTE RESIDUAL FORCE</t>
  </si>
  <si>
    <t>TRIM ANALYSIS SETTINGS RELATIVE DISPLACEMENT TOLERANCE</t>
  </si>
  <si>
    <t>TRIM ANALYSIS SETTINGS MINIMUM DISPLACEMENT CUTOFF</t>
  </si>
  <si>
    <t>TRIM ANALYSIS SETTINGS MAXIMUM ABSOLUTE DISPLACEMENT</t>
  </si>
  <si>
    <t>Liner_type</t>
    <phoneticPr fontId="1"/>
  </si>
  <si>
    <t>liner</t>
    <phoneticPr fontId="1"/>
  </si>
  <si>
    <t>LINER TYPE OR METAL TO METAL TYPE</t>
    <phoneticPr fontId="1"/>
  </si>
  <si>
    <t>LINER</t>
  </si>
  <si>
    <t>LINER</t>
    <phoneticPr fontId="1"/>
  </si>
  <si>
    <t>METAL</t>
    <phoneticPr fontId="1"/>
  </si>
  <si>
    <t>V</t>
    <phoneticPr fontId="1"/>
  </si>
  <si>
    <t>ライナーまたはメタル/メタルタイプ</t>
    <phoneticPr fontId="1"/>
  </si>
  <si>
    <t>溝タイプ (外径面取りタイプ,またはV溝タイプ)</t>
    <rPh sb="0" eb="1">
      <t>ミゾ</t>
    </rPh>
    <rPh sb="6" eb="8">
      <t>ガイケイ</t>
    </rPh>
    <rPh sb="8" eb="10">
      <t>メント</t>
    </rPh>
    <rPh sb="19" eb="20">
      <t>ミゾ</t>
    </rPh>
    <phoneticPr fontId="1"/>
  </si>
  <si>
    <t>Liner_t</t>
    <phoneticPr fontId="1"/>
  </si>
  <si>
    <t>Liner_w</t>
    <phoneticPr fontId="1"/>
  </si>
  <si>
    <t>LINER THICKNESS</t>
    <phoneticPr fontId="1"/>
  </si>
  <si>
    <t>LINER WIDTH</t>
    <phoneticPr fontId="1"/>
  </si>
  <si>
    <t>ライナー厚さ</t>
    <rPh sb="4" eb="5">
      <t>アツ</t>
    </rPh>
    <phoneticPr fontId="1"/>
  </si>
  <si>
    <t>ライナー巾</t>
    <rPh sb="4" eb="5">
      <t>ハバ</t>
    </rPh>
    <phoneticPr fontId="1"/>
  </si>
  <si>
    <t>lirT_L1_1_1</t>
    <phoneticPr fontId="1"/>
  </si>
  <si>
    <t>lirW_L1_1_1</t>
    <phoneticPr fontId="1"/>
  </si>
  <si>
    <t>liner_mesh_size</t>
    <phoneticPr fontId="1"/>
  </si>
  <si>
    <t>LINER MESHING SIZE</t>
    <phoneticPr fontId="1"/>
  </si>
  <si>
    <t>ライナーのメッシュサイズ [mm]</t>
    <phoneticPr fontId="1"/>
  </si>
  <si>
    <t>midiam</t>
  </si>
  <si>
    <t>PTFE(E)</t>
  </si>
  <si>
    <t>17-4PH_H1150(P)</t>
  </si>
  <si>
    <t>MARTENSITIC-STAINLESS-STEEL(E)</t>
  </si>
  <si>
    <t>SWAGE DIE SPH DIA</t>
  </si>
  <si>
    <t>SWAGE DIE END POINT DIA</t>
  </si>
  <si>
    <t>SWAGE DIE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</si>
</sst>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0_);[Red]\(0\)"/>
    <numFmt numFmtId="177" formatCode="0.E+00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43" fontId="4" fillId="0" borderId="0" applyFont="0" applyFill="0" applyBorder="0" applyAlignment="0" applyProtection="0"/>
    <xf numFmtId="0" fontId="4" fillId="0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/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vertical="center"/>
    </xf>
    <xf numFmtId="11" fontId="0" fillId="0" borderId="0" xfId="0" applyNumberFormat="1" applyAlignment="1">
      <alignment vertical="center"/>
    </xf>
    <xf numFmtId="176" fontId="0" fillId="7" borderId="0" xfId="0" quotePrefix="1" applyNumberFormat="1" applyFill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176" fontId="0" fillId="7" borderId="0" xfId="0" applyNumberFormat="1" applyFill="1" applyAlignment="1">
      <alignment vertical="center"/>
    </xf>
    <xf numFmtId="177" fontId="0" fillId="7" borderId="0" xfId="0" quotePrefix="1" applyNumberFormat="1" applyFill="1" applyAlignment="1">
      <alignment horizontal="right" vertical="center"/>
    </xf>
  </cellXfs>
  <cellStyles count="5">
    <cellStyle name="Normal 2" xfId="4"/>
    <cellStyle name="桁区切り [0.00] 2" xfId="3"/>
    <cellStyle name="標準" xfId="0" builtinId="0"/>
    <cellStyle name="標準 2" xfId="1"/>
    <cellStyle name="標準 3" xfId="2"/>
  </cellStyles>
  <dxfs count="5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1933575</xdr:colOff>
      <xdr:row>34</xdr:row>
      <xdr:rowOff>76200</xdr:rowOff>
    </xdr:from>
    <xdr:to>
      <xdr:col>3</xdr:col>
      <xdr:colOff>2133600</xdr:colOff>
      <xdr:row>42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86200" y="8181975"/>
          <a:ext cx="333375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設計パラメーターを定義すること</a:t>
          </a:r>
          <a:endParaRPr kumimoji="1" lang="en-US" altLang="ja-JP" sz="1100"/>
        </a:p>
        <a:p>
          <a:r>
            <a:rPr kumimoji="1" lang="en-US" altLang="ja-JP" sz="1100"/>
            <a:t>Parameter</a:t>
          </a:r>
          <a:r>
            <a:rPr kumimoji="1" lang="ja-JP" altLang="en-US" sz="1100"/>
            <a:t>列</a:t>
          </a:r>
          <a:r>
            <a:rPr kumimoji="1" lang="en-US" altLang="ja-JP" sz="1100"/>
            <a:t>(A</a:t>
          </a:r>
          <a:r>
            <a:rPr kumimoji="1" lang="ja-JP" altLang="en-US" sz="1100"/>
            <a:t>列</a:t>
          </a:r>
          <a:r>
            <a:rPr kumimoji="1" lang="en-US" altLang="ja-JP" sz="1100"/>
            <a:t>)</a:t>
          </a:r>
          <a:r>
            <a:rPr kumimoji="1" lang="ja-JP" altLang="en-US" sz="1100"/>
            <a:t>の変数名は変更しないこと</a:t>
          </a:r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 editAs="oneCell">
    <xdr:from>
      <xdr:col>7</xdr:col>
      <xdr:colOff>564441</xdr:colOff>
      <xdr:row>6</xdr:row>
      <xdr:rowOff>34477</xdr:rowOff>
    </xdr:from>
    <xdr:to>
      <xdr:col>17</xdr:col>
      <xdr:colOff>618746</xdr:colOff>
      <xdr:row>31</xdr:row>
      <xdr:rowOff>71741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57617" y="1110242"/>
          <a:ext cx="6780375" cy="4578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672522</xdr:colOff>
      <xdr:row>2</xdr:row>
      <xdr:rowOff>750</xdr:rowOff>
    </xdr:from>
    <xdr:to>
      <xdr:col>10</xdr:col>
      <xdr:colOff>593090</xdr:colOff>
      <xdr:row>17</xdr:row>
      <xdr:rowOff>115455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40545" y="358659"/>
          <a:ext cx="5300750" cy="27990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材料設定</a:t>
          </a:r>
          <a:endParaRPr kumimoji="1" lang="en-US" altLang="ja-JP" sz="1100"/>
        </a:p>
        <a:p>
          <a:r>
            <a:rPr kumimoji="1" lang="ja-JP" altLang="en-US" sz="1100"/>
            <a:t>解析対象に合わせて</a:t>
          </a:r>
          <a:r>
            <a:rPr kumimoji="1" lang="en-US" altLang="ja-JP" sz="1100"/>
            <a:t>material</a:t>
          </a:r>
          <a:r>
            <a:rPr kumimoji="1" lang="ja-JP" altLang="en-US" sz="1100"/>
            <a:t>列を変更のこと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材料定義は以下のディレクトリから読み込む</a:t>
          </a:r>
          <a:endParaRPr kumimoji="1" lang="en-US" altLang="ja-JP" sz="1100"/>
        </a:p>
        <a:p>
          <a:r>
            <a:rPr kumimoji="1" lang="en-US" altLang="ja-JP" sz="1100"/>
            <a:t>M:\#JOB\20_material</a:t>
          </a:r>
        </a:p>
        <a:p>
          <a:endParaRPr kumimoji="1" lang="en-US" altLang="ja-JP" sz="1100"/>
        </a:p>
        <a:p>
          <a:r>
            <a:rPr kumimoji="1" lang="en-US" altLang="ja-JP" sz="1100"/>
            <a:t>M</a:t>
          </a:r>
          <a:r>
            <a:rPr kumimoji="1" lang="ja-JP" altLang="en-US" sz="1100"/>
            <a:t>ドライブ</a:t>
          </a:r>
          <a:r>
            <a:rPr kumimoji="1" lang="en-US" altLang="ja-JP" sz="1100"/>
            <a:t>: \\pk6513\share_eng_fea</a:t>
          </a:r>
        </a:p>
        <a:p>
          <a:endParaRPr kumimoji="1" lang="en-US" altLang="ja-JP" sz="1100"/>
        </a:p>
        <a:p>
          <a:r>
            <a:rPr kumimoji="1" lang="ja-JP" altLang="en-US" sz="1100"/>
            <a:t>選択可能な材料定義は以下の</a:t>
          </a:r>
          <a:r>
            <a:rPr kumimoji="1" lang="en-US" altLang="ja-JP" sz="1100"/>
            <a:t>mud</a:t>
          </a:r>
          <a:r>
            <a:rPr kumimoji="1" lang="ja-JP" altLang="en-US" sz="1100"/>
            <a:t>ファイルを開き、材料定義名を確認のこと。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M:\#JOB\20_material</a:t>
          </a:r>
          <a:r>
            <a:rPr kumimoji="0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</a:t>
          </a:r>
          <a:r>
            <a:rPr kumimoji="1" lang="en-US" altLang="ja-JP" sz="1100"/>
            <a:t>material_20251030.mud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Parameter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の変数名は変更しないこと</a:t>
          </a: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/>
        </a:p>
      </xdr:txBody>
    </xdr:sp>
    <xdr:clientData/>
  </xdr:twoCellAnchor>
  <xdr:twoCellAnchor>
    <xdr:from>
      <xdr:col>11</xdr:col>
      <xdr:colOff>106228</xdr:colOff>
      <xdr:row>2</xdr:row>
      <xdr:rowOff>21648</xdr:rowOff>
    </xdr:from>
    <xdr:to>
      <xdr:col>19</xdr:col>
      <xdr:colOff>30833</xdr:colOff>
      <xdr:row>17</xdr:row>
      <xdr:rowOff>144882</xdr:rowOff>
    </xdr:to>
    <xdr:sp macro="" textlink="">
      <xdr:nvSpPr>
        <xdr:cNvPr id="3" name="テキスト ボックス 1">
          <a:extLst>
            <a:ext uri="{FF2B5EF4-FFF2-40B4-BE49-F238E27FC236}">
              <a16:creationId xmlns:a16="http://schemas.microsoft.com/office/drawing/2014/main" id="{9FE8535A-AF63-4BB3-BC8F-E9C1C8E3EA8E}"/>
            </a:ext>
          </a:extLst>
        </xdr:cNvPr>
        <xdr:cNvSpPr txBox="1"/>
      </xdr:nvSpPr>
      <xdr:spPr>
        <a:xfrm>
          <a:off x="8948603" y="378836"/>
          <a:ext cx="5322105" cy="2802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材料設定</a:t>
          </a:r>
          <a:endParaRPr kumimoji="1" lang="en-US" altLang="ja-JP" sz="1100"/>
        </a:p>
        <a:p>
          <a:r>
            <a:rPr kumimoji="1" lang="ja-JP" altLang="en-US" sz="1100"/>
            <a:t>解析対象に合わせて</a:t>
          </a:r>
          <a:r>
            <a:rPr kumimoji="1" lang="en-US" altLang="ja-JP" sz="1100"/>
            <a:t>material</a:t>
          </a:r>
          <a:r>
            <a:rPr kumimoji="1" lang="ja-JP" altLang="en-US" sz="1100"/>
            <a:t>列を変更のこと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材料定義は以下のディレクトリから読み込む</a:t>
          </a:r>
          <a:endParaRPr kumimoji="1" lang="en-US" altLang="ja-JP" sz="1100"/>
        </a:p>
        <a:p>
          <a:r>
            <a:rPr kumimoji="1" lang="en-US" altLang="ja-JP" sz="1100"/>
            <a:t>M:\#JOB\20_material</a:t>
          </a:r>
        </a:p>
        <a:p>
          <a:endParaRPr kumimoji="1" lang="en-US" altLang="ja-JP" sz="1100"/>
        </a:p>
        <a:p>
          <a:r>
            <a:rPr kumimoji="1" lang="en-US" altLang="ja-JP" sz="1100"/>
            <a:t>M</a:t>
          </a:r>
          <a:r>
            <a:rPr kumimoji="1" lang="ja-JP" altLang="en-US" sz="1100"/>
            <a:t>ドライブ</a:t>
          </a:r>
          <a:r>
            <a:rPr kumimoji="1" lang="en-US" altLang="ja-JP" sz="1100"/>
            <a:t>: \\pk6513\share_eng_fea</a:t>
          </a:r>
        </a:p>
        <a:p>
          <a:endParaRPr kumimoji="1" lang="en-US" altLang="ja-JP" sz="1100"/>
        </a:p>
        <a:p>
          <a:r>
            <a:rPr kumimoji="1" lang="ja-JP" altLang="en-US" sz="1100"/>
            <a:t>選択可能な材料定義は以下の</a:t>
          </a:r>
          <a:r>
            <a:rPr kumimoji="1" lang="en-US" altLang="ja-JP" sz="1100"/>
            <a:t>mud</a:t>
          </a:r>
          <a:r>
            <a:rPr kumimoji="1" lang="ja-JP" altLang="en-US" sz="1100"/>
            <a:t>ファイルを開き、材料定義名を確認のこと。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M:\#JOB\20_material</a:t>
          </a:r>
          <a:r>
            <a:rPr kumimoji="0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</a:t>
          </a:r>
          <a:r>
            <a:rPr kumimoji="1" lang="en-US" altLang="ja-JP" sz="1100"/>
            <a:t>material_20251030.mud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Parameter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の変数名は変更しないこと</a:t>
          </a: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/>
        </a:p>
      </xdr:txBody>
    </xdr:sp>
    <xdr:clientData/>
  </xdr:twoCellAnchor>
  <xdr:twoCellAnchor>
    <xdr:from>
      <xdr:col>11</xdr:col>
      <xdr:colOff>106228</xdr:colOff>
      <xdr:row>2</xdr:row>
      <xdr:rowOff>21648</xdr:rowOff>
    </xdr:from>
    <xdr:to>
      <xdr:col>19</xdr:col>
      <xdr:colOff>26796</xdr:colOff>
      <xdr:row>17</xdr:row>
      <xdr:rowOff>136353</xdr:rowOff>
    </xdr:to>
    <xdr:sp macro="" textlink="">
      <xdr:nvSpPr>
        <xdr:cNvPr id="4" name="テキスト ボックス 1">
          <a:extLst>
            <a:ext uri="{FF2B5EF4-FFF2-40B4-BE49-F238E27FC236}">
              <a16:creationId xmlns:a16="http://schemas.microsoft.com/office/drawing/2014/main" id="{DB4E88FA-367F-46ED-825C-156D8AB4DD14}"/>
            </a:ext>
          </a:extLst>
        </xdr:cNvPr>
        <xdr:cNvSpPr txBox="1"/>
      </xdr:nvSpPr>
      <xdr:spPr>
        <a:xfrm>
          <a:off x="8948603" y="378836"/>
          <a:ext cx="5318068" cy="27936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Material Settings</a:t>
          </a:r>
        </a:p>
        <a:p>
          <a:r>
            <a:rPr kumimoji="1" lang="en-US" altLang="ja-JP" sz="1100"/>
            <a:t>Change the material column to match the analysis target.</a:t>
          </a:r>
        </a:p>
        <a:p>
          <a:endParaRPr kumimoji="1" lang="en-US" altLang="ja-JP" sz="1100"/>
        </a:p>
        <a:p>
          <a:r>
            <a:rPr kumimoji="1" lang="en-US" altLang="ja-JP" sz="1100"/>
            <a:t>Load material definitions from the following directory:</a:t>
          </a:r>
        </a:p>
        <a:p>
          <a:r>
            <a:rPr kumimoji="1" lang="en-US" altLang="ja-JP" sz="1100"/>
            <a:t>M:\#JOB\20_material =&gt; </a:t>
          </a:r>
          <a:r>
            <a:rPr kumimoji="1" lang="th-TH" altLang="ja-JP" sz="1100"/>
            <a:t>ให้เลือกไฟล์ล่าสุด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M drive: \\pk6513\share_eng_fea</a:t>
          </a:r>
        </a:p>
        <a:p>
          <a:endParaRPr kumimoji="1" lang="en-US" altLang="ja-JP" sz="1100"/>
        </a:p>
        <a:p>
          <a:r>
            <a:rPr kumimoji="1" lang="en-US" altLang="ja-JP" sz="1100"/>
            <a:t>To see the available material definitions, open the following MUD file and check the material definition names.</a:t>
          </a:r>
        </a:p>
        <a:p>
          <a:r>
            <a:rPr kumimoji="1" lang="en-US" altLang="ja-JP" sz="1100"/>
            <a:t>M:\#JOB\20_material\material_20251030.mud</a:t>
          </a:r>
        </a:p>
        <a:p>
          <a:endParaRPr kumimoji="1" lang="en-US" altLang="ja-JP" sz="1100"/>
        </a:p>
        <a:p>
          <a:r>
            <a:rPr kumimoji="1" lang="en-US" altLang="ja-JP" sz="1100"/>
            <a:t>Do not change the variable names in the Parameter column (column A).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</xdr:row>
      <xdr:rowOff>0</xdr:rowOff>
    </xdr:from>
    <xdr:to>
      <xdr:col>9</xdr:col>
      <xdr:colOff>171450</xdr:colOff>
      <xdr:row>9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009900" y="476250"/>
          <a:ext cx="333375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解析時間の設定</a:t>
          </a:r>
          <a:endParaRPr kumimoji="1" lang="en-US" altLang="ja-JP" sz="1100"/>
        </a:p>
        <a:p>
          <a:r>
            <a:rPr kumimoji="1" lang="ja-JP" altLang="en-US" sz="1100"/>
            <a:t>基本的に変更不要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15</xdr:row>
      <xdr:rowOff>19050</xdr:rowOff>
    </xdr:from>
    <xdr:to>
      <xdr:col>12</xdr:col>
      <xdr:colOff>123824</xdr:colOff>
      <xdr:row>29</xdr:row>
      <xdr:rowOff>76200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0344149" y="3381375"/>
          <a:ext cx="5038725" cy="386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解析時の設定項目必要に応じて設定変更する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Parameter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の変数名は変更しないこと</a:t>
          </a:r>
          <a:endParaRPr lang="ja-JP" altLang="ja-JP">
            <a:effectLst/>
          </a:endParaRPr>
        </a:p>
        <a:p>
          <a:r>
            <a:rPr kumimoji="1" lang="en-US" altLang="ja-JP" sz="1100"/>
            <a:t>F2</a:t>
          </a:r>
          <a:r>
            <a:rPr kumimoji="1" lang="ja-JP" altLang="en-US" sz="1100"/>
            <a:t>セルのプリセット値を選択可能</a:t>
          </a:r>
          <a:endParaRPr kumimoji="1" lang="en-US" altLang="ja-JP" sz="1100"/>
        </a:p>
        <a:p>
          <a:r>
            <a:rPr kumimoji="1" lang="ja-JP" altLang="en-US" sz="1100"/>
            <a:t>手動で設定したい場合は</a:t>
          </a:r>
          <a:r>
            <a:rPr kumimoji="1" lang="en-US" altLang="ja-JP" sz="1100"/>
            <a:t>B</a:t>
          </a:r>
          <a:r>
            <a:rPr kumimoji="1" lang="ja-JP" altLang="en-US" sz="1100"/>
            <a:t>列の値を修正する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メッシュサイズの目安</a:t>
          </a:r>
          <a:endParaRPr kumimoji="1" lang="en-US" altLang="ja-JP" sz="1100"/>
        </a:p>
        <a:p>
          <a:r>
            <a:rPr kumimoji="1" lang="ja-JP" altLang="en-US" sz="1100"/>
            <a:t>ラフ解析</a:t>
          </a:r>
          <a:endParaRPr kumimoji="1" lang="en-US" altLang="ja-JP" sz="1100"/>
        </a:p>
        <a:p>
          <a:r>
            <a:rPr kumimoji="1" lang="en-US" altLang="ja-JP" sz="1100"/>
            <a:t>ex-small: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外径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Φ10 under SPH</a:t>
          </a:r>
          <a:endParaRPr kumimoji="1" lang="en-US" altLang="ja-JP" sz="1100"/>
        </a:p>
        <a:p>
          <a:r>
            <a:rPr kumimoji="1" lang="en-US" altLang="ja-JP" sz="1100"/>
            <a:t>small: </a:t>
          </a:r>
          <a:r>
            <a:rPr kumimoji="1" lang="ja-JP" altLang="en-US" sz="1100"/>
            <a:t>外径</a:t>
          </a:r>
          <a:r>
            <a:rPr kumimoji="1" lang="en-US" altLang="ja-JP" sz="1100"/>
            <a:t>Φ10~20 SPH</a:t>
          </a:r>
        </a:p>
        <a:p>
          <a:r>
            <a:rPr kumimoji="1" lang="en-US" altLang="ja-JP" sz="1100"/>
            <a:t>midiam: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外径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Φ20~40 SPH</a:t>
          </a:r>
          <a:endParaRPr kumimoji="1" lang="en-US" altLang="ja-JP" sz="1100"/>
        </a:p>
        <a:p>
          <a:r>
            <a:rPr kumimoji="1" lang="en-US" altLang="ja-JP" sz="1100"/>
            <a:t>large: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外径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Φ40~60 SPH</a:t>
          </a:r>
          <a:endParaRPr kumimoji="1" lang="en-US" altLang="ja-JP" sz="1100"/>
        </a:p>
        <a:p>
          <a:r>
            <a:rPr kumimoji="1" lang="en-US" altLang="ja-JP" sz="1100"/>
            <a:t>ex-lage: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外径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Φ60 over SPH</a:t>
          </a: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J33"/>
  <sheetViews>
    <sheetView zoomScale="85" zoomScaleNormal="85" workbookViewId="0">
      <selection activeCell="G30" sqref="G30"/>
    </sheetView>
  </sheetViews>
  <sheetFormatPr defaultRowHeight="18.75" x14ac:dyDescent="0.4"/>
  <cols>
    <col min="1" max="1" width="15.875" style="2" bestFit="1" customWidth="1"/>
    <col min="2" max="2" width="9.75" style="1" bestFit="1" customWidth="1"/>
    <col min="3" max="3" width="41.125" style="2" customWidth="1"/>
    <col min="4" max="4" width="51.375" style="2" customWidth="1"/>
    <col min="6" max="6" width="16.75" style="2" bestFit="1" customWidth="1"/>
    <col min="7" max="7" width="12.5" bestFit="1" customWidth="1"/>
  </cols>
  <sheetData>
    <row r="1" spans="1:10" x14ac:dyDescent="0.4">
      <c r="A1" s="8" t="s">
        <v>0</v>
      </c>
      <c r="B1" s="9" t="s">
        <v>1</v>
      </c>
      <c r="C1" s="8" t="s">
        <v>2</v>
      </c>
      <c r="D1" s="8" t="s">
        <v>91</v>
      </c>
      <c r="F1" s="10" t="s">
        <v>118</v>
      </c>
      <c r="G1" s="8" t="s">
        <v>143</v>
      </c>
    </row>
    <row r="2" spans="1:10" x14ac:dyDescent="0.4">
      <c r="A2" s="8" t="s">
        <v>9</v>
      </c>
      <c r="B2" s="6">
        <f>G2</f>
        <v>26.9</v>
      </c>
      <c r="C2" s="8" t="s">
        <v>10</v>
      </c>
      <c r="D2" s="8" t="s">
        <v>92</v>
      </c>
      <c r="F2" s="12" t="s">
        <v>119</v>
      </c>
      <c r="G2" s="11">
        <v>26.9</v>
      </c>
      <c r="I2" s="13" t="s">
        <v>219</v>
      </c>
      <c r="J2" s="13" t="s">
        <v>144</v>
      </c>
    </row>
    <row r="3" spans="1:10" x14ac:dyDescent="0.4">
      <c r="A3" s="8" t="s">
        <v>11</v>
      </c>
      <c r="B3" s="6">
        <f t="shared" ref="B3:B33" si="0">G3</f>
        <v>12.65</v>
      </c>
      <c r="C3" s="8" t="s">
        <v>12</v>
      </c>
      <c r="D3" s="8" t="s">
        <v>93</v>
      </c>
      <c r="F3" s="12" t="s">
        <v>120</v>
      </c>
      <c r="G3" s="11">
        <v>12.65</v>
      </c>
      <c r="I3" s="13" t="s">
        <v>220</v>
      </c>
      <c r="J3" s="13" t="s">
        <v>221</v>
      </c>
    </row>
    <row r="4" spans="1:10" x14ac:dyDescent="0.4">
      <c r="A4" s="8" t="s">
        <v>13</v>
      </c>
      <c r="B4" s="6">
        <f t="shared" si="0"/>
        <v>20.61</v>
      </c>
      <c r="C4" s="8" t="s">
        <v>14</v>
      </c>
      <c r="D4" s="8" t="s">
        <v>94</v>
      </c>
      <c r="F4" s="12" t="s">
        <v>121</v>
      </c>
      <c r="G4" s="11">
        <v>20.61</v>
      </c>
    </row>
    <row r="5" spans="1:10" x14ac:dyDescent="0.4">
      <c r="A5" s="8" t="s">
        <v>15</v>
      </c>
      <c r="B5" s="6">
        <f t="shared" si="0"/>
        <v>21.95</v>
      </c>
      <c r="C5" s="8" t="s">
        <v>16</v>
      </c>
      <c r="D5" s="8" t="s">
        <v>95</v>
      </c>
      <c r="F5" s="12" t="s">
        <v>122</v>
      </c>
      <c r="G5" s="11">
        <v>21.95</v>
      </c>
    </row>
    <row r="6" spans="1:10" x14ac:dyDescent="0.4">
      <c r="A6" s="8" t="s">
        <v>17</v>
      </c>
      <c r="B6" s="6">
        <f t="shared" si="0"/>
        <v>50</v>
      </c>
      <c r="C6" s="8" t="s">
        <v>18</v>
      </c>
      <c r="D6" s="8" t="s">
        <v>96</v>
      </c>
      <c r="F6" s="12" t="s">
        <v>123</v>
      </c>
      <c r="G6" s="11">
        <v>50</v>
      </c>
    </row>
    <row r="7" spans="1:10" x14ac:dyDescent="0.4">
      <c r="A7" s="8" t="s">
        <v>19</v>
      </c>
      <c r="B7" s="6">
        <f t="shared" si="0"/>
        <v>1</v>
      </c>
      <c r="C7" s="8" t="s">
        <v>20</v>
      </c>
      <c r="D7" s="8" t="s">
        <v>97</v>
      </c>
      <c r="F7" s="12" t="s">
        <v>124</v>
      </c>
      <c r="G7" s="11">
        <v>1</v>
      </c>
    </row>
    <row r="8" spans="1:10" x14ac:dyDescent="0.4">
      <c r="A8" s="8" t="s">
        <v>21</v>
      </c>
      <c r="B8" s="6">
        <f t="shared" si="0"/>
        <v>0.5</v>
      </c>
      <c r="C8" s="8" t="s">
        <v>22</v>
      </c>
      <c r="D8" s="8" t="s">
        <v>98</v>
      </c>
      <c r="F8" s="12" t="s">
        <v>126</v>
      </c>
      <c r="G8" s="11">
        <v>0.5</v>
      </c>
    </row>
    <row r="9" spans="1:10" x14ac:dyDescent="0.4">
      <c r="A9" s="8" t="s">
        <v>23</v>
      </c>
      <c r="B9" s="6">
        <f t="shared" si="0"/>
        <v>0.3</v>
      </c>
      <c r="C9" s="8" t="s">
        <v>24</v>
      </c>
      <c r="D9" s="8" t="s">
        <v>99</v>
      </c>
      <c r="F9" s="12" t="s">
        <v>125</v>
      </c>
      <c r="G9" s="11">
        <v>0.3</v>
      </c>
    </row>
    <row r="10" spans="1:10" x14ac:dyDescent="0.4">
      <c r="A10" s="8" t="s">
        <v>25</v>
      </c>
      <c r="B10" s="6">
        <f t="shared" si="0"/>
        <v>19.837</v>
      </c>
      <c r="C10" s="8" t="s">
        <v>26</v>
      </c>
      <c r="D10" s="8" t="s">
        <v>100</v>
      </c>
      <c r="F10" s="12" t="s">
        <v>139</v>
      </c>
      <c r="G10" s="11">
        <v>19.837</v>
      </c>
    </row>
    <row r="11" spans="1:10" x14ac:dyDescent="0.4">
      <c r="A11" s="8" t="s">
        <v>27</v>
      </c>
      <c r="B11" s="6">
        <f t="shared" si="0"/>
        <v>14.27</v>
      </c>
      <c r="C11" s="8" t="s">
        <v>28</v>
      </c>
      <c r="D11" s="8" t="s">
        <v>101</v>
      </c>
      <c r="F11" s="12" t="s">
        <v>140</v>
      </c>
      <c r="G11" s="11">
        <v>14.27</v>
      </c>
    </row>
    <row r="12" spans="1:10" x14ac:dyDescent="0.4">
      <c r="A12" s="8" t="s">
        <v>29</v>
      </c>
      <c r="B12" s="6">
        <f t="shared" si="0"/>
        <v>11.112</v>
      </c>
      <c r="C12" s="8" t="s">
        <v>30</v>
      </c>
      <c r="D12" s="8" t="s">
        <v>102</v>
      </c>
      <c r="F12" s="12" t="s">
        <v>141</v>
      </c>
      <c r="G12" s="11">
        <v>11.112</v>
      </c>
    </row>
    <row r="13" spans="1:10" x14ac:dyDescent="0.4">
      <c r="A13" s="8" t="s">
        <v>31</v>
      </c>
      <c r="B13" s="6">
        <f t="shared" si="0"/>
        <v>0.25</v>
      </c>
      <c r="C13" s="8" t="s">
        <v>32</v>
      </c>
      <c r="D13" s="8" t="s">
        <v>151</v>
      </c>
      <c r="F13" s="12" t="s">
        <v>142</v>
      </c>
      <c r="G13" s="11">
        <v>0.25</v>
      </c>
    </row>
    <row r="14" spans="1:10" x14ac:dyDescent="0.4">
      <c r="A14" s="8" t="s">
        <v>215</v>
      </c>
      <c r="B14" s="5" t="s">
        <v>218</v>
      </c>
      <c r="C14" s="8" t="s">
        <v>217</v>
      </c>
      <c r="D14" s="8" t="s">
        <v>222</v>
      </c>
      <c r="F14"/>
    </row>
    <row r="15" spans="1:10" x14ac:dyDescent="0.4">
      <c r="A15" s="8" t="s">
        <v>224</v>
      </c>
      <c r="B15" s="6">
        <f>G15</f>
        <v>0.36499999999999999</v>
      </c>
      <c r="C15" s="8" t="s">
        <v>226</v>
      </c>
      <c r="D15" s="8" t="s">
        <v>228</v>
      </c>
      <c r="F15" s="8" t="s">
        <v>230</v>
      </c>
      <c r="G15" s="11">
        <v>0.36499999999999999</v>
      </c>
    </row>
    <row r="16" spans="1:10" x14ac:dyDescent="0.4">
      <c r="A16" s="8" t="s">
        <v>225</v>
      </c>
      <c r="B16" s="6">
        <f>G16</f>
        <v>11.95</v>
      </c>
      <c r="C16" s="8" t="s">
        <v>227</v>
      </c>
      <c r="D16" s="8" t="s">
        <v>229</v>
      </c>
      <c r="F16" s="8" t="s">
        <v>231</v>
      </c>
      <c r="G16" s="11">
        <v>11.95</v>
      </c>
    </row>
    <row r="17" spans="1:7" x14ac:dyDescent="0.4">
      <c r="A17" s="8" t="s">
        <v>33</v>
      </c>
      <c r="B17" s="6">
        <f t="shared" si="0"/>
        <v>27.347999999999999</v>
      </c>
      <c r="C17" s="8" t="s">
        <v>239</v>
      </c>
      <c r="D17" s="8" t="s">
        <v>103</v>
      </c>
      <c r="F17" s="8" t="s">
        <v>34</v>
      </c>
      <c r="G17" s="7">
        <v>27.347999999999999</v>
      </c>
    </row>
    <row r="18" spans="1:7" x14ac:dyDescent="0.4">
      <c r="A18" s="8" t="s">
        <v>35</v>
      </c>
      <c r="B18" s="6">
        <f t="shared" si="0"/>
        <v>27.2</v>
      </c>
      <c r="C18" s="8" t="s">
        <v>240</v>
      </c>
      <c r="D18" s="8" t="s">
        <v>104</v>
      </c>
      <c r="F18" s="8" t="s">
        <v>36</v>
      </c>
      <c r="G18" s="7">
        <v>27.2</v>
      </c>
    </row>
    <row r="19" spans="1:7" x14ac:dyDescent="0.4">
      <c r="A19" s="8" t="s">
        <v>37</v>
      </c>
      <c r="B19" s="6">
        <f t="shared" si="0"/>
        <v>21.95</v>
      </c>
      <c r="C19" s="8" t="s">
        <v>241</v>
      </c>
      <c r="D19" s="8" t="s">
        <v>105</v>
      </c>
      <c r="F19" s="8" t="s">
        <v>17</v>
      </c>
      <c r="G19" s="7">
        <v>21.95</v>
      </c>
    </row>
    <row r="20" spans="1:7" x14ac:dyDescent="0.4">
      <c r="A20" s="8" t="s">
        <v>38</v>
      </c>
      <c r="B20" s="6">
        <f t="shared" si="0"/>
        <v>1.41</v>
      </c>
      <c r="C20" s="8" t="s">
        <v>39</v>
      </c>
      <c r="D20" s="8" t="s">
        <v>106</v>
      </c>
      <c r="F20" s="8" t="s">
        <v>31</v>
      </c>
      <c r="G20" s="7">
        <v>1.41</v>
      </c>
    </row>
    <row r="21" spans="1:7" ht="19.5" customHeight="1" x14ac:dyDescent="0.4">
      <c r="A21" s="8" t="s">
        <v>40</v>
      </c>
      <c r="B21" s="6">
        <f t="shared" si="0"/>
        <v>11.087</v>
      </c>
      <c r="C21" s="8" t="s">
        <v>41</v>
      </c>
      <c r="D21" s="8" t="s">
        <v>107</v>
      </c>
      <c r="G21" s="7">
        <v>11.087</v>
      </c>
    </row>
    <row r="22" spans="1:7" x14ac:dyDescent="0.4">
      <c r="A22" s="8" t="s">
        <v>48</v>
      </c>
      <c r="B22" s="6">
        <f>G22</f>
        <v>22.745000000000001</v>
      </c>
      <c r="C22" s="8" t="s">
        <v>49</v>
      </c>
      <c r="D22" s="8" t="s">
        <v>127</v>
      </c>
      <c r="F22" s="12" t="s">
        <v>129</v>
      </c>
      <c r="G22" s="11">
        <v>22.745000000000001</v>
      </c>
    </row>
    <row r="23" spans="1:7" x14ac:dyDescent="0.4">
      <c r="A23" s="8" t="s">
        <v>50</v>
      </c>
      <c r="B23" s="6">
        <f>G23</f>
        <v>11.23</v>
      </c>
      <c r="C23" s="8" t="s">
        <v>51</v>
      </c>
      <c r="D23" s="8" t="s">
        <v>128</v>
      </c>
      <c r="F23" s="12" t="s">
        <v>130</v>
      </c>
      <c r="G23" s="11">
        <v>11.23</v>
      </c>
    </row>
    <row r="24" spans="1:7" x14ac:dyDescent="0.4">
      <c r="A24" s="10" t="s">
        <v>76</v>
      </c>
      <c r="B24" s="6">
        <f>G24</f>
        <v>0.88900000000000001</v>
      </c>
      <c r="C24" s="10" t="s">
        <v>77</v>
      </c>
      <c r="D24" s="10" t="s">
        <v>117</v>
      </c>
      <c r="F24" s="12" t="s">
        <v>138</v>
      </c>
      <c r="G24" s="11">
        <v>0.88900000000000001</v>
      </c>
    </row>
    <row r="25" spans="1:7" x14ac:dyDescent="0.4">
      <c r="A25" s="8" t="s">
        <v>52</v>
      </c>
      <c r="B25" s="5" t="s">
        <v>152</v>
      </c>
      <c r="C25" s="8" t="s">
        <v>53</v>
      </c>
      <c r="D25" s="8" t="s">
        <v>223</v>
      </c>
      <c r="G25" s="7"/>
    </row>
    <row r="26" spans="1:7" x14ac:dyDescent="0.4">
      <c r="A26" s="8" t="s">
        <v>54</v>
      </c>
      <c r="B26" s="6">
        <f t="shared" si="0"/>
        <v>0</v>
      </c>
      <c r="C26" s="8" t="s">
        <v>108</v>
      </c>
      <c r="D26" s="8" t="s">
        <v>109</v>
      </c>
      <c r="F26" s="3"/>
      <c r="G26" s="7"/>
    </row>
    <row r="27" spans="1:7" x14ac:dyDescent="0.4">
      <c r="A27" s="8" t="s">
        <v>55</v>
      </c>
      <c r="B27" s="6">
        <f t="shared" si="0"/>
        <v>1.22</v>
      </c>
      <c r="C27" s="8" t="s">
        <v>56</v>
      </c>
      <c r="D27" s="8" t="s">
        <v>110</v>
      </c>
      <c r="F27" s="12" t="s">
        <v>131</v>
      </c>
      <c r="G27" s="11">
        <v>1.22</v>
      </c>
    </row>
    <row r="28" spans="1:7" x14ac:dyDescent="0.4">
      <c r="A28" s="8" t="s">
        <v>57</v>
      </c>
      <c r="B28" s="6">
        <f t="shared" si="0"/>
        <v>20.37</v>
      </c>
      <c r="C28" s="8" t="s">
        <v>58</v>
      </c>
      <c r="D28" s="8" t="s">
        <v>111</v>
      </c>
      <c r="F28" s="12" t="s">
        <v>132</v>
      </c>
      <c r="G28" s="11">
        <v>20.37</v>
      </c>
    </row>
    <row r="29" spans="1:7" x14ac:dyDescent="0.4">
      <c r="A29" s="8" t="s">
        <v>59</v>
      </c>
      <c r="B29" s="6">
        <f t="shared" si="0"/>
        <v>0.76</v>
      </c>
      <c r="C29" s="8" t="s">
        <v>60</v>
      </c>
      <c r="D29" s="8" t="s">
        <v>112</v>
      </c>
      <c r="F29" s="12" t="s">
        <v>133</v>
      </c>
      <c r="G29" s="11">
        <v>0.76</v>
      </c>
    </row>
    <row r="30" spans="1:7" x14ac:dyDescent="0.4">
      <c r="A30" s="8" t="s">
        <v>61</v>
      </c>
      <c r="B30" s="6">
        <f t="shared" si="0"/>
        <v>0.35</v>
      </c>
      <c r="C30" s="8" t="s">
        <v>62</v>
      </c>
      <c r="D30" s="8" t="s">
        <v>113</v>
      </c>
      <c r="F30" s="12" t="s">
        <v>134</v>
      </c>
      <c r="G30" s="11">
        <v>0.35</v>
      </c>
    </row>
    <row r="31" spans="1:7" x14ac:dyDescent="0.4">
      <c r="A31" s="8" t="s">
        <v>63</v>
      </c>
      <c r="B31" s="6">
        <f t="shared" si="0"/>
        <v>30</v>
      </c>
      <c r="C31" s="8" t="s">
        <v>64</v>
      </c>
      <c r="D31" s="8" t="s">
        <v>114</v>
      </c>
      <c r="F31" s="12" t="s">
        <v>135</v>
      </c>
      <c r="G31" s="11">
        <v>30</v>
      </c>
    </row>
    <row r="32" spans="1:7" x14ac:dyDescent="0.4">
      <c r="A32" s="8" t="s">
        <v>65</v>
      </c>
      <c r="B32" s="6">
        <f t="shared" si="0"/>
        <v>30</v>
      </c>
      <c r="C32" s="8" t="s">
        <v>66</v>
      </c>
      <c r="D32" s="8" t="s">
        <v>115</v>
      </c>
      <c r="F32" s="12" t="s">
        <v>136</v>
      </c>
      <c r="G32" s="11">
        <v>30</v>
      </c>
    </row>
    <row r="33" spans="1:7" x14ac:dyDescent="0.4">
      <c r="A33" s="8" t="s">
        <v>67</v>
      </c>
      <c r="B33" s="6">
        <f t="shared" si="0"/>
        <v>0.127</v>
      </c>
      <c r="C33" s="8" t="s">
        <v>68</v>
      </c>
      <c r="D33" s="8" t="s">
        <v>116</v>
      </c>
      <c r="F33" s="12" t="s">
        <v>137</v>
      </c>
      <c r="G33" s="11">
        <v>0.127</v>
      </c>
    </row>
  </sheetData>
  <phoneticPr fontId="1"/>
  <conditionalFormatting sqref="B15:B16">
    <cfRule type="expression" dxfId="4" priority="3">
      <formula>$B$14="METAL"</formula>
    </cfRule>
  </conditionalFormatting>
  <conditionalFormatting sqref="B26">
    <cfRule type="expression" dxfId="3" priority="2">
      <formula>$B$25="V"</formula>
    </cfRule>
  </conditionalFormatting>
  <conditionalFormatting sqref="B27:B33">
    <cfRule type="expression" dxfId="2" priority="1">
      <formula>$B$25="C"</formula>
    </cfRule>
  </conditionalFormatting>
  <dataValidations count="2">
    <dataValidation type="list" allowBlank="1" showInputMessage="1" showErrorMessage="1" sqref="B25">
      <formula1>$J$2:$J$3</formula1>
    </dataValidation>
    <dataValidation type="list" allowBlank="1" showInputMessage="1" showErrorMessage="1" sqref="B14">
      <formula1>$I$2:$I$3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C000"/>
  </sheetPr>
  <dimension ref="A1:B5"/>
  <sheetViews>
    <sheetView zoomScale="160" zoomScaleNormal="160" workbookViewId="0">
      <selection activeCell="B14" sqref="B14"/>
    </sheetView>
  </sheetViews>
  <sheetFormatPr defaultRowHeight="18.75" x14ac:dyDescent="0.4"/>
  <cols>
    <col min="2" max="2" width="27.5" style="2" bestFit="1" customWidth="1"/>
  </cols>
  <sheetData>
    <row r="1" spans="1:2" x14ac:dyDescent="0.4">
      <c r="A1" s="8" t="s">
        <v>69</v>
      </c>
      <c r="B1" s="8" t="s">
        <v>70</v>
      </c>
    </row>
    <row r="2" spans="1:2" x14ac:dyDescent="0.4">
      <c r="A2" s="8" t="s">
        <v>71</v>
      </c>
      <c r="B2" s="7" t="s">
        <v>237</v>
      </c>
    </row>
    <row r="3" spans="1:2" x14ac:dyDescent="0.4">
      <c r="A3" s="8" t="s">
        <v>216</v>
      </c>
      <c r="B3" s="7" t="s">
        <v>236</v>
      </c>
    </row>
    <row r="4" spans="1:2" x14ac:dyDescent="0.4">
      <c r="A4" s="8" t="s">
        <v>72</v>
      </c>
      <c r="B4" s="7" t="s">
        <v>238</v>
      </c>
    </row>
    <row r="5" spans="1:2" x14ac:dyDescent="0.4">
      <c r="A5" s="8" t="s">
        <v>73</v>
      </c>
      <c r="B5" s="7" t="s">
        <v>238</v>
      </c>
    </row>
  </sheetData>
  <phoneticPr fontId="1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7E3FA5E-2728-4F9E-A8CE-C069CD98AE38}">
            <xm:f>parameters!$B$14="METAL"</xm:f>
            <x14:dxf>
              <fill>
                <patternFill>
                  <bgColor theme="0" tint="-0.499984740745262"/>
                </patternFill>
              </fill>
            </x14:dxf>
          </x14:cfRule>
          <xm:sqref>B3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C000"/>
  </sheetPr>
  <dimension ref="A1:B6"/>
  <sheetViews>
    <sheetView workbookViewId="0">
      <selection activeCell="D13" sqref="D13"/>
    </sheetView>
  </sheetViews>
  <sheetFormatPr defaultRowHeight="18.75" x14ac:dyDescent="0.4"/>
  <sheetData>
    <row r="1" spans="1:2" x14ac:dyDescent="0.4">
      <c r="A1" s="8" t="s">
        <v>74</v>
      </c>
      <c r="B1" s="8" t="s">
        <v>75</v>
      </c>
    </row>
    <row r="2" spans="1:2" x14ac:dyDescent="0.4">
      <c r="A2" s="7">
        <v>0</v>
      </c>
      <c r="B2" s="7">
        <v>0</v>
      </c>
    </row>
    <row r="3" spans="1:2" x14ac:dyDescent="0.4">
      <c r="A3" s="7">
        <v>0.65</v>
      </c>
      <c r="B3" s="7">
        <v>0.9</v>
      </c>
    </row>
    <row r="4" spans="1:2" x14ac:dyDescent="0.4">
      <c r="A4" s="7">
        <v>0.8</v>
      </c>
      <c r="B4" s="7">
        <v>1</v>
      </c>
    </row>
    <row r="5" spans="1:2" x14ac:dyDescent="0.4">
      <c r="A5" s="7">
        <v>0.95</v>
      </c>
      <c r="B5" s="7">
        <v>0.9</v>
      </c>
    </row>
    <row r="6" spans="1:2" x14ac:dyDescent="0.4">
      <c r="A6" s="7">
        <v>1</v>
      </c>
      <c r="B6" s="7">
        <v>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48"/>
  <sheetViews>
    <sheetView tabSelected="1" zoomScale="85" zoomScaleNormal="85" workbookViewId="0">
      <selection activeCell="B8" sqref="B8"/>
    </sheetView>
  </sheetViews>
  <sheetFormatPr defaultRowHeight="18.75" x14ac:dyDescent="0.4"/>
  <cols>
    <col min="1" max="1" width="15.875" bestFit="1" customWidth="1"/>
    <col min="2" max="2" width="15.5" bestFit="1" customWidth="1"/>
    <col min="3" max="3" width="53.25" bestFit="1" customWidth="1"/>
    <col min="4" max="4" width="41.75" bestFit="1" customWidth="1"/>
    <col min="6" max="6" width="10.875" bestFit="1" customWidth="1"/>
  </cols>
  <sheetData>
    <row r="1" spans="1:11" x14ac:dyDescent="0.4">
      <c r="A1" s="8" t="s">
        <v>0</v>
      </c>
      <c r="B1" s="9" t="s">
        <v>1</v>
      </c>
      <c r="C1" s="8" t="s">
        <v>2</v>
      </c>
      <c r="D1" s="8" t="s">
        <v>89</v>
      </c>
      <c r="E1" s="2"/>
      <c r="F1" s="2" t="s">
        <v>149</v>
      </c>
    </row>
    <row r="2" spans="1:11" x14ac:dyDescent="0.4">
      <c r="A2" s="8" t="s">
        <v>3</v>
      </c>
      <c r="B2" s="5" t="s">
        <v>90</v>
      </c>
      <c r="C2" s="8" t="s">
        <v>88</v>
      </c>
      <c r="D2" s="8" t="s">
        <v>87</v>
      </c>
      <c r="E2" s="2"/>
      <c r="F2" s="4" t="s">
        <v>235</v>
      </c>
      <c r="G2" t="s">
        <v>150</v>
      </c>
      <c r="H2" t="s">
        <v>145</v>
      </c>
      <c r="I2" t="s">
        <v>147</v>
      </c>
      <c r="J2" t="s">
        <v>146</v>
      </c>
      <c r="K2" t="s">
        <v>148</v>
      </c>
    </row>
    <row r="3" spans="1:11" x14ac:dyDescent="0.4">
      <c r="A3" s="8" t="s">
        <v>153</v>
      </c>
      <c r="B3" s="6">
        <f ca="1">OFFSET($G3,,MATCH($F$2,$G$2:$K$2,0)-1)</f>
        <v>0.2</v>
      </c>
      <c r="C3" s="8" t="s">
        <v>78</v>
      </c>
      <c r="D3" s="8" t="s">
        <v>80</v>
      </c>
      <c r="E3" s="2"/>
      <c r="F3" s="15" t="s">
        <v>154</v>
      </c>
      <c r="G3" s="14">
        <v>0.05</v>
      </c>
      <c r="H3" s="14">
        <v>0.1</v>
      </c>
      <c r="I3" s="14">
        <v>0.2</v>
      </c>
      <c r="J3" s="14">
        <v>0.3</v>
      </c>
      <c r="K3" s="14">
        <v>0.5</v>
      </c>
    </row>
    <row r="4" spans="1:11" x14ac:dyDescent="0.4">
      <c r="A4" s="8" t="s">
        <v>232</v>
      </c>
      <c r="B4" s="6">
        <f ca="1">OFFSET($G4,,MATCH($F$2,$G$2:$K$2,0)-1)</f>
        <v>0.1825</v>
      </c>
      <c r="C4" s="8" t="s">
        <v>233</v>
      </c>
      <c r="D4" s="8" t="s">
        <v>234</v>
      </c>
      <c r="E4" s="2"/>
      <c r="F4" s="2"/>
      <c r="G4" s="14">
        <f>parameters!$B$15/4</f>
        <v>9.1249999999999998E-2</v>
      </c>
      <c r="H4" s="14">
        <f>parameters!$B$15/3</f>
        <v>0.12166666666666666</v>
      </c>
      <c r="I4" s="14">
        <f>parameters!$B$15/2</f>
        <v>0.1825</v>
      </c>
      <c r="J4" s="14">
        <f>parameters!$B$15/1</f>
        <v>0.36499999999999999</v>
      </c>
      <c r="K4" s="14">
        <f>parameters!$B$15/1</f>
        <v>0.36499999999999999</v>
      </c>
    </row>
    <row r="5" spans="1:11" x14ac:dyDescent="0.4">
      <c r="A5" s="8" t="s">
        <v>4</v>
      </c>
      <c r="B5" s="6">
        <f t="shared" ref="B5:B6" ca="1" si="0">OFFSET($G5,,MATCH($F$2,$G$2:$K$2,0)-1)</f>
        <v>0.4</v>
      </c>
      <c r="C5" s="8" t="s">
        <v>79</v>
      </c>
      <c r="D5" s="8" t="s">
        <v>81</v>
      </c>
      <c r="E5" s="2"/>
      <c r="F5" s="2"/>
      <c r="G5" s="14">
        <v>0.1</v>
      </c>
      <c r="H5" s="14">
        <v>0.2</v>
      </c>
      <c r="I5" s="14">
        <v>0.4</v>
      </c>
      <c r="J5" s="14">
        <v>0.6</v>
      </c>
      <c r="K5" s="14">
        <v>1</v>
      </c>
    </row>
    <row r="6" spans="1:11" x14ac:dyDescent="0.4">
      <c r="A6" s="8" t="s">
        <v>5</v>
      </c>
      <c r="B6" s="6">
        <f t="shared" ca="1" si="0"/>
        <v>1</v>
      </c>
      <c r="C6" s="8" t="s">
        <v>6</v>
      </c>
      <c r="D6" s="8" t="s">
        <v>82</v>
      </c>
      <c r="E6" s="2"/>
      <c r="F6" s="2"/>
      <c r="G6" s="14">
        <v>0.3</v>
      </c>
      <c r="H6" s="14">
        <v>0.5</v>
      </c>
      <c r="I6" s="14">
        <v>1</v>
      </c>
      <c r="J6" s="14">
        <v>1</v>
      </c>
      <c r="K6" s="14">
        <v>2</v>
      </c>
    </row>
    <row r="7" spans="1:11" x14ac:dyDescent="0.4">
      <c r="A7" s="8" t="s">
        <v>7</v>
      </c>
      <c r="B7" s="5">
        <v>0.6</v>
      </c>
      <c r="C7" s="8" t="s">
        <v>8</v>
      </c>
      <c r="D7" s="8" t="s">
        <v>83</v>
      </c>
      <c r="E7" s="2"/>
      <c r="F7" s="2"/>
      <c r="G7" s="14"/>
      <c r="H7" s="14"/>
      <c r="I7" s="14"/>
      <c r="J7" s="14"/>
      <c r="K7" s="14"/>
    </row>
    <row r="8" spans="1:11" ht="19.5" customHeight="1" x14ac:dyDescent="0.4">
      <c r="A8" s="8" t="s">
        <v>42</v>
      </c>
      <c r="B8" s="16">
        <v>5</v>
      </c>
      <c r="C8" s="8" t="s">
        <v>43</v>
      </c>
      <c r="D8" s="8" t="s">
        <v>85</v>
      </c>
      <c r="E8" s="2"/>
      <c r="F8" s="2"/>
    </row>
    <row r="9" spans="1:11" ht="19.5" customHeight="1" x14ac:dyDescent="0.4">
      <c r="A9" s="8" t="s">
        <v>44</v>
      </c>
      <c r="B9" s="16">
        <v>0.2</v>
      </c>
      <c r="C9" s="8" t="s">
        <v>45</v>
      </c>
      <c r="D9" s="8" t="s">
        <v>84</v>
      </c>
      <c r="E9" s="2"/>
      <c r="F9" s="2"/>
    </row>
    <row r="10" spans="1:11" ht="19.5" customHeight="1" x14ac:dyDescent="0.4">
      <c r="A10" s="8" t="s">
        <v>46</v>
      </c>
      <c r="B10" s="16">
        <v>1.04</v>
      </c>
      <c r="C10" s="8" t="s">
        <v>47</v>
      </c>
      <c r="D10" s="8" t="s">
        <v>86</v>
      </c>
      <c r="E10" s="2"/>
      <c r="F10" s="2"/>
    </row>
    <row r="11" spans="1:11" x14ac:dyDescent="0.4">
      <c r="A11" s="8" t="s">
        <v>166</v>
      </c>
      <c r="B11" s="17">
        <v>0.8</v>
      </c>
      <c r="C11" s="8" t="s">
        <v>156</v>
      </c>
      <c r="D11" s="8" t="s">
        <v>155</v>
      </c>
    </row>
    <row r="12" spans="1:11" x14ac:dyDescent="0.4">
      <c r="A12" s="8" t="s">
        <v>163</v>
      </c>
      <c r="B12" s="17">
        <v>1</v>
      </c>
      <c r="C12" s="8" t="s">
        <v>157</v>
      </c>
      <c r="D12" s="8" t="s">
        <v>160</v>
      </c>
    </row>
    <row r="13" spans="1:11" x14ac:dyDescent="0.4">
      <c r="A13" s="8" t="s">
        <v>164</v>
      </c>
      <c r="B13" s="17">
        <v>0.98</v>
      </c>
      <c r="C13" s="8" t="s">
        <v>158</v>
      </c>
      <c r="D13" s="8" t="s">
        <v>161</v>
      </c>
    </row>
    <row r="14" spans="1:11" x14ac:dyDescent="0.4">
      <c r="A14" s="8" t="s">
        <v>165</v>
      </c>
      <c r="B14" s="17">
        <v>135</v>
      </c>
      <c r="C14" s="8" t="s">
        <v>159</v>
      </c>
      <c r="D14" s="8" t="s">
        <v>162</v>
      </c>
    </row>
    <row r="15" spans="1:11" x14ac:dyDescent="0.4">
      <c r="A15" s="8" t="s">
        <v>174</v>
      </c>
      <c r="B15" s="17">
        <v>300</v>
      </c>
      <c r="C15" s="20" t="s">
        <v>199</v>
      </c>
      <c r="D15" s="8" t="s">
        <v>183</v>
      </c>
    </row>
    <row r="16" spans="1:11" x14ac:dyDescent="0.4">
      <c r="A16" s="8" t="s">
        <v>175</v>
      </c>
      <c r="B16" s="23">
        <v>0.01</v>
      </c>
      <c r="C16" s="21" t="s">
        <v>200</v>
      </c>
      <c r="D16" s="8" t="s">
        <v>184</v>
      </c>
    </row>
    <row r="17" spans="1:4" x14ac:dyDescent="0.4">
      <c r="A17" s="8" t="s">
        <v>176</v>
      </c>
      <c r="B17" s="19">
        <v>2</v>
      </c>
      <c r="C17" s="21" t="s">
        <v>201</v>
      </c>
      <c r="D17" s="8" t="s">
        <v>185</v>
      </c>
    </row>
    <row r="18" spans="1:4" x14ac:dyDescent="0.4">
      <c r="A18" s="8" t="s">
        <v>177</v>
      </c>
      <c r="B18" s="23">
        <v>0.01</v>
      </c>
      <c r="C18" s="21" t="s">
        <v>202</v>
      </c>
      <c r="D18" s="8" t="s">
        <v>186</v>
      </c>
    </row>
    <row r="19" spans="1:4" x14ac:dyDescent="0.4">
      <c r="A19" s="8" t="s">
        <v>178</v>
      </c>
      <c r="B19" s="23">
        <v>1E-4</v>
      </c>
      <c r="C19" s="21" t="s">
        <v>203</v>
      </c>
      <c r="D19" s="8" t="s">
        <v>187</v>
      </c>
    </row>
    <row r="20" spans="1:4" x14ac:dyDescent="0.4">
      <c r="A20" s="8" t="s">
        <v>179</v>
      </c>
      <c r="B20" s="23">
        <v>1</v>
      </c>
      <c r="C20" s="21" t="s">
        <v>204</v>
      </c>
      <c r="D20" s="8" t="s">
        <v>188</v>
      </c>
    </row>
    <row r="21" spans="1:4" x14ac:dyDescent="0.4">
      <c r="A21" s="8" t="s">
        <v>180</v>
      </c>
      <c r="B21" s="23">
        <v>1E-3</v>
      </c>
      <c r="C21" s="21" t="s">
        <v>205</v>
      </c>
      <c r="D21" s="8" t="s">
        <v>189</v>
      </c>
    </row>
    <row r="22" spans="1:4" x14ac:dyDescent="0.4">
      <c r="A22" s="8" t="s">
        <v>181</v>
      </c>
      <c r="B22" s="23">
        <v>9.9999999999999995E-7</v>
      </c>
      <c r="C22" s="21" t="s">
        <v>206</v>
      </c>
      <c r="D22" s="8" t="s">
        <v>190</v>
      </c>
    </row>
    <row r="23" spans="1:4" x14ac:dyDescent="0.4">
      <c r="A23" s="8" t="s">
        <v>182</v>
      </c>
      <c r="B23" s="23">
        <v>1E-3</v>
      </c>
      <c r="C23" s="21" t="s">
        <v>207</v>
      </c>
      <c r="D23" s="8" t="s">
        <v>191</v>
      </c>
    </row>
    <row r="24" spans="1:4" x14ac:dyDescent="0.4">
      <c r="A24" s="8" t="s">
        <v>167</v>
      </c>
      <c r="B24" s="22">
        <v>300</v>
      </c>
      <c r="C24" s="21" t="s">
        <v>208</v>
      </c>
      <c r="D24" s="8" t="s">
        <v>192</v>
      </c>
    </row>
    <row r="25" spans="1:4" x14ac:dyDescent="0.4">
      <c r="A25" s="8" t="s">
        <v>168</v>
      </c>
      <c r="B25" s="23">
        <v>1.0000000000000001E-5</v>
      </c>
      <c r="C25" s="21" t="s">
        <v>209</v>
      </c>
      <c r="D25" s="8" t="s">
        <v>193</v>
      </c>
    </row>
    <row r="26" spans="1:4" x14ac:dyDescent="0.4">
      <c r="A26" s="8" t="s">
        <v>169</v>
      </c>
      <c r="B26" s="23">
        <v>1E-8</v>
      </c>
      <c r="C26" s="21" t="s">
        <v>210</v>
      </c>
      <c r="D26" s="8" t="s">
        <v>194</v>
      </c>
    </row>
    <row r="27" spans="1:4" x14ac:dyDescent="0.4">
      <c r="A27" s="8" t="s">
        <v>170</v>
      </c>
      <c r="B27" s="23">
        <v>1.0000000000000001E-5</v>
      </c>
      <c r="C27" s="21" t="s">
        <v>211</v>
      </c>
      <c r="D27" s="8" t="s">
        <v>195</v>
      </c>
    </row>
    <row r="28" spans="1:4" x14ac:dyDescent="0.4">
      <c r="A28" s="8" t="s">
        <v>171</v>
      </c>
      <c r="B28" s="23">
        <v>1E-4</v>
      </c>
      <c r="C28" s="21" t="s">
        <v>212</v>
      </c>
      <c r="D28" s="8" t="s">
        <v>196</v>
      </c>
    </row>
    <row r="29" spans="1:4" x14ac:dyDescent="0.4">
      <c r="A29" s="8" t="s">
        <v>172</v>
      </c>
      <c r="B29" s="23">
        <v>1.0000000000000001E-9</v>
      </c>
      <c r="C29" s="21" t="s">
        <v>213</v>
      </c>
      <c r="D29" s="8" t="s">
        <v>197</v>
      </c>
    </row>
    <row r="30" spans="1:4" x14ac:dyDescent="0.4">
      <c r="A30" s="8" t="s">
        <v>173</v>
      </c>
      <c r="B30" s="23">
        <v>1E-4</v>
      </c>
      <c r="C30" s="21" t="s">
        <v>214</v>
      </c>
      <c r="D30" s="8" t="s">
        <v>198</v>
      </c>
    </row>
    <row r="34" spans="2:2" x14ac:dyDescent="0.4">
      <c r="B34" s="18"/>
    </row>
    <row r="36" spans="2:2" x14ac:dyDescent="0.4">
      <c r="B36" s="18"/>
    </row>
    <row r="37" spans="2:2" x14ac:dyDescent="0.4">
      <c r="B37" s="18"/>
    </row>
    <row r="39" spans="2:2" x14ac:dyDescent="0.4">
      <c r="B39" s="18"/>
    </row>
    <row r="40" spans="2:2" x14ac:dyDescent="0.4">
      <c r="B40" s="18"/>
    </row>
    <row r="41" spans="2:2" x14ac:dyDescent="0.4">
      <c r="B41" s="18"/>
    </row>
    <row r="43" spans="2:2" x14ac:dyDescent="0.4">
      <c r="B43" s="18"/>
    </row>
    <row r="44" spans="2:2" x14ac:dyDescent="0.4">
      <c r="B44" s="18"/>
    </row>
    <row r="45" spans="2:2" x14ac:dyDescent="0.4">
      <c r="B45" s="18"/>
    </row>
    <row r="46" spans="2:2" x14ac:dyDescent="0.4">
      <c r="B46" s="18"/>
    </row>
    <row r="47" spans="2:2" x14ac:dyDescent="0.4">
      <c r="B47" s="18"/>
    </row>
    <row r="48" spans="2:2" x14ac:dyDescent="0.4">
      <c r="B48" s="18"/>
    </row>
  </sheetData>
  <phoneticPr fontId="1"/>
  <dataValidations count="1">
    <dataValidation type="list" allowBlank="1" showInputMessage="1" showErrorMessage="1" sqref="F2">
      <formula1>$G$2:$K$2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9453F11-F85D-477A-ADAD-077AA3EE0B5C}">
            <xm:f>parameters!$B$14="METAL"</xm:f>
            <x14:dxf>
              <fill>
                <patternFill>
                  <bgColor theme="0" tint="-0.499984740745262"/>
                </patternFill>
              </fill>
            </x14:dxf>
          </x14:cfRule>
          <xm:sqref>B4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parameters</vt:lpstr>
      <vt:lpstr>material</vt:lpstr>
      <vt:lpstr>timestep</vt:lpstr>
      <vt:lpstr>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NAIRU MURASE</dc:creator>
  <cp:lastModifiedBy>KULACHAN NANTHIWA</cp:lastModifiedBy>
  <dcterms:created xsi:type="dcterms:W3CDTF">2025-02-19T07:44:00Z</dcterms:created>
  <dcterms:modified xsi:type="dcterms:W3CDTF">2026-02-02T06:25:11Z</dcterms:modified>
</cp:coreProperties>
</file>