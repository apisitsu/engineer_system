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anlb01\MPA-DIV\Competency\Engineering\"/>
    </mc:Choice>
  </mc:AlternateContent>
  <xr:revisionPtr revIDLastSave="0" documentId="13_ncr:1_{A3E137C3-B682-4830-ACF9-1201E7FCB23B}" xr6:coauthVersionLast="36" xr6:coauthVersionMax="36" xr10:uidLastSave="{00000000-0000-0000-0000-000000000000}"/>
  <bookViews>
    <workbookView xWindow="120" yWindow="45" windowWidth="20745" windowHeight="10005" tabRatio="833" firstSheet="1" activeTab="1" xr2:uid="{00000000-000D-0000-FFFF-FFFF00000000}"/>
  </bookViews>
  <sheets>
    <sheet name="format manao" sheetId="1" state="hidden" r:id="rId1"/>
    <sheet name="SECTION OVERALL" sheetId="2" r:id="rId2"/>
    <sheet name="trash" sheetId="6" state="hidden" r:id="rId3"/>
    <sheet name="L6121" sheetId="58" r:id="rId4"/>
    <sheet name="F1754" sheetId="56" r:id="rId5"/>
    <sheet name="LE216" sheetId="57" r:id="rId6"/>
    <sheet name="LE511" sheetId="59" r:id="rId7"/>
    <sheet name="FORMAT" sheetId="4" r:id="rId8"/>
  </sheets>
  <definedNames>
    <definedName name="_xlnm.Print_Area" localSheetId="0">'format manao'!$A$1:$BY$47</definedName>
  </definedNames>
  <calcPr calcId="191029"/>
</workbook>
</file>

<file path=xl/calcChain.xml><?xml version="1.0" encoding="utf-8"?>
<calcChain xmlns="http://schemas.openxmlformats.org/spreadsheetml/2006/main">
  <c r="D74" i="2" l="1"/>
  <c r="E75" i="2" l="1"/>
  <c r="F75" i="2"/>
  <c r="G75" i="2"/>
  <c r="H75" i="2"/>
  <c r="H73" i="2"/>
  <c r="G73" i="2"/>
  <c r="E73" i="2"/>
  <c r="F73" i="2"/>
  <c r="F74" i="2"/>
  <c r="H74" i="2"/>
  <c r="E74" i="2" l="1"/>
  <c r="G74" i="2" l="1"/>
  <c r="D75" i="2"/>
  <c r="D73" i="2"/>
  <c r="AS42" i="1" l="1"/>
  <c r="AV42" i="1"/>
  <c r="AY42" i="1"/>
  <c r="BB42" i="1"/>
  <c r="BE42" i="1"/>
  <c r="BH42" i="1"/>
  <c r="BK42" i="1"/>
  <c r="BN42" i="1"/>
  <c r="BQ42" i="1"/>
  <c r="BT42" i="1"/>
  <c r="BW42" i="1"/>
  <c r="BN43" i="1"/>
  <c r="BQ43" i="1"/>
  <c r="BT43" i="1"/>
  <c r="BW43" i="1"/>
  <c r="AP42" i="1"/>
  <c r="AM42" i="1"/>
  <c r="AJ42" i="1"/>
  <c r="AM43" i="1" l="1"/>
  <c r="AY43" i="1"/>
  <c r="AS43" i="1"/>
  <c r="AP43" i="1"/>
  <c r="BK43" i="1"/>
  <c r="BE43" i="1"/>
  <c r="BH43" i="1"/>
  <c r="AV43" i="1"/>
  <c r="BB43" i="1"/>
</calcChain>
</file>

<file path=xl/sharedStrings.xml><?xml version="1.0" encoding="utf-8"?>
<sst xmlns="http://schemas.openxmlformats.org/spreadsheetml/2006/main" count="610" uniqueCount="185">
  <si>
    <t>ID</t>
    <phoneticPr fontId="0"/>
  </si>
  <si>
    <t>NAME</t>
    <phoneticPr fontId="0"/>
  </si>
  <si>
    <t>PROCESS</t>
    <phoneticPr fontId="0"/>
  </si>
  <si>
    <t>M/C No.</t>
    <phoneticPr fontId="0"/>
  </si>
  <si>
    <t>Training Target</t>
    <phoneticPr fontId="0"/>
  </si>
  <si>
    <t>&lt;&lt;  Trainer  &gt;&gt;</t>
    <phoneticPr fontId="0"/>
  </si>
  <si>
    <t>MAIN</t>
    <phoneticPr fontId="0"/>
  </si>
  <si>
    <t>ID :</t>
    <phoneticPr fontId="0"/>
  </si>
  <si>
    <t>NAME :</t>
    <phoneticPr fontId="0"/>
  </si>
  <si>
    <t>Lv.</t>
    <phoneticPr fontId="0"/>
  </si>
  <si>
    <t>SUB</t>
    <phoneticPr fontId="0"/>
  </si>
  <si>
    <t>Before</t>
    <phoneticPr fontId="0"/>
  </si>
  <si>
    <t>Apr</t>
    <phoneticPr fontId="0"/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</si>
  <si>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</si>
  <si>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</si>
  <si>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</si>
  <si>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</si>
  <si>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</si>
  <si>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</si>
  <si>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</si>
  <si>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</si>
  <si>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</si>
  <si>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</si>
  <si>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</si>
  <si>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Average</t>
  </si>
  <si>
    <t>Increase value</t>
  </si>
  <si>
    <t>ไม่สามารถทำได้</t>
  </si>
  <si>
    <t>Lv.1</t>
    <phoneticPr fontId="0"/>
  </si>
  <si>
    <t>อธิบายแล้วสามารถทำได้</t>
  </si>
  <si>
    <t>Lv.2</t>
  </si>
  <si>
    <t>สามารถทำเองได้</t>
  </si>
  <si>
    <t>Lv.3</t>
  </si>
  <si>
    <t>สามารถสอนคนอื่นได้</t>
  </si>
  <si>
    <t>Lv.4</t>
  </si>
  <si>
    <t>実施できるレベルに達していない</t>
    <phoneticPr fontId="0"/>
  </si>
  <si>
    <t>指導の下に実施可能</t>
    <rPh sb="7" eb="9">
      <t>カノウ</t>
    </rPh>
    <phoneticPr fontId="0"/>
  </si>
  <si>
    <t>個人の能力のみで実施可能</t>
    <rPh sb="0" eb="2">
      <t>コジン</t>
    </rPh>
    <rPh sb="3" eb="5">
      <t>ノウリョク</t>
    </rPh>
    <rPh sb="8" eb="10">
      <t>ジッシ</t>
    </rPh>
    <rPh sb="10" eb="12">
      <t>カノウ</t>
    </rPh>
    <phoneticPr fontId="0"/>
  </si>
  <si>
    <t>熟知し指導が出来る</t>
    <rPh sb="6" eb="8">
      <t>デキ</t>
    </rPh>
    <phoneticPr fontId="0"/>
  </si>
  <si>
    <t>Heat Treatment</t>
  </si>
  <si>
    <t>RMH-01</t>
  </si>
  <si>
    <t>RMH-02</t>
  </si>
  <si>
    <t>RMH-03</t>
  </si>
  <si>
    <t>RMH-04</t>
  </si>
  <si>
    <t>RMH-05</t>
  </si>
  <si>
    <t>RMH-07</t>
  </si>
  <si>
    <t>At present</t>
  </si>
  <si>
    <t>s</t>
  </si>
  <si>
    <t>L5051</t>
  </si>
  <si>
    <t>Position</t>
  </si>
  <si>
    <t>Name</t>
  </si>
  <si>
    <t>ID</t>
  </si>
  <si>
    <t>Photo</t>
  </si>
  <si>
    <t>Leader</t>
  </si>
  <si>
    <t>Setter</t>
  </si>
  <si>
    <t>Mr.Somsak</t>
  </si>
  <si>
    <t>Mr.Narit</t>
  </si>
  <si>
    <t>Kun-In</t>
  </si>
  <si>
    <t>On-Tha</t>
  </si>
  <si>
    <t>Mr.Mongkolchai</t>
  </si>
  <si>
    <t>Toprasit</t>
  </si>
  <si>
    <t>Mr.Wisanu</t>
  </si>
  <si>
    <t>Jansary</t>
  </si>
  <si>
    <t>Mr.Tinnakorn</t>
  </si>
  <si>
    <t>Diduang</t>
  </si>
  <si>
    <t>Mr.Phongpat</t>
  </si>
  <si>
    <t>Meuan-In</t>
  </si>
  <si>
    <t>Mr.Peerapat</t>
  </si>
  <si>
    <t>Taweesap</t>
  </si>
  <si>
    <t>Mr.Khamron</t>
  </si>
  <si>
    <t>Sangmuang</t>
  </si>
  <si>
    <t>Mr.Paiboon</t>
  </si>
  <si>
    <t>Thongkhum</t>
  </si>
  <si>
    <t>Mr.Ronnachai</t>
  </si>
  <si>
    <t>Seela-Ngam</t>
  </si>
  <si>
    <t>Mrs.Prayong</t>
  </si>
  <si>
    <t>Patipimpakorn</t>
  </si>
  <si>
    <t>E1826</t>
  </si>
  <si>
    <t>HEAT TREATMENT</t>
  </si>
  <si>
    <t>สามารถเลือก Heat Condition จากการดู Drawing</t>
  </si>
  <si>
    <t>เข้าใจใน Condition Heat ต่างๆ</t>
  </si>
  <si>
    <t>ลำดับความสำคัญของงานแต่ละ lot ได้</t>
  </si>
  <si>
    <t>สามารถ Operate เครื่องได้</t>
  </si>
  <si>
    <t>สามารถ Set เครื่องได้</t>
  </si>
  <si>
    <t>สามารถ Maintenance เครื่องได้</t>
  </si>
  <si>
    <t>Manual เครื่องได้</t>
  </si>
  <si>
    <t>หากมีปัญหาสามารถ Action ได้</t>
  </si>
  <si>
    <t>แก้ปัญหาได้ หากเครื่อง Error/Alarm</t>
  </si>
  <si>
    <t>สามารถ Set งานสำหรับ HT ได้</t>
  </si>
  <si>
    <t>ลงบันทึก Record HT ได้</t>
  </si>
  <si>
    <t>NAME</t>
  </si>
  <si>
    <t>ระดับ 0 หมายถึง ยังไม่สามารถทำงานได้</t>
  </si>
  <si>
    <t>Level 1</t>
  </si>
  <si>
    <t>ระดับ 1 หมายถึง ไม่สามารถทำงานได้ตามลำพัง ต้องมีคนคอยดูแล ช่วยเหลือ</t>
  </si>
  <si>
    <t>Level 2</t>
  </si>
  <si>
    <t>ระดับ 2 หมายถึง สามารถทำงานได้ อย่างไรก้อตาม บางขั้นตอนยังคงทำไม่ได้</t>
  </si>
  <si>
    <t>Level 3</t>
  </si>
  <si>
    <t>ระดับ 3 หมายถึง สามารถทำงานได้ ด้วยตัวเองทั้งหมด</t>
  </si>
  <si>
    <t>Level 4</t>
  </si>
  <si>
    <t>ระดับ 4 หมายถึง สามารถทำงานได้ ด้วยตัวเองทั้งหมด และยังสามารถสอนงานให้ผู้อื่น ต่อไปได้ด้วย</t>
  </si>
  <si>
    <t>OVERALL ABILITIES</t>
  </si>
  <si>
    <t>Q1</t>
  </si>
  <si>
    <t>Q2</t>
  </si>
  <si>
    <t>Q3</t>
  </si>
  <si>
    <t>Q4</t>
  </si>
  <si>
    <t>MAR</t>
  </si>
  <si>
    <t>JUN</t>
  </si>
  <si>
    <t>SEP</t>
  </si>
  <si>
    <t>DEC</t>
  </si>
  <si>
    <t>FY13</t>
  </si>
  <si>
    <t>FY14</t>
  </si>
  <si>
    <t>FY15</t>
  </si>
  <si>
    <t>Level 0</t>
  </si>
  <si>
    <t>PROCESS</t>
  </si>
  <si>
    <t>SECTION</t>
  </si>
  <si>
    <r>
      <t>ระดับ 0 หมายถึง ยังไม่สามารถทำงานได้</t>
    </r>
    <r>
      <rPr>
        <sz val="16"/>
        <color rgb="FF0000FF"/>
        <rFont val="Arial Unicode MS"/>
        <family val="2"/>
      </rPr>
      <t xml:space="preserve"> (ไม่มี Certificate)</t>
    </r>
  </si>
  <si>
    <r>
      <t xml:space="preserve">ระดับ 1 หมายถึง ไม่สามารถทำงานได้ตามลำพัง ต้องมีคนคอยดูแล ช่วยเหลือ </t>
    </r>
    <r>
      <rPr>
        <sz val="16"/>
        <color rgb="FF0000FF"/>
        <rFont val="Arial Unicode MS"/>
        <family val="2"/>
      </rPr>
      <t>(มี Certificate)</t>
    </r>
  </si>
  <si>
    <r>
      <t xml:space="preserve">ระดับ 2 หมายถึง สามารถทำงานได้ อย่างไรก็ตาม บางขั้นตอนยังคงทำไม่ได้ </t>
    </r>
    <r>
      <rPr>
        <sz val="16"/>
        <color rgb="FF0000FF"/>
        <rFont val="Arial Unicode MS"/>
        <family val="2"/>
      </rPr>
      <t>(มี Certificate)</t>
    </r>
  </si>
  <si>
    <r>
      <t xml:space="preserve">ระดับ 3 หมายถึง สามารถทำงานได้ ด้วยตัวเองทั้งหมด </t>
    </r>
    <r>
      <rPr>
        <sz val="16"/>
        <color rgb="FF0000FF"/>
        <rFont val="Arial Unicode MS"/>
        <family val="2"/>
      </rPr>
      <t>(มี Certificate)</t>
    </r>
  </si>
  <si>
    <r>
      <t xml:space="preserve">ระดับ 4 หมายถึง สามารถทำงานได้ ด้วยตัวเองทั้งหมด และยังสามารถสอนงานให้ผู้อื่น ต่อไปได้ด้วย </t>
    </r>
    <r>
      <rPr>
        <sz val="16"/>
        <color rgb="FF0000FF"/>
        <rFont val="Arial Unicode MS"/>
        <family val="2"/>
      </rPr>
      <t>(มี Certificate)</t>
    </r>
  </si>
  <si>
    <t>L6121</t>
  </si>
  <si>
    <t>F1754</t>
  </si>
  <si>
    <t>LE216</t>
  </si>
  <si>
    <t>Mr. Suranat</t>
  </si>
  <si>
    <t>Naka</t>
  </si>
  <si>
    <t>Miss Kanjana</t>
  </si>
  <si>
    <t>Janyim</t>
  </si>
  <si>
    <t>Mr. Wirayut</t>
  </si>
  <si>
    <t>Phlaikhong</t>
  </si>
  <si>
    <t>Machine Program</t>
  </si>
  <si>
    <t>Clerk</t>
  </si>
  <si>
    <t>Tooling Inspector/Draft Man</t>
  </si>
  <si>
    <t>DRAWING VERIFICATION</t>
  </si>
  <si>
    <t>สามารถจัดลำดับของการตรวจสอบและงานปล่อยงานแต่ละ Lot ได้เมื่อมีจำนวน Traveler sheet เข้ามาเป็นจำนวนมาก</t>
  </si>
  <si>
    <t>สามารถลงข้อมูลและรายงานการทำงานใน Excel เพื่อตรวจสอบย้อนกลับได้</t>
  </si>
  <si>
    <t>สามารถตรวจจับได้และไม่ปล่อยผ่าน เมื่อพบเจอข้อมูลแปลกในระหว่างการตรวจสอบที่หน้า Trveler sheet and/or Drawing</t>
  </si>
  <si>
    <t>สามารถจำแนกประเภทของจุดต่างๆที่พบเจอในหน้า Travler sheet และสามารทำการ Action ที่เหมาะสมได้</t>
  </si>
  <si>
    <t>เมื่อพบเจอปัญหาในระหว่างการตรวจสอบ และแก้ไขสถานการณ์ล่วงหน้าได้</t>
  </si>
  <si>
    <t>เข้าใจระบบและสามารถตรวจสอบ Drawing และ Traveler sheet ที่ถูกต้องตาม WI-DV-EN-000001 ได้</t>
  </si>
  <si>
    <t>สามารถต่อยอดและเสนอแนวคิดใหม่ๆในการพัฒนา หรือปรับปรุงแก้ไขต่องานของตนเองได้</t>
  </si>
  <si>
    <t>สามารถแจกจ่าย Travler sheet และ Drawing คืนให้กับ PC ตรงตาม Traget หรือตรงตามเวลาที่กำหนดใว้ (OTD)</t>
  </si>
  <si>
    <t>มีความสามารถในการ Traning การตรวจสอบตาม WI-DV-EN-000001 ในกับผู้อื่นหรือพนักงานเข้าใหม่ได้เป็นอย่างดี</t>
  </si>
  <si>
    <t>มีความรู้ความสามารถในการใช้ Computor หรือ Website ต่างๆในการ Print Drawing หรือ Dowload MRP ได้เป็นอย่างดี</t>
  </si>
  <si>
    <t>สามารถ Planing การทำ OT ได้ เมื่อพบว่ามีจำนวน Traveler sheet จาก PC เข้ามาจำนวนมากใน 1 วัน</t>
  </si>
  <si>
    <t>General Drawing Control</t>
  </si>
  <si>
    <t>Tooling Inspector</t>
  </si>
  <si>
    <t xml:space="preserve">เข้าใจระบบการทำงานของ Purchase + Tooling Center </t>
  </si>
  <si>
    <t xml:space="preserve">สามารถอ่านแบบ และเข้าใจสัญลักษณ์พื้นฐานใน Drawing </t>
  </si>
  <si>
    <t xml:space="preserve">เลือกเครื่องมือวัดที่เหมาะสมได้ </t>
  </si>
  <si>
    <t xml:space="preserve">สามารถใช้ Contour / Projector ได้ </t>
  </si>
  <si>
    <t xml:space="preserve">สามารถใช้เครื่อง CMM ( Coordinate Measuring Machine ) ได้ </t>
  </si>
  <si>
    <t xml:space="preserve">ตรวจวัดชิ้นงานได้ตาม Drawing และระบุผลการตรวจวัดได้ถูกต้อง </t>
  </si>
  <si>
    <t xml:space="preserve">สามารถดำเนินการ และตัดสินใจในกรณีงานไม่เป็นไปตาม Drawing เบื้องต้นได้ </t>
  </si>
  <si>
    <t>สามารถทำงานได้ตรงตาม Traget หรือตามวันที่กำหนดส่งคืน Purchase ได้</t>
  </si>
  <si>
    <t xml:space="preserve">สามารถใช้ Venior Caliper / Micrometer / Digimatic ได้ 
( เครื่องมือพื้นฐาน ) </t>
  </si>
  <si>
    <t>การใช้ Program ขั้นพื้นฐานในการเขียนแบบ 
(ME10 Program using)</t>
  </si>
  <si>
    <t>เข้าใจในพื้นฐานของการเขียนแบบ หรือสัญลักษณ์พื้นฐานใน Drawing</t>
  </si>
  <si>
    <t>สามารถใช้ General Drawing Database และสามารถลงข้อมูลหรือปรับเปลี่ยนสถานะใน Database ได้</t>
  </si>
  <si>
    <t>สามารถสอน ME10 ให้กับผู้เข้ามาใหม่ได้</t>
  </si>
  <si>
    <t>สามารถแก้ไขสถานการณ์ที่พบเจอในระหว่างการทำงานได้</t>
  </si>
  <si>
    <t>มีความรู้ความเข้าใจในการออกแบบ Jig &amp; Fixture รวมถึงวัสดุที่ใช้ และสามารถให้คำแนะนำได้</t>
  </si>
  <si>
    <t>มีความรับผิดชอบ และสามารถทำงานตรงตามเวลาหรือ Traget ที่กำหนดใว้ได้</t>
  </si>
  <si>
    <t>สามารถจัดลำดับความสำคัญของงานได้ เมื่อมีการร้องขอเข้ามาจำนวนมาก</t>
  </si>
  <si>
    <t>การติดต่อสื่อสารกับบุคคลภายนอก</t>
  </si>
  <si>
    <t>เข้าใจจุดประสงค์การทำงานของ Tooling และหาการวัดที่เหมาะสม</t>
  </si>
  <si>
    <t>สามารถให้คำแนะนำหรือคำปรึกษาด้าน Tooling inspection ได้</t>
  </si>
  <si>
    <t>เข้าใจพื้นฐานในการเขียน Drawing</t>
  </si>
  <si>
    <t>Engineer</t>
  </si>
  <si>
    <t>MR.  SURANAT  NAKA</t>
  </si>
  <si>
    <t>MISS KANJANA JANYIM</t>
  </si>
  <si>
    <t>MR.  WIRAYUT  PHLAIKHONG</t>
  </si>
  <si>
    <t>Machine Program / Tooling inspection</t>
  </si>
  <si>
    <t>Drawing Verification</t>
  </si>
  <si>
    <t>General drawing control / Draft man</t>
  </si>
  <si>
    <t>มีความเข้าใจการทำงานของ Jig, Fixture และให้คำแนะนำได้</t>
  </si>
  <si>
    <t>การใช้ Program ขั้นพื้นฐานในการเขียนแบบ (ME10 Program using)</t>
  </si>
  <si>
    <t>FY24</t>
  </si>
  <si>
    <t>FY23</t>
  </si>
  <si>
    <t>FY22</t>
  </si>
  <si>
    <t>FY25</t>
  </si>
  <si>
    <t>Operator</t>
  </si>
  <si>
    <t>LE511</t>
  </si>
  <si>
    <t>MS. KANYARAT</t>
  </si>
  <si>
    <t>JUYJAROEN</t>
  </si>
  <si>
    <t>MS. KANYARAT  JUYJAROEN</t>
  </si>
  <si>
    <t>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</si>
</sst>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"/>
    <numFmt numFmtId="165" formatCode="0.0"/>
  </numFmts>
  <fonts count="26">
    <font>
      <sz val="11"/>
      <color theme="1"/>
      <name val="Calibri"/>
      <family val="2"/>
      <charset val="128"/>
      <scheme val="minor"/>
    </font>
    <font>
      <sz val="11"/>
      <color indexed="8"/>
      <name val="Microsoft Sans Serif"/>
      <family val="2"/>
    </font>
    <font>
      <sz val="14"/>
      <color indexed="8"/>
      <name val="Microsoft Sans Serif"/>
      <family val="2"/>
    </font>
    <font>
      <sz val="16"/>
      <color indexed="8"/>
      <name val="Microsoft Sans Serif"/>
      <family val="2"/>
    </font>
    <font>
      <sz val="11"/>
      <color indexed="8"/>
      <name val="ＭＳ Ｐゴシック"/>
      <family val="3"/>
      <charset val="128"/>
    </font>
    <font>
      <sz val="11"/>
      <name val="Microsoft Sans Serif"/>
      <family val="2"/>
    </font>
    <font>
      <sz val="26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Arial Unicode MS"/>
      <family val="3"/>
      <charset val="128"/>
    </font>
    <font>
      <sz val="12"/>
      <name val="Arial Unicode MS"/>
      <family val="3"/>
      <charset val="128"/>
    </font>
    <font>
      <sz val="36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6"/>
      <color theme="1"/>
      <name val="Calibri"/>
      <family val="2"/>
      <charset val="128"/>
      <scheme val="minor"/>
    </font>
    <font>
      <sz val="16"/>
      <name val="Arial Unicode MS"/>
      <family val="3"/>
      <charset val="128"/>
    </font>
    <font>
      <sz val="16"/>
      <color rgb="FF0000FF"/>
      <name val="Arial Unicode MS"/>
      <family val="2"/>
    </font>
    <font>
      <sz val="12"/>
      <color theme="1"/>
      <name val="Calibri"/>
      <family val="2"/>
      <charset val="128"/>
      <scheme val="minor"/>
    </font>
    <font>
      <sz val="12"/>
      <name val="Calibri"/>
      <family val="2"/>
      <charset val="128"/>
      <scheme val="minor"/>
    </font>
    <font>
      <sz val="14"/>
      <color theme="1"/>
      <name val="Calibri"/>
      <family val="2"/>
      <charset val="128"/>
      <scheme val="minor"/>
    </font>
    <font>
      <sz val="14"/>
      <name val="Calibri"/>
      <family val="2"/>
      <charset val="128"/>
      <scheme val="minor"/>
    </font>
    <font>
      <sz val="16"/>
      <name val="Microsoft Sans Serif"/>
      <family val="2"/>
    </font>
    <font>
      <sz val="24"/>
      <color theme="1"/>
      <name val="Calibri"/>
      <family val="2"/>
      <charset val="128"/>
      <scheme val="minor"/>
    </font>
    <font>
      <sz val="10"/>
      <color theme="1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tted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tted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7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8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9" fillId="0" borderId="0" xfId="1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0" fillId="0" borderId="0" xfId="0" applyFill="1">
      <alignment vertical="center"/>
    </xf>
    <xf numFmtId="0" fontId="8" fillId="0" borderId="0" xfId="1" applyFont="1" applyFill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0" xfId="0" applyFill="1" applyBorder="1" applyAlignment="1"/>
    <xf numFmtId="0" fontId="0" fillId="2" borderId="28" xfId="0" applyFill="1" applyBorder="1" applyAlignment="1"/>
    <xf numFmtId="0" fontId="0" fillId="0" borderId="26" xfId="0" applyBorder="1" applyAlignment="1"/>
    <xf numFmtId="0" fontId="0" fillId="0" borderId="28" xfId="0" applyBorder="1" applyAlignment="1"/>
    <xf numFmtId="0" fontId="0" fillId="2" borderId="26" xfId="0" applyFill="1" applyBorder="1" applyAlignment="1"/>
    <xf numFmtId="0" fontId="0" fillId="2" borderId="47" xfId="0" applyFill="1" applyBorder="1" applyAlignment="1"/>
    <xf numFmtId="0" fontId="0" fillId="0" borderId="9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5" borderId="0" xfId="0" applyFill="1">
      <alignment vertical="center"/>
    </xf>
    <xf numFmtId="0" fontId="0" fillId="5" borderId="9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>
      <alignment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5" borderId="0" xfId="0" applyFont="1" applyFill="1">
      <alignment vertical="center"/>
    </xf>
    <xf numFmtId="0" fontId="16" fillId="0" borderId="0" xfId="1" applyFont="1" applyFill="1" applyAlignment="1">
      <alignment vertical="center"/>
    </xf>
    <xf numFmtId="0" fontId="16" fillId="0" borderId="0" xfId="1" applyFont="1" applyFill="1">
      <alignment vertical="center"/>
    </xf>
    <xf numFmtId="0" fontId="16" fillId="0" borderId="0" xfId="1" applyFont="1" applyFill="1" applyBorder="1">
      <alignment vertical="center"/>
    </xf>
    <xf numFmtId="0" fontId="16" fillId="0" borderId="0" xfId="1" applyFont="1" applyFill="1" applyAlignment="1">
      <alignment horizontal="center" vertical="center"/>
    </xf>
    <xf numFmtId="0" fontId="15" fillId="0" borderId="0" xfId="0" applyFont="1" applyFill="1">
      <alignment vertical="center"/>
    </xf>
    <xf numFmtId="0" fontId="15" fillId="0" borderId="0" xfId="0" applyFont="1">
      <alignment vertical="center"/>
    </xf>
    <xf numFmtId="0" fontId="13" fillId="0" borderId="23" xfId="0" applyFont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65" fontId="20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1" applyFont="1" applyFill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63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60" xfId="0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4" fillId="5" borderId="23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horizontal="center" vertical="center"/>
    </xf>
    <xf numFmtId="165" fontId="0" fillId="0" borderId="0" xfId="0" applyNumberFormat="1">
      <alignment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9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15" fillId="0" borderId="66" xfId="0" applyFont="1" applyBorder="1" applyAlignment="1">
      <alignment horizontal="center" vertical="center" textRotation="90"/>
    </xf>
    <xf numFmtId="0" fontId="15" fillId="0" borderId="48" xfId="0" applyFont="1" applyBorder="1" applyAlignment="1">
      <alignment horizontal="center" vertical="center" textRotation="90"/>
    </xf>
    <xf numFmtId="0" fontId="15" fillId="0" borderId="62" xfId="0" applyFont="1" applyBorder="1" applyAlignment="1">
      <alignment horizontal="center" vertical="center" textRotation="90"/>
    </xf>
    <xf numFmtId="0" fontId="15" fillId="0" borderId="24" xfId="0" applyFont="1" applyBorder="1" applyAlignment="1">
      <alignment horizontal="center" vertical="center" textRotation="90"/>
    </xf>
    <xf numFmtId="0" fontId="0" fillId="0" borderId="67" xfId="0" applyFill="1" applyBorder="1" applyAlignment="1">
      <alignment horizontal="center" vertical="center"/>
    </xf>
    <xf numFmtId="0" fontId="6" fillId="5" borderId="67" xfId="0" applyFont="1" applyFill="1" applyBorder="1" applyAlignment="1">
      <alignment horizontal="center" vertical="center" textRotation="90"/>
    </xf>
    <xf numFmtId="0" fontId="6" fillId="5" borderId="68" xfId="0" applyFont="1" applyFill="1" applyBorder="1" applyAlignment="1">
      <alignment horizontal="center" vertical="center" textRotation="90"/>
    </xf>
    <xf numFmtId="0" fontId="6" fillId="5" borderId="55" xfId="0" applyFont="1" applyFill="1" applyBorder="1" applyAlignment="1">
      <alignment horizontal="center" vertical="center" textRotation="90"/>
    </xf>
    <xf numFmtId="0" fontId="10" fillId="0" borderId="58" xfId="0" applyFont="1" applyBorder="1" applyAlignment="1">
      <alignment horizontal="center" vertical="center" textRotation="90"/>
    </xf>
    <xf numFmtId="0" fontId="10" fillId="0" borderId="69" xfId="0" applyFont="1" applyBorder="1" applyAlignment="1">
      <alignment horizontal="center" vertical="center" textRotation="90"/>
    </xf>
    <xf numFmtId="0" fontId="18" fillId="5" borderId="66" xfId="0" applyFont="1" applyFill="1" applyBorder="1" applyAlignment="1">
      <alignment horizontal="left" vertical="center" wrapText="1"/>
    </xf>
    <xf numFmtId="0" fontId="18" fillId="5" borderId="24" xfId="0" applyFont="1" applyFill="1" applyBorder="1" applyAlignment="1">
      <alignment horizontal="left" vertical="center" wrapText="1"/>
    </xf>
    <xf numFmtId="0" fontId="19" fillId="5" borderId="23" xfId="0" applyFont="1" applyFill="1" applyBorder="1" applyAlignment="1">
      <alignment horizontal="left" vertical="center" wrapText="1"/>
    </xf>
    <xf numFmtId="0" fontId="19" fillId="5" borderId="24" xfId="0" applyFont="1" applyFill="1" applyBorder="1" applyAlignment="1">
      <alignment horizontal="left" vertical="center" wrapText="1"/>
    </xf>
    <xf numFmtId="0" fontId="19" fillId="5" borderId="48" xfId="0" applyFont="1" applyFill="1" applyBorder="1" applyAlignment="1">
      <alignment horizontal="left" vertical="center" wrapText="1"/>
    </xf>
    <xf numFmtId="0" fontId="19" fillId="5" borderId="66" xfId="0" applyFont="1" applyFill="1" applyBorder="1" applyAlignment="1">
      <alignment horizontal="left" vertical="center" wrapText="1"/>
    </xf>
    <xf numFmtId="0" fontId="19" fillId="5" borderId="62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textRotation="90"/>
    </xf>
    <xf numFmtId="0" fontId="6" fillId="2" borderId="58" xfId="0" applyFont="1" applyFill="1" applyBorder="1" applyAlignment="1">
      <alignment horizontal="center" vertical="center" textRotation="90"/>
    </xf>
    <xf numFmtId="0" fontId="6" fillId="2" borderId="59" xfId="0" applyFont="1" applyFill="1" applyBorder="1" applyAlignment="1">
      <alignment horizontal="center" vertical="center" textRotation="90"/>
    </xf>
    <xf numFmtId="0" fontId="0" fillId="2" borderId="57" xfId="0" applyFill="1" applyBorder="1" applyAlignment="1">
      <alignment horizontal="left" vertical="center"/>
    </xf>
    <xf numFmtId="0" fontId="0" fillId="2" borderId="69" xfId="0" applyFill="1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69" xfId="0" applyBorder="1" applyAlignment="1">
      <alignment horizontal="left" vertical="center"/>
    </xf>
    <xf numFmtId="0" fontId="0" fillId="2" borderId="70" xfId="0" applyFill="1" applyBorder="1" applyAlignment="1">
      <alignment horizontal="left" vertical="center"/>
    </xf>
    <xf numFmtId="0" fontId="0" fillId="0" borderId="70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2" borderId="70" xfId="0" applyFill="1" applyBorder="1" applyAlignment="1">
      <alignment horizontal="left" vertical="center" wrapText="1"/>
    </xf>
    <xf numFmtId="0" fontId="0" fillId="2" borderId="69" xfId="0" applyFill="1" applyBorder="1" applyAlignment="1">
      <alignment horizontal="left" vertical="center" wrapText="1"/>
    </xf>
    <xf numFmtId="0" fontId="0" fillId="2" borderId="70" xfId="0" applyFill="1" applyBorder="1" applyAlignment="1">
      <alignment horizontal="left" wrapText="1"/>
    </xf>
    <xf numFmtId="0" fontId="0" fillId="2" borderId="69" xfId="0" applyFill="1" applyBorder="1" applyAlignment="1">
      <alignment horizontal="left" wrapText="1"/>
    </xf>
    <xf numFmtId="0" fontId="23" fillId="2" borderId="57" xfId="0" applyFont="1" applyFill="1" applyBorder="1" applyAlignment="1">
      <alignment horizontal="center" vertical="center" textRotation="90"/>
    </xf>
    <xf numFmtId="0" fontId="23" fillId="2" borderId="58" xfId="0" applyFont="1" applyFill="1" applyBorder="1" applyAlignment="1">
      <alignment horizontal="center" vertical="center" textRotation="90"/>
    </xf>
    <xf numFmtId="0" fontId="23" fillId="2" borderId="59" xfId="0" applyFont="1" applyFill="1" applyBorder="1" applyAlignment="1">
      <alignment horizontal="center" vertical="center" textRotation="90"/>
    </xf>
    <xf numFmtId="0" fontId="24" fillId="2" borderId="57" xfId="0" applyFont="1" applyFill="1" applyBorder="1" applyAlignment="1">
      <alignment horizontal="left" wrapText="1"/>
    </xf>
    <xf numFmtId="0" fontId="24" fillId="2" borderId="69" xfId="0" applyFont="1" applyFill="1" applyBorder="1" applyAlignment="1">
      <alignment horizontal="left" wrapText="1"/>
    </xf>
    <xf numFmtId="0" fontId="24" fillId="0" borderId="70" xfId="0" applyFont="1" applyBorder="1" applyAlignment="1">
      <alignment horizontal="left" wrapText="1"/>
    </xf>
    <xf numFmtId="0" fontId="24" fillId="0" borderId="69" xfId="0" applyFont="1" applyBorder="1" applyAlignment="1">
      <alignment horizontal="left" wrapText="1"/>
    </xf>
    <xf numFmtId="0" fontId="24" fillId="2" borderId="70" xfId="0" applyFont="1" applyFill="1" applyBorder="1" applyAlignment="1">
      <alignment horizontal="left" wrapText="1"/>
    </xf>
    <xf numFmtId="0" fontId="24" fillId="0" borderId="70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2" borderId="70" xfId="0" applyFont="1" applyFill="1" applyBorder="1" applyAlignment="1">
      <alignment horizontal="left" vertical="center" wrapText="1"/>
    </xf>
    <xf numFmtId="0" fontId="24" fillId="2" borderId="69" xfId="0" applyFont="1" applyFill="1" applyBorder="1" applyAlignment="1">
      <alignment horizontal="left" vertical="center" wrapText="1"/>
    </xf>
    <xf numFmtId="0" fontId="0" fillId="2" borderId="57" xfId="0" applyFill="1" applyBorder="1" applyAlignment="1">
      <alignment horizontal="left" vertical="center" wrapText="1"/>
    </xf>
    <xf numFmtId="0" fontId="12" fillId="0" borderId="49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76" xfId="0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0" fillId="5" borderId="75" xfId="0" applyFill="1" applyBorder="1" applyAlignment="1">
      <alignment horizontal="center"/>
    </xf>
    <xf numFmtId="0" fontId="0" fillId="5" borderId="73" xfId="0" applyFill="1" applyBorder="1" applyAlignment="1">
      <alignment horizontal="center"/>
    </xf>
    <xf numFmtId="0" fontId="0" fillId="5" borderId="76" xfId="0" applyFill="1" applyBorder="1" applyAlignment="1">
      <alignment horizontal="center"/>
    </xf>
    <xf numFmtId="0" fontId="0" fillId="5" borderId="74" xfId="0" applyFill="1" applyBorder="1" applyAlignment="1">
      <alignment horizontal="center"/>
    </xf>
    <xf numFmtId="0" fontId="0" fillId="2" borderId="75" xfId="0" applyFill="1" applyBorder="1" applyAlignment="1">
      <alignment horizontal="center"/>
    </xf>
    <xf numFmtId="0" fontId="0" fillId="2" borderId="77" xfId="0" applyFill="1" applyBorder="1" applyAlignment="1">
      <alignment horizontal="center"/>
    </xf>
    <xf numFmtId="0" fontId="0" fillId="2" borderId="78" xfId="0" applyFill="1" applyBorder="1" applyAlignment="1">
      <alignment horizontal="center"/>
    </xf>
    <xf numFmtId="0" fontId="0" fillId="2" borderId="73" xfId="0" applyFill="1" applyBorder="1" applyAlignment="1">
      <alignment horizontal="center"/>
    </xf>
    <xf numFmtId="0" fontId="0" fillId="2" borderId="71" xfId="0" applyFill="1" applyBorder="1" applyAlignment="1">
      <alignment horizontal="center"/>
    </xf>
    <xf numFmtId="0" fontId="0" fillId="2" borderId="72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L9910'!A1"/><Relationship Id="rId7" Type="http://schemas.openxmlformats.org/officeDocument/2006/relationships/image" Target="../media/image5.jpeg"/><Relationship Id="rId2" Type="http://schemas.openxmlformats.org/officeDocument/2006/relationships/hyperlink" Target="#'L7048'!A1"/><Relationship Id="rId1" Type="http://schemas.openxmlformats.org/officeDocument/2006/relationships/hyperlink" Target="#'X3034'!A1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'SECTION OVERALL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hyperlink" Target="#'SECTION OVERALL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'SECTION OVERALL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'SECTION OVERALL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SECTION OVERALL'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299354</xdr:colOff>
      <xdr:row>0</xdr:row>
      <xdr:rowOff>81642</xdr:rowOff>
    </xdr:from>
    <xdr:to>
      <xdr:col>4</xdr:col>
      <xdr:colOff>802818</xdr:colOff>
      <xdr:row>0</xdr:row>
      <xdr:rowOff>394606</xdr:rowOff>
    </xdr:to>
    <xdr:sp macro="" textlink="">
      <xdr:nvSpPr>
        <xdr:cNvPr id="23" name="Right Arrow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504461" y="81642"/>
          <a:ext cx="503464" cy="312964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285699</xdr:colOff>
      <xdr:row>0</xdr:row>
      <xdr:rowOff>81650</xdr:rowOff>
    </xdr:from>
    <xdr:to>
      <xdr:col>5</xdr:col>
      <xdr:colOff>789163</xdr:colOff>
      <xdr:row>0</xdr:row>
      <xdr:rowOff>394614</xdr:rowOff>
    </xdr:to>
    <xdr:sp macro="" textlink="">
      <xdr:nvSpPr>
        <xdr:cNvPr id="38" name="Right Arrow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3797592" y="81650"/>
          <a:ext cx="503464" cy="312964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302066</xdr:colOff>
      <xdr:row>0</xdr:row>
      <xdr:rowOff>70758</xdr:rowOff>
    </xdr:from>
    <xdr:to>
      <xdr:col>6</xdr:col>
      <xdr:colOff>805530</xdr:colOff>
      <xdr:row>0</xdr:row>
      <xdr:rowOff>383722</xdr:rowOff>
    </xdr:to>
    <xdr:sp macro="" textlink="">
      <xdr:nvSpPr>
        <xdr:cNvPr id="57" name="Right Arrow 5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2165021" y="70758"/>
          <a:ext cx="503464" cy="312964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4</xdr:col>
      <xdr:colOff>68035</xdr:colOff>
      <xdr:row>5</xdr:row>
      <xdr:rowOff>40823</xdr:rowOff>
    </xdr:from>
    <xdr:to>
      <xdr:col>4</xdr:col>
      <xdr:colOff>1056985</xdr:colOff>
      <xdr:row>5</xdr:row>
      <xdr:rowOff>1302274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49" y="1864180"/>
          <a:ext cx="988950" cy="1261451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5</xdr:row>
      <xdr:rowOff>40821</xdr:rowOff>
    </xdr:from>
    <xdr:to>
      <xdr:col>5</xdr:col>
      <xdr:colOff>1031132</xdr:colOff>
      <xdr:row>5</xdr:row>
      <xdr:rowOff>1302919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6357" y="1864178"/>
          <a:ext cx="922275" cy="1262098"/>
        </a:xfrm>
        <a:prstGeom prst="rect">
          <a:avLst/>
        </a:prstGeom>
      </xdr:spPr>
    </xdr:pic>
    <xdr:clientData/>
  </xdr:twoCellAnchor>
  <xdr:twoCellAnchor editAs="oneCell">
    <xdr:from>
      <xdr:col>6</xdr:col>
      <xdr:colOff>54428</xdr:colOff>
      <xdr:row>5</xdr:row>
      <xdr:rowOff>40821</xdr:rowOff>
    </xdr:from>
    <xdr:to>
      <xdr:col>6</xdr:col>
      <xdr:colOff>1033853</xdr:colOff>
      <xdr:row>5</xdr:row>
      <xdr:rowOff>1307167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1864178"/>
          <a:ext cx="979425" cy="1266346"/>
        </a:xfrm>
        <a:prstGeom prst="rect">
          <a:avLst/>
        </a:prstGeom>
      </xdr:spPr>
    </xdr:pic>
    <xdr:clientData/>
  </xdr:twoCellAnchor>
  <xdr:twoCellAnchor>
    <xdr:from>
      <xdr:col>7</xdr:col>
      <xdr:colOff>285699</xdr:colOff>
      <xdr:row>0</xdr:row>
      <xdr:rowOff>81650</xdr:rowOff>
    </xdr:from>
    <xdr:to>
      <xdr:col>7</xdr:col>
      <xdr:colOff>789163</xdr:colOff>
      <xdr:row>0</xdr:row>
      <xdr:rowOff>394614</xdr:rowOff>
    </xdr:to>
    <xdr:sp macro="" textlink="">
      <xdr:nvSpPr>
        <xdr:cNvPr id="8" name="Right Arrow 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E0781A-A764-4B64-8A86-60AF1C3DEC69}"/>
            </a:ext>
          </a:extLst>
        </xdr:cNvPr>
        <xdr:cNvSpPr/>
      </xdr:nvSpPr>
      <xdr:spPr>
        <a:xfrm>
          <a:off x="6953199" y="81650"/>
          <a:ext cx="503464" cy="312964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7</xdr:col>
      <xdr:colOff>68037</xdr:colOff>
      <xdr:row>5</xdr:row>
      <xdr:rowOff>43059</xdr:rowOff>
    </xdr:from>
    <xdr:to>
      <xdr:col>7</xdr:col>
      <xdr:colOff>1047750</xdr:colOff>
      <xdr:row>5</xdr:row>
      <xdr:rowOff>1277072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FA9D6-BDD0-4CC8-9769-CDFA2B15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7108" y="1866416"/>
          <a:ext cx="979713" cy="1234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503459</xdr:colOff>
      <xdr:row>2</xdr:row>
      <xdr:rowOff>13611</xdr:rowOff>
    </xdr:from>
    <xdr:to>
      <xdr:col>14</xdr:col>
      <xdr:colOff>1061352</xdr:colOff>
      <xdr:row>4</xdr:row>
      <xdr:rowOff>3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725939" y="371751"/>
          <a:ext cx="557893" cy="3445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12</xdr:col>
      <xdr:colOff>181430</xdr:colOff>
      <xdr:row>1</xdr:row>
      <xdr:rowOff>0</xdr:rowOff>
    </xdr:from>
    <xdr:to>
      <xdr:col>13</xdr:col>
      <xdr:colOff>575965</xdr:colOff>
      <xdr:row>7</xdr:row>
      <xdr:rowOff>156094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7430" y="181429"/>
          <a:ext cx="1074892" cy="12446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503459</xdr:colOff>
      <xdr:row>2</xdr:row>
      <xdr:rowOff>13611</xdr:rowOff>
    </xdr:from>
    <xdr:to>
      <xdr:col>14</xdr:col>
      <xdr:colOff>1061352</xdr:colOff>
      <xdr:row>4</xdr:row>
      <xdr:rowOff>3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68639" y="386991"/>
          <a:ext cx="458833" cy="3597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415637</xdr:colOff>
      <xdr:row>7</xdr:row>
      <xdr:rowOff>154477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9745" y="193964"/>
          <a:ext cx="997528" cy="12489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503459</xdr:colOff>
      <xdr:row>2</xdr:row>
      <xdr:rowOff>13611</xdr:rowOff>
    </xdr:from>
    <xdr:to>
      <xdr:col>14</xdr:col>
      <xdr:colOff>1061352</xdr:colOff>
      <xdr:row>4</xdr:row>
      <xdr:rowOff>3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1468639" y="386991"/>
          <a:ext cx="458833" cy="35977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457200</xdr:colOff>
      <xdr:row>8</xdr:row>
      <xdr:rowOff>2963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9745" y="193964"/>
          <a:ext cx="1039091" cy="13054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312959</xdr:colOff>
      <xdr:row>4</xdr:row>
      <xdr:rowOff>27215</xdr:rowOff>
    </xdr:from>
    <xdr:to>
      <xdr:col>10</xdr:col>
      <xdr:colOff>285750</xdr:colOff>
      <xdr:row>5</xdr:row>
      <xdr:rowOff>176896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13B73-07D2-416A-B9D5-7A0B549E1526}"/>
            </a:ext>
          </a:extLst>
        </xdr:cNvPr>
        <xdr:cNvSpPr/>
      </xdr:nvSpPr>
      <xdr:spPr>
        <a:xfrm>
          <a:off x="15607388" y="816429"/>
          <a:ext cx="585112" cy="34018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7</xdr:col>
      <xdr:colOff>122463</xdr:colOff>
      <xdr:row>1</xdr:row>
      <xdr:rowOff>47363</xdr:rowOff>
    </xdr:from>
    <xdr:to>
      <xdr:col>8</xdr:col>
      <xdr:colOff>517071</xdr:colOff>
      <xdr:row>7</xdr:row>
      <xdr:rowOff>159049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36DD43-966F-4DED-A0D8-D0BD2604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49" y="251470"/>
          <a:ext cx="1006929" cy="12682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503459</xdr:colOff>
      <xdr:row>2</xdr:row>
      <xdr:rowOff>13611</xdr:rowOff>
    </xdr:from>
    <xdr:to>
      <xdr:col>14</xdr:col>
      <xdr:colOff>1061352</xdr:colOff>
      <xdr:row>4</xdr:row>
      <xdr:rowOff>3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2749888" y="381004"/>
          <a:ext cx="557893" cy="35378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Y47"/>
  <sheetViews>
    <sheetView showGridLines="0" topLeftCell="A22" zoomScale="85" zoomScaleNormal="85" zoomScalePageLayoutView="55" workbookViewId="0">
      <selection activeCell="AS42" sqref="AS42:AU42"/>
    </sheetView>
  </sheetViews>
  <sheetFormatPr defaultColWidth="2.5703125" defaultRowHeight="14.25"/>
  <cols>
    <col min="1" max="7" width="2.5703125" style="1"/>
    <col min="8" max="8" width="6.5703125" style="1" customWidth="1"/>
    <col min="9" max="27" width="2.5703125" style="1"/>
    <col min="28" max="34" width="2.5703125" style="1" customWidth="1"/>
    <col min="35" max="35" width="3.140625" style="1" customWidth="1"/>
    <col min="36" max="38" width="2.5703125" style="1"/>
    <col min="39" max="39" width="3.140625" style="1" customWidth="1"/>
    <col min="40" max="41" width="2.5703125" style="1"/>
    <col min="42" max="42" width="2.5703125" style="1" customWidth="1"/>
    <col min="43" max="16384" width="2.5703125" style="1"/>
  </cols>
  <sheetData>
    <row r="1" spans="1:77" ht="28.5" customHeight="1" thickTop="1">
      <c r="AU1" s="135" t="s">
        <v>0</v>
      </c>
      <c r="AV1" s="136"/>
      <c r="AW1" s="139" t="s">
        <v>47</v>
      </c>
      <c r="AX1" s="139"/>
      <c r="AY1" s="139"/>
      <c r="AZ1" s="139"/>
      <c r="BA1" s="135" t="s">
        <v>1</v>
      </c>
      <c r="BB1" s="139"/>
      <c r="BC1" s="139"/>
      <c r="BD1" s="136"/>
      <c r="BE1" s="141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3"/>
      <c r="BT1" s="147"/>
      <c r="BU1" s="148"/>
      <c r="BV1" s="148"/>
      <c r="BW1" s="148"/>
      <c r="BX1" s="148"/>
      <c r="BY1" s="149"/>
    </row>
    <row r="2" spans="1:77" ht="21.75" customHeight="1" thickBot="1">
      <c r="A2" s="151" t="s">
        <v>2</v>
      </c>
      <c r="B2" s="151"/>
      <c r="C2" s="151"/>
      <c r="D2" s="151"/>
      <c r="E2" s="151"/>
      <c r="F2" s="151"/>
      <c r="G2" s="151" t="s">
        <v>38</v>
      </c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6"/>
      <c r="AA2" s="11"/>
      <c r="AB2" s="7"/>
      <c r="AC2" s="7"/>
      <c r="AD2" s="8"/>
      <c r="AR2" s="12"/>
      <c r="AU2" s="137"/>
      <c r="AV2" s="138"/>
      <c r="AW2" s="140"/>
      <c r="AX2" s="140"/>
      <c r="AY2" s="140"/>
      <c r="AZ2" s="140"/>
      <c r="BA2" s="137"/>
      <c r="BB2" s="140"/>
      <c r="BC2" s="140"/>
      <c r="BD2" s="138"/>
      <c r="BE2" s="144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6"/>
      <c r="BT2" s="150"/>
      <c r="BU2" s="151"/>
      <c r="BV2" s="151"/>
      <c r="BW2" s="151"/>
      <c r="BX2" s="151"/>
      <c r="BY2" s="152"/>
    </row>
    <row r="3" spans="1:77" ht="19.5" thickTop="1">
      <c r="A3" s="151" t="s">
        <v>3</v>
      </c>
      <c r="B3" s="151"/>
      <c r="C3" s="151"/>
      <c r="D3" s="151"/>
      <c r="E3" s="151"/>
      <c r="F3" s="151"/>
      <c r="G3" s="156" t="s">
        <v>39</v>
      </c>
      <c r="H3" s="134"/>
      <c r="I3" s="134"/>
      <c r="J3" s="134"/>
      <c r="K3" s="134" t="s">
        <v>40</v>
      </c>
      <c r="L3" s="134"/>
      <c r="M3" s="134"/>
      <c r="N3" s="134"/>
      <c r="O3" s="134" t="s">
        <v>41</v>
      </c>
      <c r="P3" s="134"/>
      <c r="Q3" s="134"/>
      <c r="R3" s="134"/>
      <c r="S3" s="134" t="s">
        <v>42</v>
      </c>
      <c r="T3" s="134"/>
      <c r="U3" s="134"/>
      <c r="V3" s="134"/>
      <c r="W3" s="134" t="s">
        <v>43</v>
      </c>
      <c r="X3" s="134"/>
      <c r="Y3" s="134"/>
      <c r="Z3" s="134"/>
      <c r="AA3" s="134" t="s">
        <v>44</v>
      </c>
      <c r="AB3" s="134"/>
      <c r="AC3" s="134"/>
      <c r="AD3" s="159"/>
      <c r="AE3" s="160"/>
      <c r="AF3" s="157"/>
      <c r="AG3" s="157"/>
      <c r="AH3" s="157"/>
      <c r="AI3" s="157"/>
      <c r="AJ3" s="157"/>
      <c r="AK3" s="157"/>
      <c r="AL3" s="157"/>
      <c r="AM3" s="13"/>
      <c r="AN3" s="13"/>
      <c r="AO3" s="13"/>
      <c r="AP3" s="157"/>
      <c r="AQ3" s="157"/>
      <c r="AR3" s="157"/>
      <c r="AS3" s="157"/>
      <c r="AT3" s="12"/>
      <c r="AZ3" s="2"/>
      <c r="BA3" s="2"/>
      <c r="BB3" s="2"/>
      <c r="BC3" s="2"/>
      <c r="BD3" s="2"/>
      <c r="BE3" s="2"/>
      <c r="BF3" s="2"/>
      <c r="BG3" s="2"/>
      <c r="BH3" s="2"/>
      <c r="BI3" s="2"/>
      <c r="BJ3" s="3"/>
      <c r="BK3" s="3"/>
      <c r="BL3" s="3"/>
      <c r="BM3" s="3"/>
      <c r="BN3" s="3"/>
      <c r="BO3" s="3"/>
      <c r="BP3" s="3"/>
      <c r="BQ3" s="3"/>
      <c r="BR3" s="3"/>
      <c r="BS3" s="3"/>
      <c r="BT3" s="150"/>
      <c r="BU3" s="151"/>
      <c r="BV3" s="151"/>
      <c r="BW3" s="151"/>
      <c r="BX3" s="151"/>
      <c r="BY3" s="152"/>
    </row>
    <row r="4" spans="1:77" ht="23.25" customHeight="1">
      <c r="A4" s="151" t="s">
        <v>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6"/>
      <c r="AA4" s="9"/>
      <c r="AB4" s="9"/>
      <c r="AC4" s="9"/>
      <c r="AD4" s="10"/>
      <c r="AE4" s="14"/>
      <c r="AF4" s="12"/>
      <c r="AG4" s="12"/>
      <c r="AH4" s="12"/>
      <c r="AI4" s="12"/>
      <c r="AJ4" s="12"/>
      <c r="AK4" s="12"/>
      <c r="AL4" s="12"/>
      <c r="AM4" s="12"/>
      <c r="AN4" s="12"/>
      <c r="AO4" s="12"/>
      <c r="BT4" s="150"/>
      <c r="BU4" s="151"/>
      <c r="BV4" s="151"/>
      <c r="BW4" s="151"/>
      <c r="BX4" s="151"/>
      <c r="BY4" s="152"/>
    </row>
    <row r="5" spans="1:77" ht="10.5" customHeight="1">
      <c r="Y5" s="4"/>
      <c r="Z5" s="4"/>
      <c r="BT5" s="150"/>
      <c r="BU5" s="151"/>
      <c r="BV5" s="151"/>
      <c r="BW5" s="151"/>
      <c r="BX5" s="151"/>
      <c r="BY5" s="152"/>
    </row>
    <row r="6" spans="1:77" ht="19.5" thickBot="1">
      <c r="A6" s="158" t="s">
        <v>5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BT6" s="153"/>
      <c r="BU6" s="154"/>
      <c r="BV6" s="154"/>
      <c r="BW6" s="154"/>
      <c r="BX6" s="154"/>
      <c r="BY6" s="155"/>
    </row>
    <row r="7" spans="1:77" ht="18" customHeight="1" thickTop="1">
      <c r="A7" s="151" t="s">
        <v>6</v>
      </c>
      <c r="B7" s="151"/>
      <c r="C7" s="151"/>
      <c r="D7" s="162" t="s">
        <v>7</v>
      </c>
      <c r="E7" s="163"/>
      <c r="F7" s="159"/>
      <c r="G7" s="151"/>
      <c r="H7" s="151"/>
      <c r="I7" s="151"/>
      <c r="J7" s="162" t="s">
        <v>8</v>
      </c>
      <c r="K7" s="162"/>
      <c r="L7" s="163"/>
      <c r="M7" s="159"/>
      <c r="N7" s="151"/>
      <c r="O7" s="151"/>
      <c r="P7" s="151"/>
      <c r="Q7" s="151"/>
      <c r="R7" s="151"/>
      <c r="S7" s="151"/>
      <c r="T7" s="151"/>
      <c r="U7" s="162" t="s">
        <v>9</v>
      </c>
      <c r="V7" s="163"/>
      <c r="W7" s="159"/>
      <c r="X7" s="151"/>
    </row>
    <row r="8" spans="1:77" ht="18" customHeight="1">
      <c r="A8" s="151" t="s">
        <v>10</v>
      </c>
      <c r="B8" s="151"/>
      <c r="C8" s="151"/>
      <c r="D8" s="162" t="s">
        <v>7</v>
      </c>
      <c r="E8" s="163"/>
      <c r="F8" s="159"/>
      <c r="G8" s="151"/>
      <c r="H8" s="151"/>
      <c r="I8" s="151"/>
      <c r="J8" s="162" t="s">
        <v>8</v>
      </c>
      <c r="K8" s="162"/>
      <c r="L8" s="163"/>
      <c r="M8" s="159"/>
      <c r="N8" s="151"/>
      <c r="O8" s="151"/>
      <c r="P8" s="151"/>
      <c r="Q8" s="151"/>
      <c r="R8" s="151"/>
      <c r="S8" s="151"/>
      <c r="T8" s="151"/>
      <c r="U8" s="162" t="s">
        <v>9</v>
      </c>
      <c r="V8" s="163"/>
      <c r="W8" s="159"/>
      <c r="X8" s="151"/>
    </row>
    <row r="9" spans="1:77">
      <c r="AJ9" s="151" t="s">
        <v>11</v>
      </c>
      <c r="AK9" s="151"/>
      <c r="AL9" s="151"/>
      <c r="AM9" s="156" t="s">
        <v>45</v>
      </c>
      <c r="AN9" s="134"/>
      <c r="AO9" s="159"/>
      <c r="AP9" s="161" t="s">
        <v>12</v>
      </c>
      <c r="AQ9" s="161"/>
      <c r="AR9" s="161"/>
      <c r="AS9" s="161" t="s">
        <v>13</v>
      </c>
      <c r="AT9" s="161"/>
      <c r="AU9" s="161"/>
      <c r="AV9" s="161" t="s">
        <v>14</v>
      </c>
      <c r="AW9" s="161"/>
      <c r="AX9" s="161"/>
      <c r="AY9" s="161" t="s">
        <v>15</v>
      </c>
      <c r="AZ9" s="161"/>
      <c r="BA9" s="161"/>
      <c r="BB9" s="161" t="s">
        <v>16</v>
      </c>
      <c r="BC9" s="161"/>
      <c r="BD9" s="161"/>
      <c r="BE9" s="161" t="s">
        <v>17</v>
      </c>
      <c r="BF9" s="161"/>
      <c r="BG9" s="161"/>
      <c r="BH9" s="161" t="s">
        <v>18</v>
      </c>
      <c r="BI9" s="161"/>
      <c r="BJ9" s="161"/>
      <c r="BK9" s="161" t="s">
        <v>19</v>
      </c>
      <c r="BL9" s="161"/>
      <c r="BM9" s="161"/>
      <c r="BN9" s="161" t="s">
        <v>20</v>
      </c>
      <c r="BO9" s="161"/>
      <c r="BP9" s="161"/>
      <c r="BQ9" s="161" t="s">
        <v>21</v>
      </c>
      <c r="BR9" s="161"/>
      <c r="BS9" s="161"/>
      <c r="BT9" s="161" t="s">
        <v>22</v>
      </c>
      <c r="BU9" s="161"/>
      <c r="BV9" s="161"/>
      <c r="BW9" s="161" t="s">
        <v>23</v>
      </c>
      <c r="BX9" s="161"/>
      <c r="BY9" s="161"/>
    </row>
    <row r="10" spans="1:77">
      <c r="A10" s="164" t="s">
        <v>46</v>
      </c>
      <c r="B10" s="164"/>
      <c r="C10" s="164"/>
      <c r="D10" s="164"/>
      <c r="E10" s="164"/>
      <c r="F10" s="164"/>
      <c r="G10" s="165" t="s">
        <v>46</v>
      </c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4">
        <v>1</v>
      </c>
      <c r="AK10" s="164"/>
      <c r="AL10" s="164"/>
      <c r="AM10" s="164">
        <v>4</v>
      </c>
      <c r="AN10" s="164"/>
      <c r="AO10" s="164"/>
      <c r="AP10" s="164">
        <v>3</v>
      </c>
      <c r="AQ10" s="164"/>
      <c r="AR10" s="164"/>
      <c r="AS10" s="164">
        <v>3</v>
      </c>
      <c r="AT10" s="164"/>
      <c r="AU10" s="164"/>
      <c r="AV10" s="164">
        <v>3</v>
      </c>
      <c r="AW10" s="164"/>
      <c r="AX10" s="164"/>
      <c r="AY10" s="164">
        <v>3</v>
      </c>
      <c r="AZ10" s="164"/>
      <c r="BA10" s="164"/>
      <c r="BB10" s="164">
        <v>3</v>
      </c>
      <c r="BC10" s="164"/>
      <c r="BD10" s="164"/>
      <c r="BE10" s="164">
        <v>3</v>
      </c>
      <c r="BF10" s="164"/>
      <c r="BG10" s="164"/>
      <c r="BH10" s="164">
        <v>3</v>
      </c>
      <c r="BI10" s="164"/>
      <c r="BJ10" s="164"/>
      <c r="BK10" s="164">
        <v>4</v>
      </c>
      <c r="BL10" s="164"/>
      <c r="BM10" s="164"/>
      <c r="BN10" s="164"/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</row>
    <row r="11" spans="1:77">
      <c r="A11" s="164"/>
      <c r="B11" s="164"/>
      <c r="C11" s="164"/>
      <c r="D11" s="164"/>
      <c r="E11" s="164"/>
      <c r="F11" s="164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</row>
    <row r="12" spans="1:77">
      <c r="A12" s="166" t="s">
        <v>46</v>
      </c>
      <c r="B12" s="166"/>
      <c r="C12" s="166"/>
      <c r="D12" s="166"/>
      <c r="E12" s="166"/>
      <c r="F12" s="166"/>
      <c r="G12" s="167" t="s">
        <v>46</v>
      </c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6">
        <v>1</v>
      </c>
      <c r="AK12" s="166"/>
      <c r="AL12" s="166"/>
      <c r="AM12" s="166">
        <v>3</v>
      </c>
      <c r="AN12" s="166"/>
      <c r="AO12" s="166"/>
      <c r="AP12" s="166">
        <v>3</v>
      </c>
      <c r="AQ12" s="166"/>
      <c r="AR12" s="166"/>
      <c r="AS12" s="166">
        <v>3</v>
      </c>
      <c r="AT12" s="166"/>
      <c r="AU12" s="166"/>
      <c r="AV12" s="166">
        <v>3</v>
      </c>
      <c r="AW12" s="166"/>
      <c r="AX12" s="166"/>
      <c r="AY12" s="166">
        <v>3</v>
      </c>
      <c r="AZ12" s="166"/>
      <c r="BA12" s="166"/>
      <c r="BB12" s="166">
        <v>3</v>
      </c>
      <c r="BC12" s="166"/>
      <c r="BD12" s="166"/>
      <c r="BE12" s="166">
        <v>3</v>
      </c>
      <c r="BF12" s="166"/>
      <c r="BG12" s="166"/>
      <c r="BH12" s="166">
        <v>3</v>
      </c>
      <c r="BI12" s="166"/>
      <c r="BJ12" s="166"/>
      <c r="BK12" s="166">
        <v>3</v>
      </c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</row>
    <row r="13" spans="1:77">
      <c r="A13" s="166"/>
      <c r="B13" s="166"/>
      <c r="C13" s="166"/>
      <c r="D13" s="166"/>
      <c r="E13" s="166"/>
      <c r="F13" s="166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</row>
    <row r="14" spans="1:77">
      <c r="A14" s="164" t="s">
        <v>46</v>
      </c>
      <c r="B14" s="164"/>
      <c r="C14" s="164"/>
      <c r="D14" s="164"/>
      <c r="E14" s="164"/>
      <c r="F14" s="164"/>
      <c r="G14" s="165" t="s">
        <v>46</v>
      </c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4">
        <v>1</v>
      </c>
      <c r="AK14" s="164"/>
      <c r="AL14" s="164"/>
      <c r="AM14" s="164">
        <v>4</v>
      </c>
      <c r="AN14" s="164"/>
      <c r="AO14" s="164"/>
      <c r="AP14" s="164">
        <v>3</v>
      </c>
      <c r="AQ14" s="164"/>
      <c r="AR14" s="164"/>
      <c r="AS14" s="164">
        <v>3</v>
      </c>
      <c r="AT14" s="164"/>
      <c r="AU14" s="164"/>
      <c r="AV14" s="164">
        <v>3</v>
      </c>
      <c r="AW14" s="164"/>
      <c r="AX14" s="164"/>
      <c r="AY14" s="164">
        <v>3</v>
      </c>
      <c r="AZ14" s="164"/>
      <c r="BA14" s="164"/>
      <c r="BB14" s="164">
        <v>3</v>
      </c>
      <c r="BC14" s="164"/>
      <c r="BD14" s="164"/>
      <c r="BE14" s="164">
        <v>3</v>
      </c>
      <c r="BF14" s="164"/>
      <c r="BG14" s="164"/>
      <c r="BH14" s="164">
        <v>4</v>
      </c>
      <c r="BI14" s="164"/>
      <c r="BJ14" s="164"/>
      <c r="BK14" s="164">
        <v>4</v>
      </c>
      <c r="BL14" s="164"/>
      <c r="BM14" s="164"/>
      <c r="BN14" s="164"/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</row>
    <row r="15" spans="1:77">
      <c r="A15" s="164"/>
      <c r="B15" s="164"/>
      <c r="C15" s="164"/>
      <c r="D15" s="164"/>
      <c r="E15" s="164"/>
      <c r="F15" s="164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164"/>
      <c r="AY15" s="164"/>
      <c r="AZ15" s="164"/>
      <c r="BA15" s="164"/>
      <c r="BB15" s="164"/>
      <c r="BC15" s="164"/>
      <c r="BD15" s="164"/>
      <c r="BE15" s="164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</row>
    <row r="16" spans="1:77">
      <c r="A16" s="166" t="s">
        <v>46</v>
      </c>
      <c r="B16" s="166"/>
      <c r="C16" s="166"/>
      <c r="D16" s="166"/>
      <c r="E16" s="166"/>
      <c r="F16" s="166"/>
      <c r="G16" s="167" t="s">
        <v>46</v>
      </c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6">
        <v>1</v>
      </c>
      <c r="AK16" s="166"/>
      <c r="AL16" s="166"/>
      <c r="AM16" s="166">
        <v>3</v>
      </c>
      <c r="AN16" s="166"/>
      <c r="AO16" s="166"/>
      <c r="AP16" s="166">
        <v>3</v>
      </c>
      <c r="AQ16" s="166"/>
      <c r="AR16" s="166"/>
      <c r="AS16" s="166">
        <v>3</v>
      </c>
      <c r="AT16" s="166"/>
      <c r="AU16" s="166"/>
      <c r="AV16" s="166">
        <v>3</v>
      </c>
      <c r="AW16" s="166"/>
      <c r="AX16" s="166"/>
      <c r="AY16" s="166">
        <v>3</v>
      </c>
      <c r="AZ16" s="166"/>
      <c r="BA16" s="166"/>
      <c r="BB16" s="166">
        <v>3</v>
      </c>
      <c r="BC16" s="166"/>
      <c r="BD16" s="166"/>
      <c r="BE16" s="166">
        <v>3</v>
      </c>
      <c r="BF16" s="166"/>
      <c r="BG16" s="166"/>
      <c r="BH16" s="166">
        <v>3</v>
      </c>
      <c r="BI16" s="166"/>
      <c r="BJ16" s="166"/>
      <c r="BK16" s="166">
        <v>3</v>
      </c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</row>
    <row r="17" spans="1:77">
      <c r="A17" s="166"/>
      <c r="B17" s="166"/>
      <c r="C17" s="166"/>
      <c r="D17" s="166"/>
      <c r="E17" s="166"/>
      <c r="F17" s="166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</row>
    <row r="18" spans="1:77">
      <c r="A18" s="164" t="s">
        <v>46</v>
      </c>
      <c r="B18" s="164"/>
      <c r="C18" s="164"/>
      <c r="D18" s="164"/>
      <c r="E18" s="164"/>
      <c r="F18" s="164"/>
      <c r="G18" s="165" t="s">
        <v>46</v>
      </c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4">
        <v>1</v>
      </c>
      <c r="AK18" s="164"/>
      <c r="AL18" s="164"/>
      <c r="AM18" s="164">
        <v>3</v>
      </c>
      <c r="AN18" s="164"/>
      <c r="AO18" s="164"/>
      <c r="AP18" s="164">
        <v>3</v>
      </c>
      <c r="AQ18" s="164"/>
      <c r="AR18" s="164"/>
      <c r="AS18" s="164">
        <v>3</v>
      </c>
      <c r="AT18" s="164"/>
      <c r="AU18" s="164"/>
      <c r="AV18" s="164">
        <v>3</v>
      </c>
      <c r="AW18" s="164"/>
      <c r="AX18" s="164"/>
      <c r="AY18" s="164">
        <v>3</v>
      </c>
      <c r="AZ18" s="164"/>
      <c r="BA18" s="164"/>
      <c r="BB18" s="164">
        <v>3</v>
      </c>
      <c r="BC18" s="164"/>
      <c r="BD18" s="164"/>
      <c r="BE18" s="164">
        <v>3</v>
      </c>
      <c r="BF18" s="164"/>
      <c r="BG18" s="164"/>
      <c r="BH18" s="164">
        <v>3</v>
      </c>
      <c r="BI18" s="164"/>
      <c r="BJ18" s="164"/>
      <c r="BK18" s="164">
        <v>3</v>
      </c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</row>
    <row r="19" spans="1:77">
      <c r="A19" s="164"/>
      <c r="B19" s="164"/>
      <c r="C19" s="164"/>
      <c r="D19" s="164"/>
      <c r="E19" s="164"/>
      <c r="F19" s="164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</row>
    <row r="20" spans="1:77">
      <c r="A20" s="166" t="s">
        <v>46</v>
      </c>
      <c r="B20" s="166"/>
      <c r="C20" s="166"/>
      <c r="D20" s="166"/>
      <c r="E20" s="166"/>
      <c r="F20" s="166"/>
      <c r="G20" s="167" t="s">
        <v>46</v>
      </c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6">
        <v>1</v>
      </c>
      <c r="AK20" s="166"/>
      <c r="AL20" s="166"/>
      <c r="AM20" s="166">
        <v>4</v>
      </c>
      <c r="AN20" s="166"/>
      <c r="AO20" s="166"/>
      <c r="AP20" s="166">
        <v>3</v>
      </c>
      <c r="AQ20" s="166"/>
      <c r="AR20" s="166"/>
      <c r="AS20" s="166">
        <v>3</v>
      </c>
      <c r="AT20" s="166"/>
      <c r="AU20" s="166"/>
      <c r="AV20" s="166">
        <v>3</v>
      </c>
      <c r="AW20" s="166"/>
      <c r="AX20" s="166"/>
      <c r="AY20" s="166">
        <v>3</v>
      </c>
      <c r="AZ20" s="166"/>
      <c r="BA20" s="166"/>
      <c r="BB20" s="166">
        <v>3</v>
      </c>
      <c r="BC20" s="166"/>
      <c r="BD20" s="166"/>
      <c r="BE20" s="166">
        <v>3</v>
      </c>
      <c r="BF20" s="166"/>
      <c r="BG20" s="166"/>
      <c r="BH20" s="166">
        <v>3</v>
      </c>
      <c r="BI20" s="166"/>
      <c r="BJ20" s="166"/>
      <c r="BK20" s="166">
        <v>4</v>
      </c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</row>
    <row r="21" spans="1:77">
      <c r="A21" s="166"/>
      <c r="B21" s="166"/>
      <c r="C21" s="166"/>
      <c r="D21" s="166"/>
      <c r="E21" s="166"/>
      <c r="F21" s="166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  <c r="BF21" s="166"/>
      <c r="BG21" s="166"/>
      <c r="BH21" s="166"/>
      <c r="BI21" s="166"/>
      <c r="BJ21" s="166"/>
      <c r="BK21" s="166"/>
      <c r="BL21" s="166"/>
      <c r="BM21" s="166"/>
      <c r="BN21" s="166"/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</row>
    <row r="22" spans="1:77">
      <c r="A22" s="164" t="s">
        <v>46</v>
      </c>
      <c r="B22" s="164"/>
      <c r="C22" s="164"/>
      <c r="D22" s="164"/>
      <c r="E22" s="164"/>
      <c r="F22" s="164"/>
      <c r="G22" s="165" t="s">
        <v>46</v>
      </c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4">
        <v>1</v>
      </c>
      <c r="AK22" s="164"/>
      <c r="AL22" s="164"/>
      <c r="AM22" s="164">
        <v>4</v>
      </c>
      <c r="AN22" s="164"/>
      <c r="AO22" s="164"/>
      <c r="AP22" s="164">
        <v>3</v>
      </c>
      <c r="AQ22" s="164"/>
      <c r="AR22" s="164"/>
      <c r="AS22" s="164">
        <v>3</v>
      </c>
      <c r="AT22" s="164"/>
      <c r="AU22" s="164"/>
      <c r="AV22" s="164">
        <v>3</v>
      </c>
      <c r="AW22" s="164"/>
      <c r="AX22" s="164"/>
      <c r="AY22" s="164">
        <v>3</v>
      </c>
      <c r="AZ22" s="164"/>
      <c r="BA22" s="164"/>
      <c r="BB22" s="164">
        <v>3</v>
      </c>
      <c r="BC22" s="164"/>
      <c r="BD22" s="164"/>
      <c r="BE22" s="164">
        <v>3</v>
      </c>
      <c r="BF22" s="164"/>
      <c r="BG22" s="164"/>
      <c r="BH22" s="164">
        <v>4</v>
      </c>
      <c r="BI22" s="164"/>
      <c r="BJ22" s="164"/>
      <c r="BK22" s="164">
        <v>4</v>
      </c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</row>
    <row r="23" spans="1:77">
      <c r="A23" s="164"/>
      <c r="B23" s="164"/>
      <c r="C23" s="164"/>
      <c r="D23" s="164"/>
      <c r="E23" s="164"/>
      <c r="F23" s="164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</row>
    <row r="24" spans="1:77">
      <c r="A24" s="166" t="s">
        <v>46</v>
      </c>
      <c r="B24" s="166"/>
      <c r="C24" s="166"/>
      <c r="D24" s="166"/>
      <c r="E24" s="166"/>
      <c r="F24" s="166"/>
      <c r="G24" s="167" t="s">
        <v>46</v>
      </c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6">
        <v>1</v>
      </c>
      <c r="AK24" s="166"/>
      <c r="AL24" s="166"/>
      <c r="AM24" s="166">
        <v>3</v>
      </c>
      <c r="AN24" s="166"/>
      <c r="AO24" s="166"/>
      <c r="AP24" s="166">
        <v>3</v>
      </c>
      <c r="AQ24" s="166"/>
      <c r="AR24" s="166"/>
      <c r="AS24" s="166">
        <v>3</v>
      </c>
      <c r="AT24" s="166"/>
      <c r="AU24" s="166"/>
      <c r="AV24" s="166">
        <v>3</v>
      </c>
      <c r="AW24" s="166"/>
      <c r="AX24" s="166"/>
      <c r="AY24" s="166">
        <v>3</v>
      </c>
      <c r="AZ24" s="166"/>
      <c r="BA24" s="166"/>
      <c r="BB24" s="166">
        <v>3</v>
      </c>
      <c r="BC24" s="166"/>
      <c r="BD24" s="166"/>
      <c r="BE24" s="166">
        <v>3</v>
      </c>
      <c r="BF24" s="166"/>
      <c r="BG24" s="166"/>
      <c r="BH24" s="166">
        <v>3</v>
      </c>
      <c r="BI24" s="166"/>
      <c r="BJ24" s="166"/>
      <c r="BK24" s="166">
        <v>3</v>
      </c>
      <c r="BL24" s="166"/>
      <c r="BM24" s="166"/>
      <c r="BN24" s="166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</row>
    <row r="25" spans="1:77">
      <c r="A25" s="166"/>
      <c r="B25" s="166"/>
      <c r="C25" s="166"/>
      <c r="D25" s="166"/>
      <c r="E25" s="166"/>
      <c r="F25" s="166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</row>
    <row r="26" spans="1:77">
      <c r="A26" s="164" t="s">
        <v>46</v>
      </c>
      <c r="B26" s="164"/>
      <c r="C26" s="164"/>
      <c r="D26" s="164"/>
      <c r="E26" s="164"/>
      <c r="F26" s="164"/>
      <c r="G26" s="165" t="s">
        <v>46</v>
      </c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4">
        <v>1</v>
      </c>
      <c r="AK26" s="164"/>
      <c r="AL26" s="164"/>
      <c r="AM26" s="164">
        <v>3</v>
      </c>
      <c r="AN26" s="164"/>
      <c r="AO26" s="164"/>
      <c r="AP26" s="164">
        <v>3</v>
      </c>
      <c r="AQ26" s="164"/>
      <c r="AR26" s="164"/>
      <c r="AS26" s="164">
        <v>3</v>
      </c>
      <c r="AT26" s="164"/>
      <c r="AU26" s="164"/>
      <c r="AV26" s="164">
        <v>3</v>
      </c>
      <c r="AW26" s="164"/>
      <c r="AX26" s="164"/>
      <c r="AY26" s="164">
        <v>3</v>
      </c>
      <c r="AZ26" s="164"/>
      <c r="BA26" s="164"/>
      <c r="BB26" s="164">
        <v>3</v>
      </c>
      <c r="BC26" s="164"/>
      <c r="BD26" s="164"/>
      <c r="BE26" s="164">
        <v>3</v>
      </c>
      <c r="BF26" s="164"/>
      <c r="BG26" s="164"/>
      <c r="BH26" s="164">
        <v>3</v>
      </c>
      <c r="BI26" s="164"/>
      <c r="BJ26" s="164"/>
      <c r="BK26" s="164">
        <v>3</v>
      </c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</row>
    <row r="27" spans="1:77">
      <c r="A27" s="164"/>
      <c r="B27" s="164"/>
      <c r="C27" s="164"/>
      <c r="D27" s="164"/>
      <c r="E27" s="164"/>
      <c r="F27" s="164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</row>
    <row r="28" spans="1:77">
      <c r="A28" s="166" t="s">
        <v>46</v>
      </c>
      <c r="B28" s="166"/>
      <c r="C28" s="166"/>
      <c r="D28" s="166"/>
      <c r="E28" s="166"/>
      <c r="F28" s="166"/>
      <c r="G28" s="167" t="s">
        <v>46</v>
      </c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6">
        <v>1</v>
      </c>
      <c r="AK28" s="166"/>
      <c r="AL28" s="166"/>
      <c r="AM28" s="166">
        <v>3</v>
      </c>
      <c r="AN28" s="166"/>
      <c r="AO28" s="166"/>
      <c r="AP28" s="166">
        <v>3</v>
      </c>
      <c r="AQ28" s="166"/>
      <c r="AR28" s="166"/>
      <c r="AS28" s="166">
        <v>3</v>
      </c>
      <c r="AT28" s="166"/>
      <c r="AU28" s="166"/>
      <c r="AV28" s="166">
        <v>3</v>
      </c>
      <c r="AW28" s="166"/>
      <c r="AX28" s="166"/>
      <c r="AY28" s="166">
        <v>3</v>
      </c>
      <c r="AZ28" s="166"/>
      <c r="BA28" s="166"/>
      <c r="BB28" s="166">
        <v>3</v>
      </c>
      <c r="BC28" s="166"/>
      <c r="BD28" s="166"/>
      <c r="BE28" s="166">
        <v>3</v>
      </c>
      <c r="BF28" s="166"/>
      <c r="BG28" s="166"/>
      <c r="BH28" s="166">
        <v>3</v>
      </c>
      <c r="BI28" s="166"/>
      <c r="BJ28" s="166"/>
      <c r="BK28" s="166">
        <v>3</v>
      </c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</row>
    <row r="29" spans="1:77">
      <c r="A29" s="166"/>
      <c r="B29" s="166"/>
      <c r="C29" s="166"/>
      <c r="D29" s="166"/>
      <c r="E29" s="166"/>
      <c r="F29" s="166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</row>
    <row r="30" spans="1:77">
      <c r="A30" s="164" t="s">
        <v>46</v>
      </c>
      <c r="B30" s="164"/>
      <c r="C30" s="164"/>
      <c r="D30" s="164"/>
      <c r="E30" s="164"/>
      <c r="F30" s="164"/>
      <c r="G30" s="165" t="s">
        <v>46</v>
      </c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4">
        <v>1</v>
      </c>
      <c r="AK30" s="164"/>
      <c r="AL30" s="164"/>
      <c r="AM30" s="164">
        <v>3</v>
      </c>
      <c r="AN30" s="164"/>
      <c r="AO30" s="164"/>
      <c r="AP30" s="164">
        <v>3</v>
      </c>
      <c r="AQ30" s="164"/>
      <c r="AR30" s="164"/>
      <c r="AS30" s="164">
        <v>3</v>
      </c>
      <c r="AT30" s="164"/>
      <c r="AU30" s="164"/>
      <c r="AV30" s="164">
        <v>3</v>
      </c>
      <c r="AW30" s="164"/>
      <c r="AX30" s="164"/>
      <c r="AY30" s="164">
        <v>3</v>
      </c>
      <c r="AZ30" s="164"/>
      <c r="BA30" s="164"/>
      <c r="BB30" s="164">
        <v>3</v>
      </c>
      <c r="BC30" s="164"/>
      <c r="BD30" s="164"/>
      <c r="BE30" s="164">
        <v>3</v>
      </c>
      <c r="BF30" s="164"/>
      <c r="BG30" s="164"/>
      <c r="BH30" s="164">
        <v>3</v>
      </c>
      <c r="BI30" s="164"/>
      <c r="BJ30" s="164"/>
      <c r="BK30" s="164">
        <v>3</v>
      </c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</row>
    <row r="31" spans="1:77">
      <c r="A31" s="164"/>
      <c r="B31" s="164"/>
      <c r="C31" s="164"/>
      <c r="D31" s="164"/>
      <c r="E31" s="164"/>
      <c r="F31" s="164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</row>
    <row r="32" spans="1:77">
      <c r="A32" s="168" t="s">
        <v>46</v>
      </c>
      <c r="B32" s="168"/>
      <c r="C32" s="168"/>
      <c r="D32" s="168"/>
      <c r="E32" s="168"/>
      <c r="F32" s="168"/>
      <c r="G32" s="167" t="s">
        <v>46</v>
      </c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6">
        <v>1</v>
      </c>
      <c r="AK32" s="166"/>
      <c r="AL32" s="166"/>
      <c r="AM32" s="166">
        <v>3</v>
      </c>
      <c r="AN32" s="166"/>
      <c r="AO32" s="166"/>
      <c r="AP32" s="166">
        <v>3</v>
      </c>
      <c r="AQ32" s="166"/>
      <c r="AR32" s="166"/>
      <c r="AS32" s="166">
        <v>3</v>
      </c>
      <c r="AT32" s="166"/>
      <c r="AU32" s="166"/>
      <c r="AV32" s="166">
        <v>3</v>
      </c>
      <c r="AW32" s="166"/>
      <c r="AX32" s="166"/>
      <c r="AY32" s="166">
        <v>3</v>
      </c>
      <c r="AZ32" s="166"/>
      <c r="BA32" s="166"/>
      <c r="BB32" s="166">
        <v>3</v>
      </c>
      <c r="BC32" s="166"/>
      <c r="BD32" s="166"/>
      <c r="BE32" s="166">
        <v>3</v>
      </c>
      <c r="BF32" s="166"/>
      <c r="BG32" s="166"/>
      <c r="BH32" s="166">
        <v>3</v>
      </c>
      <c r="BI32" s="166"/>
      <c r="BJ32" s="166"/>
      <c r="BK32" s="166">
        <v>3</v>
      </c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</row>
    <row r="33" spans="1:77">
      <c r="A33" s="168"/>
      <c r="B33" s="168"/>
      <c r="C33" s="168"/>
      <c r="D33" s="168"/>
      <c r="E33" s="168"/>
      <c r="F33" s="168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</row>
    <row r="34" spans="1:77">
      <c r="A34" s="164" t="s">
        <v>46</v>
      </c>
      <c r="B34" s="164"/>
      <c r="C34" s="164"/>
      <c r="D34" s="164"/>
      <c r="E34" s="164"/>
      <c r="F34" s="164"/>
      <c r="G34" s="165" t="s">
        <v>46</v>
      </c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4">
        <v>1</v>
      </c>
      <c r="AK34" s="164"/>
      <c r="AL34" s="164"/>
      <c r="AM34" s="164">
        <v>3</v>
      </c>
      <c r="AN34" s="164"/>
      <c r="AO34" s="164"/>
      <c r="AP34" s="164">
        <v>3</v>
      </c>
      <c r="AQ34" s="164"/>
      <c r="AR34" s="164"/>
      <c r="AS34" s="164">
        <v>3</v>
      </c>
      <c r="AT34" s="164"/>
      <c r="AU34" s="164"/>
      <c r="AV34" s="164">
        <v>3</v>
      </c>
      <c r="AW34" s="164"/>
      <c r="AX34" s="164"/>
      <c r="AY34" s="164">
        <v>3</v>
      </c>
      <c r="AZ34" s="164"/>
      <c r="BA34" s="164"/>
      <c r="BB34" s="164">
        <v>3</v>
      </c>
      <c r="BC34" s="164"/>
      <c r="BD34" s="164"/>
      <c r="BE34" s="164">
        <v>3</v>
      </c>
      <c r="BF34" s="164"/>
      <c r="BG34" s="164"/>
      <c r="BH34" s="164">
        <v>3</v>
      </c>
      <c r="BI34" s="164"/>
      <c r="BJ34" s="164"/>
      <c r="BK34" s="164">
        <v>3</v>
      </c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</row>
    <row r="35" spans="1:77">
      <c r="A35" s="164"/>
      <c r="B35" s="164"/>
      <c r="C35" s="164"/>
      <c r="D35" s="164"/>
      <c r="E35" s="164"/>
      <c r="F35" s="164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</row>
    <row r="36" spans="1:77">
      <c r="A36" s="166" t="s">
        <v>46</v>
      </c>
      <c r="B36" s="166"/>
      <c r="C36" s="166"/>
      <c r="D36" s="166"/>
      <c r="E36" s="166"/>
      <c r="F36" s="166"/>
      <c r="G36" s="167" t="s">
        <v>46</v>
      </c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6">
        <v>1</v>
      </c>
      <c r="AK36" s="166"/>
      <c r="AL36" s="166"/>
      <c r="AM36" s="166">
        <v>3</v>
      </c>
      <c r="AN36" s="166"/>
      <c r="AO36" s="166"/>
      <c r="AP36" s="166">
        <v>3</v>
      </c>
      <c r="AQ36" s="166"/>
      <c r="AR36" s="166"/>
      <c r="AS36" s="166">
        <v>3</v>
      </c>
      <c r="AT36" s="166"/>
      <c r="AU36" s="166"/>
      <c r="AV36" s="166">
        <v>3</v>
      </c>
      <c r="AW36" s="166"/>
      <c r="AX36" s="166"/>
      <c r="AY36" s="166">
        <v>3</v>
      </c>
      <c r="AZ36" s="166"/>
      <c r="BA36" s="166"/>
      <c r="BB36" s="166">
        <v>3</v>
      </c>
      <c r="BC36" s="166"/>
      <c r="BD36" s="166"/>
      <c r="BE36" s="166">
        <v>3</v>
      </c>
      <c r="BF36" s="166"/>
      <c r="BG36" s="166"/>
      <c r="BH36" s="166">
        <v>3</v>
      </c>
      <c r="BI36" s="166"/>
      <c r="BJ36" s="166"/>
      <c r="BK36" s="166">
        <v>3</v>
      </c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</row>
    <row r="37" spans="1:77">
      <c r="A37" s="166"/>
      <c r="B37" s="166"/>
      <c r="C37" s="166"/>
      <c r="D37" s="166"/>
      <c r="E37" s="166"/>
      <c r="F37" s="166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</row>
    <row r="38" spans="1:77">
      <c r="A38" s="164" t="s">
        <v>46</v>
      </c>
      <c r="B38" s="164"/>
      <c r="C38" s="164"/>
      <c r="D38" s="164"/>
      <c r="E38" s="164"/>
      <c r="F38" s="164"/>
      <c r="G38" s="165" t="s">
        <v>46</v>
      </c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4">
        <v>1</v>
      </c>
      <c r="AK38" s="164"/>
      <c r="AL38" s="164"/>
      <c r="AM38" s="164">
        <v>3</v>
      </c>
      <c r="AN38" s="164"/>
      <c r="AO38" s="164"/>
      <c r="AP38" s="164">
        <v>3</v>
      </c>
      <c r="AQ38" s="164"/>
      <c r="AR38" s="164"/>
      <c r="AS38" s="164">
        <v>3</v>
      </c>
      <c r="AT38" s="164"/>
      <c r="AU38" s="164"/>
      <c r="AV38" s="164">
        <v>3</v>
      </c>
      <c r="AW38" s="164"/>
      <c r="AX38" s="164"/>
      <c r="AY38" s="164">
        <v>3</v>
      </c>
      <c r="AZ38" s="164"/>
      <c r="BA38" s="164"/>
      <c r="BB38" s="164">
        <v>3</v>
      </c>
      <c r="BC38" s="164"/>
      <c r="BD38" s="164"/>
      <c r="BE38" s="164">
        <v>3</v>
      </c>
      <c r="BF38" s="164"/>
      <c r="BG38" s="164"/>
      <c r="BH38" s="164">
        <v>3</v>
      </c>
      <c r="BI38" s="164"/>
      <c r="BJ38" s="164"/>
      <c r="BK38" s="164">
        <v>3</v>
      </c>
      <c r="BL38" s="164"/>
      <c r="BM38" s="164"/>
      <c r="BN38" s="164"/>
      <c r="BO38" s="164"/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</row>
    <row r="39" spans="1:77">
      <c r="A39" s="164"/>
      <c r="B39" s="164"/>
      <c r="C39" s="164"/>
      <c r="D39" s="164"/>
      <c r="E39" s="164"/>
      <c r="F39" s="164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  <c r="BJ39" s="164"/>
      <c r="BK39" s="164"/>
      <c r="BL39" s="164"/>
      <c r="BM39" s="164"/>
      <c r="BN39" s="164"/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</row>
    <row r="40" spans="1:77">
      <c r="A40" s="166" t="s">
        <v>46</v>
      </c>
      <c r="B40" s="166"/>
      <c r="C40" s="166"/>
      <c r="D40" s="166"/>
      <c r="E40" s="166"/>
      <c r="F40" s="166"/>
      <c r="G40" s="167" t="s">
        <v>46</v>
      </c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6">
        <v>1</v>
      </c>
      <c r="AK40" s="166"/>
      <c r="AL40" s="166"/>
      <c r="AM40" s="166">
        <v>3</v>
      </c>
      <c r="AN40" s="166"/>
      <c r="AO40" s="166"/>
      <c r="AP40" s="166">
        <v>3</v>
      </c>
      <c r="AQ40" s="166"/>
      <c r="AR40" s="166"/>
      <c r="AS40" s="166">
        <v>3</v>
      </c>
      <c r="AT40" s="166"/>
      <c r="AU40" s="166"/>
      <c r="AV40" s="166">
        <v>3</v>
      </c>
      <c r="AW40" s="166"/>
      <c r="AX40" s="166"/>
      <c r="AY40" s="166">
        <v>3</v>
      </c>
      <c r="AZ40" s="166"/>
      <c r="BA40" s="166"/>
      <c r="BB40" s="166">
        <v>3</v>
      </c>
      <c r="BC40" s="166"/>
      <c r="BD40" s="166"/>
      <c r="BE40" s="166">
        <v>3</v>
      </c>
      <c r="BF40" s="166"/>
      <c r="BG40" s="166"/>
      <c r="BH40" s="166">
        <v>3</v>
      </c>
      <c r="BI40" s="166"/>
      <c r="BJ40" s="166"/>
      <c r="BK40" s="166">
        <v>3</v>
      </c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</row>
    <row r="41" spans="1:77">
      <c r="A41" s="166"/>
      <c r="B41" s="166"/>
      <c r="C41" s="166"/>
      <c r="D41" s="166"/>
      <c r="E41" s="166"/>
      <c r="F41" s="166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</row>
    <row r="42" spans="1:77" ht="20.25" customHeight="1">
      <c r="AC42" s="5"/>
      <c r="AD42" s="5"/>
      <c r="AE42" s="171" t="s">
        <v>24</v>
      </c>
      <c r="AF42" s="171"/>
      <c r="AG42" s="171"/>
      <c r="AH42" s="171"/>
      <c r="AI42" s="171"/>
      <c r="AJ42" s="172">
        <f>SUM(AJ10:AL41)/16</f>
        <v>1</v>
      </c>
      <c r="AK42" s="172"/>
      <c r="AL42" s="172"/>
      <c r="AM42" s="172">
        <f>SUM(AM10:AO41)/16</f>
        <v>3.25</v>
      </c>
      <c r="AN42" s="172"/>
      <c r="AO42" s="172"/>
      <c r="AP42" s="172">
        <f>IF(AP10="","",(SUM(AP10:AR41)/16))</f>
        <v>3</v>
      </c>
      <c r="AQ42" s="172"/>
      <c r="AR42" s="172"/>
      <c r="AS42" s="172">
        <f t="shared" ref="AS42" si="0">IF(AS10="","",(SUM(AS10:AU41)/16))</f>
        <v>3</v>
      </c>
      <c r="AT42" s="172"/>
      <c r="AU42" s="172"/>
      <c r="AV42" s="172">
        <f t="shared" ref="AV42" si="1">IF(AV10="","",(SUM(AV10:AX41)/16))</f>
        <v>3</v>
      </c>
      <c r="AW42" s="172"/>
      <c r="AX42" s="172"/>
      <c r="AY42" s="172">
        <f t="shared" ref="AY42" si="2">IF(AY10="","",(SUM(AY10:BA41)/16))</f>
        <v>3</v>
      </c>
      <c r="AZ42" s="172"/>
      <c r="BA42" s="172"/>
      <c r="BB42" s="172">
        <f t="shared" ref="BB42" si="3">IF(BB10="","",(SUM(BB10:BD41)/16))</f>
        <v>3</v>
      </c>
      <c r="BC42" s="172"/>
      <c r="BD42" s="172"/>
      <c r="BE42" s="172">
        <f t="shared" ref="BE42" si="4">IF(BE10="","",(SUM(BE10:BG41)/16))</f>
        <v>3</v>
      </c>
      <c r="BF42" s="172"/>
      <c r="BG42" s="172"/>
      <c r="BH42" s="172">
        <f t="shared" ref="BH42" si="5">IF(BH10="","",(SUM(BH10:BJ41)/16))</f>
        <v>3.125</v>
      </c>
      <c r="BI42" s="172"/>
      <c r="BJ42" s="172"/>
      <c r="BK42" s="172">
        <f t="shared" ref="BK42" si="6">IF(BK10="","",(SUM(BK10:BM41)/16))</f>
        <v>3.25</v>
      </c>
      <c r="BL42" s="172"/>
      <c r="BM42" s="172"/>
      <c r="BN42" s="172" t="str">
        <f t="shared" ref="BN42" si="7">IF(BN10="","",(SUM(BN10:BP41)/16))</f>
        <v/>
      </c>
      <c r="BO42" s="172"/>
      <c r="BP42" s="172"/>
      <c r="BQ42" s="172" t="str">
        <f t="shared" ref="BQ42" si="8">IF(BQ10="","",(SUM(BQ10:BS41)/16))</f>
        <v/>
      </c>
      <c r="BR42" s="172"/>
      <c r="BS42" s="172"/>
      <c r="BT42" s="172" t="str">
        <f t="shared" ref="BT42" si="9">IF(BT10="","",(SUM(BT10:BV41)/16))</f>
        <v/>
      </c>
      <c r="BU42" s="172"/>
      <c r="BV42" s="172"/>
      <c r="BW42" s="172" t="str">
        <f t="shared" ref="BW42" si="10">IF(BW10="","",(SUM(BW10:BY41)/16))</f>
        <v/>
      </c>
      <c r="BX42" s="172"/>
      <c r="BY42" s="172"/>
    </row>
    <row r="43" spans="1:77" ht="20.25" customHeight="1">
      <c r="AC43" s="5"/>
      <c r="AD43" s="5"/>
      <c r="AE43" s="173" t="s">
        <v>25</v>
      </c>
      <c r="AF43" s="173"/>
      <c r="AG43" s="173"/>
      <c r="AH43" s="173"/>
      <c r="AI43" s="173"/>
      <c r="AJ43" s="182"/>
      <c r="AK43" s="182"/>
      <c r="AL43" s="182"/>
      <c r="AM43" s="173">
        <f>IF(AM38="","",(SUM(AM42-$AJ$42)))</f>
        <v>2.25</v>
      </c>
      <c r="AN43" s="173"/>
      <c r="AO43" s="173"/>
      <c r="AP43" s="173">
        <f>IF(AP10="","",(SUM(AP42-$AJ$42)))</f>
        <v>2</v>
      </c>
      <c r="AQ43" s="173"/>
      <c r="AR43" s="173"/>
      <c r="AS43" s="173">
        <f t="shared" ref="AS43" si="11">IF(AS10="","",(SUM(AS42-$AJ$42)))</f>
        <v>2</v>
      </c>
      <c r="AT43" s="173"/>
      <c r="AU43" s="173"/>
      <c r="AV43" s="173">
        <f t="shared" ref="AV43" si="12">IF(AV10="","",(SUM(AV42-$AJ$42)))</f>
        <v>2</v>
      </c>
      <c r="AW43" s="173"/>
      <c r="AX43" s="173"/>
      <c r="AY43" s="173">
        <f t="shared" ref="AY43" si="13">IF(AY10="","",(SUM(AY42-$AJ$42)))</f>
        <v>2</v>
      </c>
      <c r="AZ43" s="173"/>
      <c r="BA43" s="173"/>
      <c r="BB43" s="173">
        <f t="shared" ref="BB43" si="14">IF(BB10="","",(SUM(BB42-$AJ$42)))</f>
        <v>2</v>
      </c>
      <c r="BC43" s="173"/>
      <c r="BD43" s="173"/>
      <c r="BE43" s="173">
        <f t="shared" ref="BE43" si="15">IF(BE10="","",(SUM(BE42-$AJ$42)))</f>
        <v>2</v>
      </c>
      <c r="BF43" s="173"/>
      <c r="BG43" s="173"/>
      <c r="BH43" s="173">
        <f t="shared" ref="BH43" si="16">IF(BH10="","",(SUM(BH42-$AJ$42)))</f>
        <v>2.125</v>
      </c>
      <c r="BI43" s="173"/>
      <c r="BJ43" s="173"/>
      <c r="BK43" s="173">
        <f t="shared" ref="BK43" si="17">IF(BK10="","",(SUM(BK42-$AJ$42)))</f>
        <v>2.25</v>
      </c>
      <c r="BL43" s="173"/>
      <c r="BM43" s="173"/>
      <c r="BN43" s="173" t="str">
        <f t="shared" ref="BN43" si="18">IF(BN10="","",(SUM(BN42-$AJ$42)))</f>
        <v/>
      </c>
      <c r="BO43" s="173"/>
      <c r="BP43" s="173"/>
      <c r="BQ43" s="173" t="str">
        <f t="shared" ref="BQ43" si="19">IF(BQ10="","",(SUM(BQ42-$AJ$42)))</f>
        <v/>
      </c>
      <c r="BR43" s="173"/>
      <c r="BS43" s="173"/>
      <c r="BT43" s="173" t="str">
        <f t="shared" ref="BT43" si="20">IF(BT10="","",(SUM(BT42-$AJ$42)))</f>
        <v/>
      </c>
      <c r="BU43" s="173"/>
      <c r="BV43" s="173"/>
      <c r="BW43" s="173" t="str">
        <f t="shared" ref="BW43" si="21">IF(BW10="","",(SUM(BW42-$AJ$42)))</f>
        <v/>
      </c>
      <c r="BX43" s="173"/>
      <c r="BY43" s="173"/>
    </row>
    <row r="44" spans="1:77" ht="15" thickBot="1"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13"/>
      <c r="AN44" s="13"/>
      <c r="AO44" s="13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ht="15" thickTop="1">
      <c r="J45" s="176" t="s">
        <v>26</v>
      </c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8" t="s">
        <v>27</v>
      </c>
      <c r="V45" s="178"/>
      <c r="W45" s="179"/>
      <c r="Z45" s="176" t="s">
        <v>28</v>
      </c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8" t="s">
        <v>29</v>
      </c>
      <c r="AL45" s="178"/>
      <c r="AM45" s="178"/>
      <c r="AN45" s="178"/>
      <c r="AO45" s="178"/>
      <c r="AP45" s="179"/>
      <c r="AS45" s="176" t="s">
        <v>30</v>
      </c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8" t="s">
        <v>31</v>
      </c>
      <c r="BE45" s="178"/>
      <c r="BF45" s="179"/>
      <c r="BI45" s="176" t="s">
        <v>32</v>
      </c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8" t="s">
        <v>33</v>
      </c>
      <c r="BU45" s="178"/>
      <c r="BV45" s="179"/>
      <c r="BW45" s="6"/>
      <c r="BX45" s="6"/>
    </row>
    <row r="46" spans="1:77" ht="15" thickBot="1">
      <c r="J46" s="174" t="s">
        <v>34</v>
      </c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80"/>
      <c r="V46" s="180"/>
      <c r="W46" s="181"/>
      <c r="Z46" s="174" t="s">
        <v>35</v>
      </c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80"/>
      <c r="AL46" s="180"/>
      <c r="AM46" s="180"/>
      <c r="AN46" s="180"/>
      <c r="AO46" s="180"/>
      <c r="AP46" s="181"/>
      <c r="AS46" s="174" t="s">
        <v>36</v>
      </c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80"/>
      <c r="BE46" s="180"/>
      <c r="BF46" s="181"/>
      <c r="BI46" s="174" t="s">
        <v>37</v>
      </c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80"/>
      <c r="BU46" s="180"/>
      <c r="BV46" s="181"/>
      <c r="BW46" s="6"/>
      <c r="BX46" s="6"/>
    </row>
    <row r="47" spans="1:77" ht="15" thickTop="1"/>
  </sheetData>
  <mergeCells count="362">
    <mergeCell ref="Z46:AJ46"/>
    <mergeCell ref="AS46:BC46"/>
    <mergeCell ref="BI46:BS46"/>
    <mergeCell ref="BW43:BY43"/>
    <mergeCell ref="J45:T45"/>
    <mergeCell ref="U45:W46"/>
    <mergeCell ref="Z45:AJ45"/>
    <mergeCell ref="AK45:AP46"/>
    <mergeCell ref="AS45:BC45"/>
    <mergeCell ref="BD45:BF46"/>
    <mergeCell ref="BI45:BS45"/>
    <mergeCell ref="BT45:BV46"/>
    <mergeCell ref="J46:T46"/>
    <mergeCell ref="BE43:BG43"/>
    <mergeCell ref="BH43:BJ43"/>
    <mergeCell ref="BK43:BM43"/>
    <mergeCell ref="BN43:BP43"/>
    <mergeCell ref="BQ43:BS43"/>
    <mergeCell ref="BT43:BV43"/>
    <mergeCell ref="AE43:AI43"/>
    <mergeCell ref="AJ43:AL43"/>
    <mergeCell ref="AP43:AR43"/>
    <mergeCell ref="AS43:AU43"/>
    <mergeCell ref="AV43:AX43"/>
    <mergeCell ref="AY43:BA43"/>
    <mergeCell ref="BB43:BD43"/>
    <mergeCell ref="AY42:BA42"/>
    <mergeCell ref="BB42:BD42"/>
    <mergeCell ref="AM43:AO43"/>
    <mergeCell ref="BN40:BP41"/>
    <mergeCell ref="BQ40:BS41"/>
    <mergeCell ref="BT40:BV41"/>
    <mergeCell ref="BW40:BY41"/>
    <mergeCell ref="BE40:BG41"/>
    <mergeCell ref="BH40:BJ41"/>
    <mergeCell ref="BK40:BM41"/>
    <mergeCell ref="BQ42:BS42"/>
    <mergeCell ref="BT42:BV42"/>
    <mergeCell ref="BW42:BY42"/>
    <mergeCell ref="BE42:BG42"/>
    <mergeCell ref="BH42:BJ42"/>
    <mergeCell ref="BK42:BM42"/>
    <mergeCell ref="BN42:BP42"/>
    <mergeCell ref="AE42:AI42"/>
    <mergeCell ref="AJ42:AL42"/>
    <mergeCell ref="AP42:AR42"/>
    <mergeCell ref="AS42:AU42"/>
    <mergeCell ref="AV42:AX42"/>
    <mergeCell ref="AV40:AX41"/>
    <mergeCell ref="AY40:BA41"/>
    <mergeCell ref="BB40:BD41"/>
    <mergeCell ref="AM42:AO42"/>
    <mergeCell ref="A40:F41"/>
    <mergeCell ref="G40:AI40"/>
    <mergeCell ref="AJ40:AL41"/>
    <mergeCell ref="AP40:AR41"/>
    <mergeCell ref="AS40:AU41"/>
    <mergeCell ref="AV38:AX39"/>
    <mergeCell ref="AY38:BA39"/>
    <mergeCell ref="BB38:BD39"/>
    <mergeCell ref="BE38:BG39"/>
    <mergeCell ref="AM40:AO41"/>
    <mergeCell ref="G41:AI41"/>
    <mergeCell ref="BN36:BP37"/>
    <mergeCell ref="BQ36:BS37"/>
    <mergeCell ref="BT36:BV37"/>
    <mergeCell ref="BW36:BY37"/>
    <mergeCell ref="G37:AI37"/>
    <mergeCell ref="A38:F39"/>
    <mergeCell ref="G38:AI38"/>
    <mergeCell ref="AJ38:AL39"/>
    <mergeCell ref="AP38:AR39"/>
    <mergeCell ref="AS38:AU39"/>
    <mergeCell ref="AV36:AX37"/>
    <mergeCell ref="AY36:BA37"/>
    <mergeCell ref="BB36:BD37"/>
    <mergeCell ref="BE36:BG37"/>
    <mergeCell ref="BH36:BJ37"/>
    <mergeCell ref="BK36:BM37"/>
    <mergeCell ref="AM38:AO39"/>
    <mergeCell ref="BN38:BP39"/>
    <mergeCell ref="BQ38:BS39"/>
    <mergeCell ref="BT38:BV39"/>
    <mergeCell ref="BW38:BY39"/>
    <mergeCell ref="G39:AI39"/>
    <mergeCell ref="BH38:BJ39"/>
    <mergeCell ref="BK38:BM39"/>
    <mergeCell ref="A36:F37"/>
    <mergeCell ref="G36:AI36"/>
    <mergeCell ref="AJ36:AL37"/>
    <mergeCell ref="AP36:AR37"/>
    <mergeCell ref="AS36:AU37"/>
    <mergeCell ref="AV34:AX35"/>
    <mergeCell ref="AY34:BA35"/>
    <mergeCell ref="BB34:BD35"/>
    <mergeCell ref="BE34:BG35"/>
    <mergeCell ref="AM36:AO37"/>
    <mergeCell ref="BN32:BP33"/>
    <mergeCell ref="BQ32:BS33"/>
    <mergeCell ref="BT32:BV33"/>
    <mergeCell ref="BW32:BY33"/>
    <mergeCell ref="G33:AI33"/>
    <mergeCell ref="A34:F35"/>
    <mergeCell ref="G34:AI34"/>
    <mergeCell ref="AJ34:AL35"/>
    <mergeCell ref="AP34:AR35"/>
    <mergeCell ref="AS34:AU35"/>
    <mergeCell ref="AV32:AX33"/>
    <mergeCell ref="AY32:BA33"/>
    <mergeCell ref="BB32:BD33"/>
    <mergeCell ref="BE32:BG33"/>
    <mergeCell ref="BH32:BJ33"/>
    <mergeCell ref="BK32:BM33"/>
    <mergeCell ref="AM34:AO35"/>
    <mergeCell ref="BN34:BP35"/>
    <mergeCell ref="BQ34:BS35"/>
    <mergeCell ref="BT34:BV35"/>
    <mergeCell ref="BW34:BY35"/>
    <mergeCell ref="G35:AI35"/>
    <mergeCell ref="BH34:BJ35"/>
    <mergeCell ref="BK34:BM35"/>
    <mergeCell ref="A32:F33"/>
    <mergeCell ref="G32:AI32"/>
    <mergeCell ref="AJ32:AL33"/>
    <mergeCell ref="AP32:AR33"/>
    <mergeCell ref="AS32:AU33"/>
    <mergeCell ref="AV30:AX31"/>
    <mergeCell ref="AY30:BA31"/>
    <mergeCell ref="BB30:BD31"/>
    <mergeCell ref="BE30:BG31"/>
    <mergeCell ref="AM32:AO33"/>
    <mergeCell ref="BN28:BP29"/>
    <mergeCell ref="BQ28:BS29"/>
    <mergeCell ref="BT28:BV29"/>
    <mergeCell ref="BW28:BY29"/>
    <mergeCell ref="G29:AI29"/>
    <mergeCell ref="A30:F31"/>
    <mergeCell ref="G30:AI30"/>
    <mergeCell ref="AJ30:AL31"/>
    <mergeCell ref="AP30:AR31"/>
    <mergeCell ref="AS30:AU31"/>
    <mergeCell ref="AV28:AX29"/>
    <mergeCell ref="AY28:BA29"/>
    <mergeCell ref="BB28:BD29"/>
    <mergeCell ref="BE28:BG29"/>
    <mergeCell ref="BH28:BJ29"/>
    <mergeCell ref="BK28:BM29"/>
    <mergeCell ref="AM30:AO31"/>
    <mergeCell ref="BN30:BP31"/>
    <mergeCell ref="BQ30:BS31"/>
    <mergeCell ref="BT30:BV31"/>
    <mergeCell ref="BW30:BY31"/>
    <mergeCell ref="G31:AI31"/>
    <mergeCell ref="BH30:BJ31"/>
    <mergeCell ref="BK30:BM31"/>
    <mergeCell ref="A28:F29"/>
    <mergeCell ref="G28:AI28"/>
    <mergeCell ref="AJ28:AL29"/>
    <mergeCell ref="AP28:AR29"/>
    <mergeCell ref="AS28:AU29"/>
    <mergeCell ref="AV26:AX27"/>
    <mergeCell ref="AY26:BA27"/>
    <mergeCell ref="BB26:BD27"/>
    <mergeCell ref="BE26:BG27"/>
    <mergeCell ref="AM28:AO29"/>
    <mergeCell ref="BN24:BP25"/>
    <mergeCell ref="BQ24:BS25"/>
    <mergeCell ref="BT24:BV25"/>
    <mergeCell ref="BW24:BY25"/>
    <mergeCell ref="G25:AI25"/>
    <mergeCell ref="A26:F27"/>
    <mergeCell ref="G26:AI26"/>
    <mergeCell ref="AJ26:AL27"/>
    <mergeCell ref="AP26:AR27"/>
    <mergeCell ref="AS26:AU27"/>
    <mergeCell ref="AV24:AX25"/>
    <mergeCell ref="AY24:BA25"/>
    <mergeCell ref="BB24:BD25"/>
    <mergeCell ref="BE24:BG25"/>
    <mergeCell ref="BH24:BJ25"/>
    <mergeCell ref="BK24:BM25"/>
    <mergeCell ref="AM26:AO27"/>
    <mergeCell ref="BN26:BP27"/>
    <mergeCell ref="BQ26:BS27"/>
    <mergeCell ref="BT26:BV27"/>
    <mergeCell ref="BW26:BY27"/>
    <mergeCell ref="G27:AI27"/>
    <mergeCell ref="BH26:BJ27"/>
    <mergeCell ref="BK26:BM27"/>
    <mergeCell ref="A24:F25"/>
    <mergeCell ref="G24:AI24"/>
    <mergeCell ref="AJ24:AL25"/>
    <mergeCell ref="AP24:AR25"/>
    <mergeCell ref="AS24:AU25"/>
    <mergeCell ref="AV22:AX23"/>
    <mergeCell ref="AY22:BA23"/>
    <mergeCell ref="BB22:BD23"/>
    <mergeCell ref="BE22:BG23"/>
    <mergeCell ref="AM24:AO25"/>
    <mergeCell ref="BN20:BP21"/>
    <mergeCell ref="BQ20:BS21"/>
    <mergeCell ref="BT20:BV21"/>
    <mergeCell ref="BW20:BY21"/>
    <mergeCell ref="G21:AI21"/>
    <mergeCell ref="A22:F23"/>
    <mergeCell ref="G22:AI22"/>
    <mergeCell ref="AJ22:AL23"/>
    <mergeCell ref="AP22:AR23"/>
    <mergeCell ref="AS22:AU23"/>
    <mergeCell ref="AV20:AX21"/>
    <mergeCell ref="AY20:BA21"/>
    <mergeCell ref="BB20:BD21"/>
    <mergeCell ref="BE20:BG21"/>
    <mergeCell ref="BH20:BJ21"/>
    <mergeCell ref="BK20:BM21"/>
    <mergeCell ref="AM22:AO23"/>
    <mergeCell ref="BN22:BP23"/>
    <mergeCell ref="BQ22:BS23"/>
    <mergeCell ref="BT22:BV23"/>
    <mergeCell ref="BW22:BY23"/>
    <mergeCell ref="G23:AI23"/>
    <mergeCell ref="BH22:BJ23"/>
    <mergeCell ref="BK22:BM23"/>
    <mergeCell ref="A20:F21"/>
    <mergeCell ref="G20:AI20"/>
    <mergeCell ref="AJ20:AL21"/>
    <mergeCell ref="AP20:AR21"/>
    <mergeCell ref="AS20:AU21"/>
    <mergeCell ref="AV18:AX19"/>
    <mergeCell ref="AY18:BA19"/>
    <mergeCell ref="BB18:BD19"/>
    <mergeCell ref="BE18:BG19"/>
    <mergeCell ref="AM20:AO21"/>
    <mergeCell ref="BN16:BP17"/>
    <mergeCell ref="BQ16:BS17"/>
    <mergeCell ref="BT16:BV17"/>
    <mergeCell ref="BW16:BY17"/>
    <mergeCell ref="G17:AI17"/>
    <mergeCell ref="A18:F19"/>
    <mergeCell ref="G18:AI18"/>
    <mergeCell ref="AJ18:AL19"/>
    <mergeCell ref="AP18:AR19"/>
    <mergeCell ref="AS18:AU19"/>
    <mergeCell ref="AV16:AX17"/>
    <mergeCell ref="AY16:BA17"/>
    <mergeCell ref="BB16:BD17"/>
    <mergeCell ref="BE16:BG17"/>
    <mergeCell ref="BH16:BJ17"/>
    <mergeCell ref="BK16:BM17"/>
    <mergeCell ref="AM18:AO19"/>
    <mergeCell ref="BN18:BP19"/>
    <mergeCell ref="BQ18:BS19"/>
    <mergeCell ref="BT18:BV19"/>
    <mergeCell ref="BW18:BY19"/>
    <mergeCell ref="G19:AI19"/>
    <mergeCell ref="BH18:BJ19"/>
    <mergeCell ref="BK18:BM19"/>
    <mergeCell ref="A16:F17"/>
    <mergeCell ref="G16:AI16"/>
    <mergeCell ref="AJ16:AL17"/>
    <mergeCell ref="AP16:AR17"/>
    <mergeCell ref="AS16:AU17"/>
    <mergeCell ref="AV14:AX15"/>
    <mergeCell ref="AY14:BA15"/>
    <mergeCell ref="BB14:BD15"/>
    <mergeCell ref="BE14:BG15"/>
    <mergeCell ref="AM16:AO17"/>
    <mergeCell ref="BQ12:BS13"/>
    <mergeCell ref="BT12:BV13"/>
    <mergeCell ref="BW12:BY13"/>
    <mergeCell ref="G13:AI13"/>
    <mergeCell ref="A14:F15"/>
    <mergeCell ref="G14:AI14"/>
    <mergeCell ref="AJ14:AL15"/>
    <mergeCell ref="AP14:AR15"/>
    <mergeCell ref="AS14:AU15"/>
    <mergeCell ref="AV12:AX13"/>
    <mergeCell ref="AY12:BA13"/>
    <mergeCell ref="BB12:BD13"/>
    <mergeCell ref="BE12:BG13"/>
    <mergeCell ref="BH12:BJ13"/>
    <mergeCell ref="BK12:BM13"/>
    <mergeCell ref="AM14:AO15"/>
    <mergeCell ref="BN14:BP15"/>
    <mergeCell ref="BQ14:BS15"/>
    <mergeCell ref="BT14:BV15"/>
    <mergeCell ref="BW14:BY15"/>
    <mergeCell ref="G15:AI15"/>
    <mergeCell ref="BH14:BJ15"/>
    <mergeCell ref="BK14:BM15"/>
    <mergeCell ref="G11:AI11"/>
    <mergeCell ref="A12:F13"/>
    <mergeCell ref="G12:AI12"/>
    <mergeCell ref="AJ12:AL13"/>
    <mergeCell ref="AP12:AR13"/>
    <mergeCell ref="AS12:AU13"/>
    <mergeCell ref="BH10:BJ11"/>
    <mergeCell ref="BK10:BM11"/>
    <mergeCell ref="BN10:BP11"/>
    <mergeCell ref="AM10:AO11"/>
    <mergeCell ref="AM12:AO13"/>
    <mergeCell ref="BN12:BP13"/>
    <mergeCell ref="BQ10:BS11"/>
    <mergeCell ref="BT10:BV11"/>
    <mergeCell ref="BW10:BY11"/>
    <mergeCell ref="BW9:BY9"/>
    <mergeCell ref="A10:F11"/>
    <mergeCell ref="G10:AI10"/>
    <mergeCell ref="AJ10:AL11"/>
    <mergeCell ref="AP10:AR11"/>
    <mergeCell ref="AS10:AU11"/>
    <mergeCell ref="AV10:AX11"/>
    <mergeCell ref="AY10:BA11"/>
    <mergeCell ref="BB10:BD11"/>
    <mergeCell ref="BE10:BG11"/>
    <mergeCell ref="BE9:BG9"/>
    <mergeCell ref="BH9:BJ9"/>
    <mergeCell ref="BK9:BM9"/>
    <mergeCell ref="BN9:BP9"/>
    <mergeCell ref="BQ9:BS9"/>
    <mergeCell ref="BT9:BV9"/>
    <mergeCell ref="AJ9:AL9"/>
    <mergeCell ref="AP9:AR9"/>
    <mergeCell ref="AS9:AU9"/>
    <mergeCell ref="AV9:AX9"/>
    <mergeCell ref="AY9:BA9"/>
    <mergeCell ref="BB9:BD9"/>
    <mergeCell ref="W7:X7"/>
    <mergeCell ref="A8:C8"/>
    <mergeCell ref="D8:E8"/>
    <mergeCell ref="F8:I8"/>
    <mergeCell ref="J8:L8"/>
    <mergeCell ref="M8:T8"/>
    <mergeCell ref="U8:V8"/>
    <mergeCell ref="W8:X8"/>
    <mergeCell ref="AM9:AO9"/>
    <mergeCell ref="A7:C7"/>
    <mergeCell ref="D7:E7"/>
    <mergeCell ref="F7:I7"/>
    <mergeCell ref="J7:L7"/>
    <mergeCell ref="M7:T7"/>
    <mergeCell ref="U7:V7"/>
    <mergeCell ref="O3:R3"/>
    <mergeCell ref="S3:V3"/>
    <mergeCell ref="W3:Z3"/>
    <mergeCell ref="AU1:AV2"/>
    <mergeCell ref="AW1:AZ2"/>
    <mergeCell ref="BA1:BD2"/>
    <mergeCell ref="BE1:BR2"/>
    <mergeCell ref="BT1:BY6"/>
    <mergeCell ref="A2:F2"/>
    <mergeCell ref="G2:Z2"/>
    <mergeCell ref="A3:F3"/>
    <mergeCell ref="G3:J3"/>
    <mergeCell ref="K3:N3"/>
    <mergeCell ref="AP3:AS3"/>
    <mergeCell ref="A4:F4"/>
    <mergeCell ref="G4:Z4"/>
    <mergeCell ref="A6:X6"/>
    <mergeCell ref="AA3:AD3"/>
    <mergeCell ref="AE3:AH3"/>
    <mergeCell ref="AI3:AL3"/>
  </mergeCells>
  <printOptions horizontalCentered="1" verticalCentered="1"/>
  <pageMargins left="0" right="0" top="0" bottom="0" header="0" footer="0"/>
  <pageSetup paperSize="9" scale="73" orientation="landscape" r:id="rId1"/>
  <headerFooter>
    <oddHeader>&amp;L&amp;"Microsoft Sans Serif,標準"&amp;14&amp;G&amp;R&amp;"Microsoft Sans Serif,標準"&amp;14Training Record FY12</oddHeader>
    <oddFooter>&amp;LMINEBEA THAI RODEND Div. Manu#3 YUJI YODA&amp;R&amp;D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H91"/>
  <sheetViews>
    <sheetView tabSelected="1" zoomScale="80" zoomScaleNormal="80" workbookViewId="0">
      <pane xSplit="4" ySplit="6" topLeftCell="E57" activePane="bottomRight" state="frozen"/>
      <selection pane="topRight" activeCell="D1" sqref="D1"/>
      <selection pane="bottomLeft" activeCell="A7" sqref="A7"/>
      <selection pane="bottomRight" activeCell="E5" sqref="E5"/>
    </sheetView>
  </sheetViews>
  <sheetFormatPr defaultColWidth="9" defaultRowHeight="21"/>
  <cols>
    <col min="1" max="2" width="8.5703125" customWidth="1"/>
    <col min="3" max="3" width="8.5703125" style="85" customWidth="1"/>
    <col min="4" max="4" width="57.5703125" customWidth="1"/>
    <col min="5" max="5" width="16.7109375" style="15" customWidth="1"/>
    <col min="6" max="6" width="16.7109375" style="73" customWidth="1"/>
    <col min="7" max="7" width="16.7109375" style="15" customWidth="1"/>
    <col min="8" max="8" width="16.7109375" style="73" customWidth="1"/>
    <col min="9" max="14" width="14" style="74" customWidth="1"/>
    <col min="15" max="16384" width="9" style="74"/>
  </cols>
  <sheetData>
    <row r="1" spans="1:8" s="70" customFormat="1" ht="33.75" customHeight="1">
      <c r="C1" s="79"/>
      <c r="E1" s="71"/>
      <c r="F1" s="71"/>
      <c r="G1" s="77"/>
      <c r="H1" s="77"/>
    </row>
    <row r="2" spans="1:8" customFormat="1" ht="45">
      <c r="A2" s="70"/>
      <c r="B2" s="70"/>
      <c r="C2" s="79"/>
      <c r="D2" s="20" t="s">
        <v>48</v>
      </c>
      <c r="E2" s="119" t="s">
        <v>130</v>
      </c>
      <c r="F2" s="78" t="s">
        <v>129</v>
      </c>
      <c r="G2" s="78" t="s">
        <v>128</v>
      </c>
      <c r="H2" s="123" t="s">
        <v>179</v>
      </c>
    </row>
    <row r="3" spans="1:8" customFormat="1">
      <c r="A3" s="70"/>
      <c r="B3" s="70"/>
      <c r="C3" s="79"/>
      <c r="D3" s="191" t="s">
        <v>49</v>
      </c>
      <c r="E3" s="18" t="s">
        <v>122</v>
      </c>
      <c r="F3" s="18" t="s">
        <v>124</v>
      </c>
      <c r="G3" s="75" t="s">
        <v>126</v>
      </c>
      <c r="H3" s="126" t="s">
        <v>181</v>
      </c>
    </row>
    <row r="4" spans="1:8" customFormat="1">
      <c r="A4" s="70"/>
      <c r="B4" s="70"/>
      <c r="C4" s="79"/>
      <c r="D4" s="192"/>
      <c r="E4" s="19" t="s">
        <v>123</v>
      </c>
      <c r="F4" s="19" t="s">
        <v>125</v>
      </c>
      <c r="G4" s="76" t="s">
        <v>127</v>
      </c>
      <c r="H4" s="127" t="s">
        <v>182</v>
      </c>
    </row>
    <row r="5" spans="1:8" customFormat="1">
      <c r="A5" s="70"/>
      <c r="B5" s="70"/>
      <c r="C5" s="79"/>
      <c r="D5" s="20" t="s">
        <v>50</v>
      </c>
      <c r="E5" s="51" t="s">
        <v>119</v>
      </c>
      <c r="F5" s="51" t="s">
        <v>120</v>
      </c>
      <c r="G5" s="78" t="s">
        <v>121</v>
      </c>
      <c r="H5" s="123" t="s">
        <v>180</v>
      </c>
    </row>
    <row r="6" spans="1:8" customFormat="1" ht="106.5" customHeight="1" thickBot="1">
      <c r="A6" s="70"/>
      <c r="B6" s="70"/>
      <c r="C6" s="79"/>
      <c r="D6" s="86" t="s">
        <v>51</v>
      </c>
      <c r="E6" s="72"/>
      <c r="F6" s="72"/>
      <c r="G6" s="72"/>
      <c r="H6" s="72"/>
    </row>
    <row r="7" spans="1:8" customFormat="1" ht="15" customHeight="1">
      <c r="A7" s="201"/>
      <c r="B7" s="198"/>
      <c r="C7" s="193" t="s">
        <v>143</v>
      </c>
      <c r="D7" s="203" t="s">
        <v>174</v>
      </c>
      <c r="E7" s="197">
        <v>4</v>
      </c>
      <c r="F7" s="187">
        <v>0</v>
      </c>
      <c r="G7" s="197">
        <v>2</v>
      </c>
      <c r="H7" s="187">
        <v>0</v>
      </c>
    </row>
    <row r="8" spans="1:8" customFormat="1" ht="15" customHeight="1">
      <c r="A8" s="201"/>
      <c r="B8" s="199"/>
      <c r="C8" s="194"/>
      <c r="D8" s="204"/>
      <c r="E8" s="189"/>
      <c r="F8" s="184"/>
      <c r="G8" s="189"/>
      <c r="H8" s="184"/>
    </row>
    <row r="9" spans="1:8" customFormat="1" ht="14.1" customHeight="1">
      <c r="A9" s="201"/>
      <c r="B9" s="199"/>
      <c r="C9" s="194"/>
      <c r="D9" s="205" t="s">
        <v>173</v>
      </c>
      <c r="E9" s="188">
        <v>4</v>
      </c>
      <c r="F9" s="183">
        <v>0</v>
      </c>
      <c r="G9" s="188">
        <v>3</v>
      </c>
      <c r="H9" s="183">
        <v>0</v>
      </c>
    </row>
    <row r="10" spans="1:8" customFormat="1" ht="14.65" customHeight="1">
      <c r="A10" s="201"/>
      <c r="B10" s="199"/>
      <c r="C10" s="194"/>
      <c r="D10" s="206"/>
      <c r="E10" s="189"/>
      <c r="F10" s="184"/>
      <c r="G10" s="189"/>
      <c r="H10" s="184"/>
    </row>
    <row r="11" spans="1:8" customFormat="1" ht="14.1" customHeight="1">
      <c r="A11" s="201"/>
      <c r="B11" s="199"/>
      <c r="C11" s="194"/>
      <c r="D11" s="205" t="s">
        <v>155</v>
      </c>
      <c r="E11" s="188">
        <v>3</v>
      </c>
      <c r="F11" s="183">
        <v>0</v>
      </c>
      <c r="G11" s="188">
        <v>3</v>
      </c>
      <c r="H11" s="183">
        <v>0</v>
      </c>
    </row>
    <row r="12" spans="1:8" customFormat="1" ht="14.65" customHeight="1">
      <c r="A12" s="201"/>
      <c r="B12" s="199"/>
      <c r="C12" s="194"/>
      <c r="D12" s="206"/>
      <c r="E12" s="189"/>
      <c r="F12" s="184"/>
      <c r="G12" s="189"/>
      <c r="H12" s="184"/>
    </row>
    <row r="13" spans="1:8" customFormat="1" ht="14.1" customHeight="1">
      <c r="A13" s="201"/>
      <c r="B13" s="199"/>
      <c r="C13" s="194"/>
      <c r="D13" s="205" t="s">
        <v>156</v>
      </c>
      <c r="E13" s="188">
        <v>4</v>
      </c>
      <c r="F13" s="183">
        <v>0</v>
      </c>
      <c r="G13" s="188">
        <v>0</v>
      </c>
      <c r="H13" s="183">
        <v>0</v>
      </c>
    </row>
    <row r="14" spans="1:8" customFormat="1" ht="14.65" customHeight="1">
      <c r="A14" s="201"/>
      <c r="B14" s="199"/>
      <c r="C14" s="194"/>
      <c r="D14" s="206"/>
      <c r="E14" s="189"/>
      <c r="F14" s="184"/>
      <c r="G14" s="189"/>
      <c r="H14" s="184"/>
    </row>
    <row r="15" spans="1:8" customFormat="1" ht="14.1" customHeight="1">
      <c r="A15" s="201"/>
      <c r="B15" s="199"/>
      <c r="C15" s="194"/>
      <c r="D15" s="205" t="s">
        <v>157</v>
      </c>
      <c r="E15" s="188">
        <v>4</v>
      </c>
      <c r="F15" s="183">
        <v>0</v>
      </c>
      <c r="G15" s="188">
        <v>0</v>
      </c>
      <c r="H15" s="183">
        <v>0</v>
      </c>
    </row>
    <row r="16" spans="1:8" customFormat="1" ht="14.65" customHeight="1">
      <c r="A16" s="201"/>
      <c r="B16" s="199"/>
      <c r="C16" s="194"/>
      <c r="D16" s="206"/>
      <c r="E16" s="189"/>
      <c r="F16" s="184"/>
      <c r="G16" s="189"/>
      <c r="H16" s="184"/>
    </row>
    <row r="17" spans="1:8" customFormat="1" ht="14.1" customHeight="1">
      <c r="A17" s="201"/>
      <c r="B17" s="199"/>
      <c r="C17" s="194"/>
      <c r="D17" s="205" t="s">
        <v>158</v>
      </c>
      <c r="E17" s="188">
        <v>3</v>
      </c>
      <c r="F17" s="183">
        <v>0</v>
      </c>
      <c r="G17" s="188">
        <v>1</v>
      </c>
      <c r="H17" s="183">
        <v>0</v>
      </c>
    </row>
    <row r="18" spans="1:8" customFormat="1" ht="14.65" customHeight="1">
      <c r="A18" s="201"/>
      <c r="B18" s="199"/>
      <c r="C18" s="194"/>
      <c r="D18" s="206"/>
      <c r="E18" s="189"/>
      <c r="F18" s="184"/>
      <c r="G18" s="189"/>
      <c r="H18" s="184"/>
    </row>
    <row r="19" spans="1:8" customFormat="1" ht="14.1" customHeight="1">
      <c r="A19" s="201"/>
      <c r="B19" s="199"/>
      <c r="C19" s="194"/>
      <c r="D19" s="205" t="s">
        <v>159</v>
      </c>
      <c r="E19" s="188">
        <v>2</v>
      </c>
      <c r="F19" s="183">
        <v>0</v>
      </c>
      <c r="G19" s="188">
        <v>2</v>
      </c>
      <c r="H19" s="183">
        <v>0</v>
      </c>
    </row>
    <row r="20" spans="1:8" customFormat="1" ht="14.65" customHeight="1">
      <c r="A20" s="201"/>
      <c r="B20" s="199"/>
      <c r="C20" s="194"/>
      <c r="D20" s="206"/>
      <c r="E20" s="189"/>
      <c r="F20" s="184"/>
      <c r="G20" s="189"/>
      <c r="H20" s="184"/>
    </row>
    <row r="21" spans="1:8" customFormat="1" ht="14.1" customHeight="1">
      <c r="A21" s="201"/>
      <c r="B21" s="199"/>
      <c r="C21" s="194"/>
      <c r="D21" s="205" t="s">
        <v>160</v>
      </c>
      <c r="E21" s="188">
        <v>4</v>
      </c>
      <c r="F21" s="183">
        <v>0</v>
      </c>
      <c r="G21" s="188">
        <v>4</v>
      </c>
      <c r="H21" s="183">
        <v>0</v>
      </c>
    </row>
    <row r="22" spans="1:8" customFormat="1" ht="14.65" customHeight="1">
      <c r="A22" s="201"/>
      <c r="B22" s="199"/>
      <c r="C22" s="194"/>
      <c r="D22" s="206"/>
      <c r="E22" s="189"/>
      <c r="F22" s="184"/>
      <c r="G22" s="189"/>
      <c r="H22" s="184"/>
    </row>
    <row r="23" spans="1:8" customFormat="1" ht="14.1" customHeight="1">
      <c r="A23" s="201"/>
      <c r="B23" s="199"/>
      <c r="C23" s="194"/>
      <c r="D23" s="205" t="s">
        <v>161</v>
      </c>
      <c r="E23" s="188">
        <v>3</v>
      </c>
      <c r="F23" s="183">
        <v>0</v>
      </c>
      <c r="G23" s="188">
        <v>4</v>
      </c>
      <c r="H23" s="183">
        <v>0</v>
      </c>
    </row>
    <row r="24" spans="1:8" customFormat="1" ht="14.65" customHeight="1">
      <c r="A24" s="201"/>
      <c r="B24" s="199"/>
      <c r="C24" s="194"/>
      <c r="D24" s="206"/>
      <c r="E24" s="189"/>
      <c r="F24" s="184"/>
      <c r="G24" s="189"/>
      <c r="H24" s="184"/>
    </row>
    <row r="25" spans="1:8" customFormat="1" ht="14.65" customHeight="1">
      <c r="A25" s="201"/>
      <c r="B25" s="199"/>
      <c r="C25" s="194"/>
      <c r="D25" s="205" t="s">
        <v>165</v>
      </c>
      <c r="E25" s="188">
        <v>3</v>
      </c>
      <c r="F25" s="183">
        <v>0</v>
      </c>
      <c r="G25" s="188">
        <v>1</v>
      </c>
      <c r="H25" s="183">
        <v>0</v>
      </c>
    </row>
    <row r="26" spans="1:8" customFormat="1" ht="14.65" customHeight="1">
      <c r="A26" s="201"/>
      <c r="B26" s="199"/>
      <c r="C26" s="194"/>
      <c r="D26" s="206"/>
      <c r="E26" s="189"/>
      <c r="F26" s="184"/>
      <c r="G26" s="189"/>
      <c r="H26" s="184"/>
    </row>
    <row r="27" spans="1:8" customFormat="1" ht="14.1" customHeight="1">
      <c r="A27" s="201"/>
      <c r="B27" s="199"/>
      <c r="C27" s="194"/>
      <c r="D27" s="205" t="s">
        <v>162</v>
      </c>
      <c r="E27" s="188">
        <v>3</v>
      </c>
      <c r="F27" s="183">
        <v>0</v>
      </c>
      <c r="G27" s="188">
        <v>3</v>
      </c>
      <c r="H27" s="183">
        <v>0</v>
      </c>
    </row>
    <row r="28" spans="1:8" customFormat="1" ht="14.65" customHeight="1" thickBot="1">
      <c r="A28" s="201"/>
      <c r="B28" s="199"/>
      <c r="C28" s="194"/>
      <c r="D28" s="207"/>
      <c r="E28" s="190"/>
      <c r="F28" s="186"/>
      <c r="G28" s="190"/>
      <c r="H28" s="186"/>
    </row>
    <row r="29" spans="1:8" customFormat="1" ht="15" customHeight="1">
      <c r="A29" s="201"/>
      <c r="B29" s="199"/>
      <c r="C29" s="193" t="s">
        <v>171</v>
      </c>
      <c r="D29" s="208" t="s">
        <v>137</v>
      </c>
      <c r="E29" s="187">
        <v>1</v>
      </c>
      <c r="F29" s="187">
        <v>4</v>
      </c>
      <c r="G29" s="187">
        <v>0</v>
      </c>
      <c r="H29" s="187">
        <v>3</v>
      </c>
    </row>
    <row r="30" spans="1:8" customFormat="1" ht="14.65" customHeight="1">
      <c r="A30" s="201"/>
      <c r="B30" s="199"/>
      <c r="C30" s="194"/>
      <c r="D30" s="206"/>
      <c r="E30" s="184"/>
      <c r="F30" s="184"/>
      <c r="G30" s="184"/>
      <c r="H30" s="184"/>
    </row>
    <row r="31" spans="1:8" customFormat="1" ht="14.1" customHeight="1">
      <c r="A31" s="201"/>
      <c r="B31" s="199"/>
      <c r="C31" s="194"/>
      <c r="D31" s="205" t="s">
        <v>132</v>
      </c>
      <c r="E31" s="183">
        <v>0</v>
      </c>
      <c r="F31" s="183">
        <v>4</v>
      </c>
      <c r="G31" s="183">
        <v>0</v>
      </c>
      <c r="H31" s="183">
        <v>4</v>
      </c>
    </row>
    <row r="32" spans="1:8" customFormat="1" ht="14.65" customHeight="1">
      <c r="A32" s="201"/>
      <c r="B32" s="199"/>
      <c r="C32" s="194"/>
      <c r="D32" s="206"/>
      <c r="E32" s="184"/>
      <c r="F32" s="184"/>
      <c r="G32" s="184"/>
      <c r="H32" s="184"/>
    </row>
    <row r="33" spans="1:8" customFormat="1" ht="14.1" customHeight="1">
      <c r="A33" s="201"/>
      <c r="B33" s="199"/>
      <c r="C33" s="194"/>
      <c r="D33" s="205" t="s">
        <v>136</v>
      </c>
      <c r="E33" s="183">
        <v>0</v>
      </c>
      <c r="F33" s="183">
        <v>4</v>
      </c>
      <c r="G33" s="183">
        <v>0</v>
      </c>
      <c r="H33" s="183">
        <v>3</v>
      </c>
    </row>
    <row r="34" spans="1:8" customFormat="1" ht="14.65" customHeight="1">
      <c r="A34" s="201"/>
      <c r="B34" s="199"/>
      <c r="C34" s="194"/>
      <c r="D34" s="206"/>
      <c r="E34" s="184"/>
      <c r="F34" s="184"/>
      <c r="G34" s="184"/>
      <c r="H34" s="184"/>
    </row>
    <row r="35" spans="1:8" customFormat="1" ht="14.1" customHeight="1">
      <c r="A35" s="201"/>
      <c r="B35" s="199"/>
      <c r="C35" s="194"/>
      <c r="D35" s="205" t="s">
        <v>133</v>
      </c>
      <c r="E35" s="183">
        <v>0</v>
      </c>
      <c r="F35" s="183">
        <v>3</v>
      </c>
      <c r="G35" s="183">
        <v>0</v>
      </c>
      <c r="H35" s="183">
        <v>2</v>
      </c>
    </row>
    <row r="36" spans="1:8" customFormat="1" ht="14.65" customHeight="1">
      <c r="A36" s="201"/>
      <c r="B36" s="199"/>
      <c r="C36" s="194"/>
      <c r="D36" s="206"/>
      <c r="E36" s="184"/>
      <c r="F36" s="184"/>
      <c r="G36" s="184"/>
      <c r="H36" s="184"/>
    </row>
    <row r="37" spans="1:8" customFormat="1" ht="14.1" customHeight="1">
      <c r="A37" s="201"/>
      <c r="B37" s="199"/>
      <c r="C37" s="194"/>
      <c r="D37" s="205" t="s">
        <v>134</v>
      </c>
      <c r="E37" s="183">
        <v>0</v>
      </c>
      <c r="F37" s="183">
        <v>4</v>
      </c>
      <c r="G37" s="183">
        <v>0</v>
      </c>
      <c r="H37" s="183">
        <v>4</v>
      </c>
    </row>
    <row r="38" spans="1:8" customFormat="1" ht="14.65" customHeight="1">
      <c r="A38" s="201"/>
      <c r="B38" s="199"/>
      <c r="C38" s="194"/>
      <c r="D38" s="206"/>
      <c r="E38" s="184"/>
      <c r="F38" s="184"/>
      <c r="G38" s="184"/>
      <c r="H38" s="184"/>
    </row>
    <row r="39" spans="1:8" customFormat="1" ht="14.1" customHeight="1">
      <c r="A39" s="201"/>
      <c r="B39" s="199"/>
      <c r="C39" s="194"/>
      <c r="D39" s="205" t="s">
        <v>140</v>
      </c>
      <c r="E39" s="183">
        <v>0</v>
      </c>
      <c r="F39" s="183">
        <v>4</v>
      </c>
      <c r="G39" s="183">
        <v>0</v>
      </c>
      <c r="H39" s="183">
        <v>4</v>
      </c>
    </row>
    <row r="40" spans="1:8" customFormat="1" ht="14.65" customHeight="1">
      <c r="A40" s="201"/>
      <c r="B40" s="199"/>
      <c r="C40" s="194"/>
      <c r="D40" s="206"/>
      <c r="E40" s="184"/>
      <c r="F40" s="184"/>
      <c r="G40" s="184"/>
      <c r="H40" s="184"/>
    </row>
    <row r="41" spans="1:8" customFormat="1" ht="14.1" customHeight="1">
      <c r="A41" s="201"/>
      <c r="B41" s="199"/>
      <c r="C41" s="194"/>
      <c r="D41" s="205" t="s">
        <v>135</v>
      </c>
      <c r="E41" s="183">
        <v>0</v>
      </c>
      <c r="F41" s="183">
        <v>3</v>
      </c>
      <c r="G41" s="183">
        <v>0</v>
      </c>
      <c r="H41" s="183">
        <v>3</v>
      </c>
    </row>
    <row r="42" spans="1:8" customFormat="1" ht="14.65" customHeight="1">
      <c r="A42" s="201"/>
      <c r="B42" s="199"/>
      <c r="C42" s="194"/>
      <c r="D42" s="206"/>
      <c r="E42" s="184"/>
      <c r="F42" s="184"/>
      <c r="G42" s="184"/>
      <c r="H42" s="184"/>
    </row>
    <row r="43" spans="1:8" customFormat="1" ht="14.1" customHeight="1">
      <c r="A43" s="201"/>
      <c r="B43" s="199"/>
      <c r="C43" s="194"/>
      <c r="D43" s="205" t="s">
        <v>138</v>
      </c>
      <c r="E43" s="183">
        <v>0</v>
      </c>
      <c r="F43" s="183">
        <v>3</v>
      </c>
      <c r="G43" s="183">
        <v>0</v>
      </c>
      <c r="H43" s="183">
        <v>2</v>
      </c>
    </row>
    <row r="44" spans="1:8" customFormat="1" ht="14.65" customHeight="1">
      <c r="A44" s="201"/>
      <c r="B44" s="199"/>
      <c r="C44" s="194"/>
      <c r="D44" s="206"/>
      <c r="E44" s="184"/>
      <c r="F44" s="184"/>
      <c r="G44" s="184"/>
      <c r="H44" s="184"/>
    </row>
    <row r="45" spans="1:8" customFormat="1" ht="14.1" customHeight="1">
      <c r="A45" s="201"/>
      <c r="B45" s="199"/>
      <c r="C45" s="194"/>
      <c r="D45" s="205" t="s">
        <v>139</v>
      </c>
      <c r="E45" s="183">
        <v>0</v>
      </c>
      <c r="F45" s="183">
        <v>4</v>
      </c>
      <c r="G45" s="183">
        <v>0</v>
      </c>
      <c r="H45" s="183">
        <v>4</v>
      </c>
    </row>
    <row r="46" spans="1:8" customFormat="1" ht="14.65" customHeight="1">
      <c r="A46" s="201"/>
      <c r="B46" s="199"/>
      <c r="C46" s="194"/>
      <c r="D46" s="206"/>
      <c r="E46" s="184"/>
      <c r="F46" s="184"/>
      <c r="G46" s="184"/>
      <c r="H46" s="184"/>
    </row>
    <row r="47" spans="1:8" customFormat="1" ht="14.65" customHeight="1">
      <c r="A47" s="201"/>
      <c r="B47" s="199"/>
      <c r="C47" s="194"/>
      <c r="D47" s="205" t="s">
        <v>141</v>
      </c>
      <c r="E47" s="183">
        <v>0</v>
      </c>
      <c r="F47" s="183">
        <v>4</v>
      </c>
      <c r="G47" s="183">
        <v>0</v>
      </c>
      <c r="H47" s="183">
        <v>2</v>
      </c>
    </row>
    <row r="48" spans="1:8" customFormat="1" ht="14.65" customHeight="1">
      <c r="A48" s="201"/>
      <c r="B48" s="199"/>
      <c r="C48" s="194"/>
      <c r="D48" s="206"/>
      <c r="E48" s="184"/>
      <c r="F48" s="184"/>
      <c r="G48" s="184"/>
      <c r="H48" s="184"/>
    </row>
    <row r="49" spans="1:8" customFormat="1" ht="14.1" customHeight="1">
      <c r="A49" s="201"/>
      <c r="B49" s="199"/>
      <c r="C49" s="194"/>
      <c r="D49" s="205" t="s">
        <v>142</v>
      </c>
      <c r="E49" s="183">
        <v>0</v>
      </c>
      <c r="F49" s="183">
        <v>4</v>
      </c>
      <c r="G49" s="183">
        <v>0</v>
      </c>
      <c r="H49" s="183">
        <v>4</v>
      </c>
    </row>
    <row r="50" spans="1:8" customFormat="1" ht="14.65" customHeight="1" thickBot="1">
      <c r="A50" s="201"/>
      <c r="B50" s="199"/>
      <c r="C50" s="195"/>
      <c r="D50" s="209"/>
      <c r="E50" s="185"/>
      <c r="F50" s="185"/>
      <c r="G50" s="185"/>
      <c r="H50" s="185"/>
    </row>
    <row r="51" spans="1:8" customFormat="1" ht="14.1" customHeight="1">
      <c r="A51" s="201"/>
      <c r="B51" s="199"/>
      <c r="C51" s="194" t="s">
        <v>144</v>
      </c>
      <c r="D51" s="207" t="s">
        <v>145</v>
      </c>
      <c r="E51" s="197">
        <v>3</v>
      </c>
      <c r="F51" s="186">
        <v>0</v>
      </c>
      <c r="G51" s="197">
        <v>3</v>
      </c>
      <c r="H51" s="186">
        <v>0</v>
      </c>
    </row>
    <row r="52" spans="1:8" customFormat="1" ht="14.65" customHeight="1">
      <c r="A52" s="201"/>
      <c r="B52" s="199"/>
      <c r="C52" s="194"/>
      <c r="D52" s="206"/>
      <c r="E52" s="189"/>
      <c r="F52" s="184"/>
      <c r="G52" s="189"/>
      <c r="H52" s="184"/>
    </row>
    <row r="53" spans="1:8" customFormat="1" ht="14.1" customHeight="1">
      <c r="A53" s="201"/>
      <c r="B53" s="199"/>
      <c r="C53" s="194"/>
      <c r="D53" s="205" t="s">
        <v>146</v>
      </c>
      <c r="E53" s="188">
        <v>3</v>
      </c>
      <c r="F53" s="183">
        <v>1</v>
      </c>
      <c r="G53" s="188">
        <v>3</v>
      </c>
      <c r="H53" s="183">
        <v>0</v>
      </c>
    </row>
    <row r="54" spans="1:8" customFormat="1" ht="14.65" customHeight="1">
      <c r="A54" s="201"/>
      <c r="B54" s="199"/>
      <c r="C54" s="194"/>
      <c r="D54" s="206"/>
      <c r="E54" s="189"/>
      <c r="F54" s="184"/>
      <c r="G54" s="189"/>
      <c r="H54" s="184"/>
    </row>
    <row r="55" spans="1:8" customFormat="1" ht="14.65" customHeight="1">
      <c r="A55" s="201"/>
      <c r="B55" s="199"/>
      <c r="C55" s="194"/>
      <c r="D55" s="205" t="s">
        <v>147</v>
      </c>
      <c r="E55" s="188">
        <v>4</v>
      </c>
      <c r="F55" s="183">
        <v>0</v>
      </c>
      <c r="G55" s="188">
        <v>3</v>
      </c>
      <c r="H55" s="183">
        <v>0</v>
      </c>
    </row>
    <row r="56" spans="1:8" customFormat="1" ht="14.65" customHeight="1">
      <c r="A56" s="201"/>
      <c r="B56" s="199"/>
      <c r="C56" s="194"/>
      <c r="D56" s="206"/>
      <c r="E56" s="189"/>
      <c r="F56" s="184"/>
      <c r="G56" s="189"/>
      <c r="H56" s="184"/>
    </row>
    <row r="57" spans="1:8" customFormat="1" ht="14.65" customHeight="1">
      <c r="A57" s="201"/>
      <c r="B57" s="199"/>
      <c r="C57" s="194"/>
      <c r="D57" s="205" t="s">
        <v>153</v>
      </c>
      <c r="E57" s="188">
        <v>4</v>
      </c>
      <c r="F57" s="183">
        <v>2</v>
      </c>
      <c r="G57" s="188">
        <v>4</v>
      </c>
      <c r="H57" s="183">
        <v>1</v>
      </c>
    </row>
    <row r="58" spans="1:8" customFormat="1" ht="14.65" customHeight="1">
      <c r="A58" s="201"/>
      <c r="B58" s="199"/>
      <c r="C58" s="194"/>
      <c r="D58" s="206"/>
      <c r="E58" s="189"/>
      <c r="F58" s="184"/>
      <c r="G58" s="189"/>
      <c r="H58" s="184"/>
    </row>
    <row r="59" spans="1:8" customFormat="1" ht="14.65" customHeight="1">
      <c r="A59" s="201"/>
      <c r="B59" s="199"/>
      <c r="C59" s="194"/>
      <c r="D59" s="205" t="s">
        <v>148</v>
      </c>
      <c r="E59" s="188">
        <v>4</v>
      </c>
      <c r="F59" s="183">
        <v>0</v>
      </c>
      <c r="G59" s="188">
        <v>4</v>
      </c>
      <c r="H59" s="183">
        <v>0</v>
      </c>
    </row>
    <row r="60" spans="1:8" customFormat="1" ht="14.65" customHeight="1">
      <c r="A60" s="201"/>
      <c r="B60" s="199"/>
      <c r="C60" s="194"/>
      <c r="D60" s="206"/>
      <c r="E60" s="189"/>
      <c r="F60" s="184"/>
      <c r="G60" s="189"/>
      <c r="H60" s="184"/>
    </row>
    <row r="61" spans="1:8" customFormat="1" ht="14.1" customHeight="1">
      <c r="A61" s="201"/>
      <c r="B61" s="199"/>
      <c r="C61" s="194"/>
      <c r="D61" s="205" t="s">
        <v>149</v>
      </c>
      <c r="E61" s="188">
        <v>4</v>
      </c>
      <c r="F61" s="183">
        <v>0</v>
      </c>
      <c r="G61" s="188">
        <v>3</v>
      </c>
      <c r="H61" s="183">
        <v>0</v>
      </c>
    </row>
    <row r="62" spans="1:8" customFormat="1" ht="14.65" customHeight="1">
      <c r="A62" s="201"/>
      <c r="B62" s="199"/>
      <c r="C62" s="194"/>
      <c r="D62" s="206"/>
      <c r="E62" s="189"/>
      <c r="F62" s="184"/>
      <c r="G62" s="189"/>
      <c r="H62" s="184"/>
    </row>
    <row r="63" spans="1:8" customFormat="1" ht="14.1" customHeight="1">
      <c r="A63" s="201"/>
      <c r="B63" s="199"/>
      <c r="C63" s="194"/>
      <c r="D63" s="205" t="s">
        <v>150</v>
      </c>
      <c r="E63" s="188">
        <v>4</v>
      </c>
      <c r="F63" s="183">
        <v>0</v>
      </c>
      <c r="G63" s="188">
        <v>4</v>
      </c>
      <c r="H63" s="183">
        <v>0</v>
      </c>
    </row>
    <row r="64" spans="1:8" customFormat="1" ht="14.65" customHeight="1">
      <c r="A64" s="201"/>
      <c r="B64" s="199"/>
      <c r="C64" s="194"/>
      <c r="D64" s="206"/>
      <c r="E64" s="189"/>
      <c r="F64" s="184"/>
      <c r="G64" s="189"/>
      <c r="H64" s="184"/>
    </row>
    <row r="65" spans="1:8" customFormat="1" ht="14.1" customHeight="1">
      <c r="A65" s="201"/>
      <c r="B65" s="199"/>
      <c r="C65" s="194"/>
      <c r="D65" s="205" t="s">
        <v>151</v>
      </c>
      <c r="E65" s="188">
        <v>4</v>
      </c>
      <c r="F65" s="183">
        <v>0</v>
      </c>
      <c r="G65" s="188">
        <v>3</v>
      </c>
      <c r="H65" s="183">
        <v>0</v>
      </c>
    </row>
    <row r="66" spans="1:8" customFormat="1" ht="14.65" customHeight="1">
      <c r="A66" s="201"/>
      <c r="B66" s="199"/>
      <c r="C66" s="194"/>
      <c r="D66" s="206"/>
      <c r="E66" s="189"/>
      <c r="F66" s="184"/>
      <c r="G66" s="189"/>
      <c r="H66" s="184"/>
    </row>
    <row r="67" spans="1:8" customFormat="1" ht="14.65" customHeight="1">
      <c r="A67" s="201"/>
      <c r="B67" s="199"/>
      <c r="C67" s="194"/>
      <c r="D67" s="205" t="s">
        <v>163</v>
      </c>
      <c r="E67" s="188">
        <v>4</v>
      </c>
      <c r="F67" s="183">
        <v>0</v>
      </c>
      <c r="G67" s="188">
        <v>3</v>
      </c>
      <c r="H67" s="183">
        <v>0</v>
      </c>
    </row>
    <row r="68" spans="1:8" customFormat="1" ht="14.65" customHeight="1">
      <c r="A68" s="201"/>
      <c r="B68" s="199"/>
      <c r="C68" s="194"/>
      <c r="D68" s="206"/>
      <c r="E68" s="189"/>
      <c r="F68" s="184"/>
      <c r="G68" s="189"/>
      <c r="H68" s="184"/>
    </row>
    <row r="69" spans="1:8" customFormat="1" ht="14.65" customHeight="1">
      <c r="A69" s="201"/>
      <c r="B69" s="199"/>
      <c r="C69" s="194"/>
      <c r="D69" s="205" t="s">
        <v>152</v>
      </c>
      <c r="E69" s="188">
        <v>4</v>
      </c>
      <c r="F69" s="183">
        <v>0</v>
      </c>
      <c r="G69" s="188">
        <v>4</v>
      </c>
      <c r="H69" s="183">
        <v>0</v>
      </c>
    </row>
    <row r="70" spans="1:8" customFormat="1" ht="14.65" customHeight="1">
      <c r="A70" s="201"/>
      <c r="B70" s="199"/>
      <c r="C70" s="194"/>
      <c r="D70" s="206"/>
      <c r="E70" s="189"/>
      <c r="F70" s="184"/>
      <c r="G70" s="189"/>
      <c r="H70" s="184"/>
    </row>
    <row r="71" spans="1:8" customFormat="1" ht="14.1" customHeight="1">
      <c r="A71" s="201"/>
      <c r="B71" s="199"/>
      <c r="C71" s="194"/>
      <c r="D71" s="205" t="s">
        <v>164</v>
      </c>
      <c r="E71" s="188">
        <v>4</v>
      </c>
      <c r="F71" s="183">
        <v>0</v>
      </c>
      <c r="G71" s="188">
        <v>3</v>
      </c>
      <c r="H71" s="183">
        <v>0</v>
      </c>
    </row>
    <row r="72" spans="1:8" customFormat="1" ht="14.1" customHeight="1" thickBot="1">
      <c r="A72" s="202"/>
      <c r="B72" s="200"/>
      <c r="C72" s="196"/>
      <c r="D72" s="206"/>
      <c r="E72" s="190"/>
      <c r="F72" s="184"/>
      <c r="G72" s="190"/>
      <c r="H72" s="184"/>
    </row>
    <row r="73" spans="1:8" ht="22.5">
      <c r="C73" s="80"/>
      <c r="D73" s="91" t="str">
        <f>C7</f>
        <v>General Drawing Control</v>
      </c>
      <c r="E73" s="88">
        <f>AVERAGE(E7:E28)</f>
        <v>3.3636363636363638</v>
      </c>
      <c r="F73" s="88">
        <f>AVERAGE(F7:F28)</f>
        <v>0</v>
      </c>
      <c r="G73" s="88">
        <f>AVERAGE(G7:G28)</f>
        <v>2.0909090909090908</v>
      </c>
      <c r="H73" s="88">
        <f>AVERAGE(H7:H28)</f>
        <v>0</v>
      </c>
    </row>
    <row r="74" spans="1:8" ht="22.5">
      <c r="C74" s="80"/>
      <c r="D74" s="91" t="str">
        <f>C29</f>
        <v>Drawing Verification</v>
      </c>
      <c r="E74" s="88">
        <f>AVERAGE(E29:E50)</f>
        <v>9.0909090909090912E-2</v>
      </c>
      <c r="F74" s="88">
        <f>AVERAGE(F29:F50)</f>
        <v>3.7272727272727271</v>
      </c>
      <c r="G74" s="88">
        <f>AVERAGE(G29:G50)</f>
        <v>0</v>
      </c>
      <c r="H74" s="88">
        <f>AVERAGE(H29:H50)</f>
        <v>3.1818181818181817</v>
      </c>
    </row>
    <row r="75" spans="1:8" ht="22.5">
      <c r="C75" s="80"/>
      <c r="D75" s="91" t="str">
        <f>C51</f>
        <v>Tooling Inspector</v>
      </c>
      <c r="E75" s="88">
        <f>AVERAGE(E51:E72)</f>
        <v>3.8181818181818183</v>
      </c>
      <c r="F75" s="88">
        <f>AVERAGE(F51:F72)</f>
        <v>0.27272727272727271</v>
      </c>
      <c r="G75" s="88">
        <f>AVERAGE(G51:G72)</f>
        <v>3.3636363636363638</v>
      </c>
      <c r="H75" s="88">
        <f>AVERAGE(H51:H72)</f>
        <v>9.0909090909090912E-2</v>
      </c>
    </row>
    <row r="76" spans="1:8" ht="22.5">
      <c r="C76" s="80"/>
      <c r="D76" s="33"/>
      <c r="E76" s="87"/>
      <c r="F76" s="89"/>
      <c r="G76" s="90"/>
      <c r="H76" s="89"/>
    </row>
    <row r="77" spans="1:8" ht="22.5">
      <c r="C77" s="80"/>
      <c r="D77" s="33"/>
      <c r="E77" s="87"/>
      <c r="F77" s="89"/>
      <c r="G77" s="90"/>
      <c r="H77" s="89"/>
    </row>
    <row r="78" spans="1:8" ht="22.5">
      <c r="C78" s="80"/>
      <c r="D78" s="33"/>
      <c r="E78" s="87"/>
      <c r="F78" s="89"/>
      <c r="G78" s="90"/>
      <c r="H78" s="89"/>
    </row>
    <row r="79" spans="1:8" ht="22.5">
      <c r="C79" s="80"/>
      <c r="D79" s="33"/>
      <c r="E79" s="87"/>
      <c r="F79" s="89"/>
      <c r="G79" s="90"/>
      <c r="H79" s="89"/>
    </row>
    <row r="80" spans="1:8" ht="22.5">
      <c r="C80" s="80"/>
      <c r="D80" s="33"/>
      <c r="E80" s="87"/>
      <c r="F80" s="89"/>
      <c r="G80" s="90"/>
      <c r="H80" s="89"/>
    </row>
    <row r="81" spans="1:8" ht="22.5">
      <c r="A81" s="39" t="s">
        <v>111</v>
      </c>
      <c r="B81" s="81" t="s">
        <v>114</v>
      </c>
      <c r="C81" s="34"/>
      <c r="D81" s="34"/>
      <c r="E81" s="73"/>
      <c r="F81" s="15"/>
      <c r="H81" s="15"/>
    </row>
    <row r="82" spans="1:8" ht="22.5">
      <c r="A82" s="39" t="s">
        <v>91</v>
      </c>
      <c r="B82" s="81" t="s">
        <v>115</v>
      </c>
      <c r="C82" s="34"/>
      <c r="D82" s="34"/>
      <c r="E82" s="73"/>
      <c r="F82" s="15"/>
      <c r="H82" s="15"/>
    </row>
    <row r="83" spans="1:8" ht="22.5">
      <c r="A83" s="39" t="s">
        <v>93</v>
      </c>
      <c r="B83" s="81" t="s">
        <v>116</v>
      </c>
      <c r="C83" s="34"/>
      <c r="D83" s="34"/>
      <c r="E83" s="73"/>
      <c r="F83" s="15"/>
      <c r="H83" s="15"/>
    </row>
    <row r="84" spans="1:8" ht="22.5">
      <c r="A84" s="39" t="s">
        <v>95</v>
      </c>
      <c r="B84" s="81" t="s">
        <v>117</v>
      </c>
      <c r="C84" s="34"/>
      <c r="D84" s="34"/>
      <c r="E84" s="73"/>
      <c r="F84" s="15"/>
      <c r="H84" s="15"/>
    </row>
    <row r="85" spans="1:8" ht="22.5">
      <c r="A85" s="40" t="s">
        <v>97</v>
      </c>
      <c r="B85" s="82" t="s">
        <v>118</v>
      </c>
      <c r="C85" s="36"/>
      <c r="D85" s="36"/>
      <c r="E85" s="73"/>
      <c r="F85" s="15"/>
      <c r="H85" s="15"/>
    </row>
    <row r="86" spans="1:8" ht="22.5">
      <c r="C86" s="80"/>
      <c r="D86" s="33"/>
      <c r="E86" s="34"/>
    </row>
    <row r="87" spans="1:8" ht="22.5">
      <c r="C87" s="80"/>
      <c r="D87" s="35"/>
      <c r="E87" s="34"/>
    </row>
    <row r="88" spans="1:8" ht="22.5">
      <c r="C88" s="80"/>
      <c r="D88" s="33"/>
      <c r="E88" s="34"/>
    </row>
    <row r="89" spans="1:8" ht="22.5">
      <c r="C89" s="80"/>
      <c r="D89" s="35"/>
      <c r="E89" s="34"/>
    </row>
    <row r="90" spans="1:8" ht="22.5">
      <c r="C90" s="83"/>
      <c r="D90" s="35"/>
      <c r="E90" s="34"/>
    </row>
    <row r="91" spans="1:8">
      <c r="C91" s="84"/>
      <c r="D91" s="38"/>
      <c r="E91" s="34"/>
    </row>
  </sheetData>
  <mergeCells count="171">
    <mergeCell ref="D61:D62"/>
    <mergeCell ref="D63:D64"/>
    <mergeCell ref="D65:D66"/>
    <mergeCell ref="D71:D72"/>
    <mergeCell ref="D25:D26"/>
    <mergeCell ref="D55:D56"/>
    <mergeCell ref="E55:E56"/>
    <mergeCell ref="F55:F56"/>
    <mergeCell ref="G55:G56"/>
    <mergeCell ref="D57:D58"/>
    <mergeCell ref="E57:E58"/>
    <mergeCell ref="F57:F58"/>
    <mergeCell ref="G57:G58"/>
    <mergeCell ref="D59:D60"/>
    <mergeCell ref="E59:E60"/>
    <mergeCell ref="F59:F60"/>
    <mergeCell ref="G59:G60"/>
    <mergeCell ref="D47:D48"/>
    <mergeCell ref="E47:E48"/>
    <mergeCell ref="F47:F48"/>
    <mergeCell ref="G47:G48"/>
    <mergeCell ref="D67:D68"/>
    <mergeCell ref="D69:D70"/>
    <mergeCell ref="D35:D36"/>
    <mergeCell ref="D53:D54"/>
    <mergeCell ref="D15:D16"/>
    <mergeCell ref="D17:D18"/>
    <mergeCell ref="D19:D20"/>
    <mergeCell ref="D21:D22"/>
    <mergeCell ref="D23:D24"/>
    <mergeCell ref="D27:D28"/>
    <mergeCell ref="D29:D30"/>
    <mergeCell ref="D31:D32"/>
    <mergeCell ref="D33:D34"/>
    <mergeCell ref="D37:D38"/>
    <mergeCell ref="D39:D40"/>
    <mergeCell ref="D41:D42"/>
    <mergeCell ref="D43:D44"/>
    <mergeCell ref="D45:D46"/>
    <mergeCell ref="D49:D50"/>
    <mergeCell ref="D51:D52"/>
    <mergeCell ref="E9:E10"/>
    <mergeCell ref="F7:F8"/>
    <mergeCell ref="E23:E24"/>
    <mergeCell ref="E15:E16"/>
    <mergeCell ref="E7:E8"/>
    <mergeCell ref="D7:D8"/>
    <mergeCell ref="D9:D10"/>
    <mergeCell ref="D11:D12"/>
    <mergeCell ref="D13:D14"/>
    <mergeCell ref="E19:E20"/>
    <mergeCell ref="F19:F20"/>
    <mergeCell ref="F11:F12"/>
    <mergeCell ref="F17:F18"/>
    <mergeCell ref="E17:E18"/>
    <mergeCell ref="B7:B72"/>
    <mergeCell ref="A7:A72"/>
    <mergeCell ref="E41:E42"/>
    <mergeCell ref="E43:E44"/>
    <mergeCell ref="E45:E46"/>
    <mergeCell ref="F41:F42"/>
    <mergeCell ref="F43:F44"/>
    <mergeCell ref="F45:F46"/>
    <mergeCell ref="F9:F10"/>
    <mergeCell ref="F13:F14"/>
    <mergeCell ref="F15:F16"/>
    <mergeCell ref="F31:F32"/>
    <mergeCell ref="E31:E32"/>
    <mergeCell ref="F29:F30"/>
    <mergeCell ref="E29:E30"/>
    <mergeCell ref="F27:F28"/>
    <mergeCell ref="E27:E28"/>
    <mergeCell ref="F23:F24"/>
    <mergeCell ref="E21:E22"/>
    <mergeCell ref="E35:E36"/>
    <mergeCell ref="E13:E14"/>
    <mergeCell ref="E39:E40"/>
    <mergeCell ref="E37:E38"/>
    <mergeCell ref="E11:E12"/>
    <mergeCell ref="G33:G34"/>
    <mergeCell ref="F21:F22"/>
    <mergeCell ref="G21:G22"/>
    <mergeCell ref="E33:E34"/>
    <mergeCell ref="F33:F34"/>
    <mergeCell ref="F35:F36"/>
    <mergeCell ref="G35:G36"/>
    <mergeCell ref="F39:F40"/>
    <mergeCell ref="F37:F38"/>
    <mergeCell ref="G31:G32"/>
    <mergeCell ref="E25:E26"/>
    <mergeCell ref="F25:F26"/>
    <mergeCell ref="G7:G8"/>
    <mergeCell ref="G9:G10"/>
    <mergeCell ref="G13:G14"/>
    <mergeCell ref="G15:G16"/>
    <mergeCell ref="G23:G24"/>
    <mergeCell ref="G25:G26"/>
    <mergeCell ref="G27:G28"/>
    <mergeCell ref="G19:G20"/>
    <mergeCell ref="G11:G12"/>
    <mergeCell ref="G17:G18"/>
    <mergeCell ref="D3:D4"/>
    <mergeCell ref="C7:C28"/>
    <mergeCell ref="C29:C50"/>
    <mergeCell ref="C51:C72"/>
    <mergeCell ref="G29:G30"/>
    <mergeCell ref="G37:G38"/>
    <mergeCell ref="G41:G42"/>
    <mergeCell ref="G39:G40"/>
    <mergeCell ref="G45:G46"/>
    <mergeCell ref="G43:G44"/>
    <mergeCell ref="E51:E52"/>
    <mergeCell ref="F51:F52"/>
    <mergeCell ref="G51:G52"/>
    <mergeCell ref="E49:E50"/>
    <mergeCell ref="F49:F50"/>
    <mergeCell ref="G49:G50"/>
    <mergeCell ref="E61:E62"/>
    <mergeCell ref="F61:F62"/>
    <mergeCell ref="G61:G62"/>
    <mergeCell ref="E53:E54"/>
    <mergeCell ref="F53:F54"/>
    <mergeCell ref="G53:G54"/>
    <mergeCell ref="E65:E66"/>
    <mergeCell ref="F65:F66"/>
    <mergeCell ref="G65:G66"/>
    <mergeCell ref="E63:E64"/>
    <mergeCell ref="F63:F64"/>
    <mergeCell ref="G71:G72"/>
    <mergeCell ref="G63:G64"/>
    <mergeCell ref="E71:E72"/>
    <mergeCell ref="F71:F72"/>
    <mergeCell ref="E67:E68"/>
    <mergeCell ref="F67:F68"/>
    <mergeCell ref="G67:G68"/>
    <mergeCell ref="E69:E70"/>
    <mergeCell ref="F69:F70"/>
    <mergeCell ref="G69:G70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61:H62"/>
    <mergeCell ref="H63:H64"/>
    <mergeCell ref="H65:H66"/>
    <mergeCell ref="H67:H68"/>
    <mergeCell ref="H69:H70"/>
    <mergeCell ref="H71:H7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</mergeCell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K95"/>
  <sheetViews>
    <sheetView workbookViewId="0">
      <selection activeCell="L24" sqref="L24"/>
    </sheetView>
  </sheetViews>
  <sheetFormatPr defaultRowHeight="15"/>
  <sheetData>
    <row r="1" spans="1:11">
      <c r="A1" s="21" t="s">
        <v>52</v>
      </c>
      <c r="B1" s="21" t="s">
        <v>53</v>
      </c>
      <c r="C1" s="21" t="s">
        <v>53</v>
      </c>
      <c r="D1" s="21" t="s">
        <v>53</v>
      </c>
      <c r="E1" s="21" t="s">
        <v>53</v>
      </c>
      <c r="F1" s="21" t="s">
        <v>53</v>
      </c>
      <c r="G1" s="21" t="s">
        <v>53</v>
      </c>
      <c r="H1" s="21" t="s">
        <v>53</v>
      </c>
      <c r="I1" s="21" t="s">
        <v>53</v>
      </c>
      <c r="J1" s="21" t="s">
        <v>53</v>
      </c>
      <c r="K1" s="21" t="s">
        <v>53</v>
      </c>
    </row>
    <row r="2" spans="1:11">
      <c r="A2" s="18" t="s">
        <v>55</v>
      </c>
      <c r="B2" s="18" t="s">
        <v>54</v>
      </c>
      <c r="C2" s="18" t="s">
        <v>58</v>
      </c>
      <c r="D2" s="18" t="s">
        <v>60</v>
      </c>
      <c r="E2" s="18" t="s">
        <v>62</v>
      </c>
      <c r="F2" s="18" t="s">
        <v>64</v>
      </c>
      <c r="G2" s="16" t="s">
        <v>66</v>
      </c>
      <c r="H2" s="18" t="s">
        <v>68</v>
      </c>
      <c r="I2" s="18" t="s">
        <v>70</v>
      </c>
      <c r="J2" s="18" t="s">
        <v>72</v>
      </c>
      <c r="K2" s="18" t="s">
        <v>74</v>
      </c>
    </row>
    <row r="3" spans="1:11">
      <c r="A3" s="19" t="s">
        <v>56</v>
      </c>
      <c r="B3" s="19" t="s">
        <v>57</v>
      </c>
      <c r="C3" s="19" t="s">
        <v>59</v>
      </c>
      <c r="D3" s="19" t="s">
        <v>61</v>
      </c>
      <c r="E3" s="19" t="s">
        <v>63</v>
      </c>
      <c r="F3" s="19" t="s">
        <v>65</v>
      </c>
      <c r="G3" s="17" t="s">
        <v>67</v>
      </c>
      <c r="H3" s="19" t="s">
        <v>69</v>
      </c>
      <c r="I3" s="19" t="s">
        <v>71</v>
      </c>
      <c r="J3" s="19" t="s">
        <v>73</v>
      </c>
      <c r="K3" s="19" t="s">
        <v>75</v>
      </c>
    </row>
    <row r="4" spans="1:11">
      <c r="A4" s="21" t="s">
        <v>50</v>
      </c>
    </row>
    <row r="21" spans="5:5">
      <c r="E21" s="21" t="s">
        <v>76</v>
      </c>
    </row>
    <row r="22" spans="5:5">
      <c r="E22" s="210">
        <v>0</v>
      </c>
    </row>
    <row r="23" spans="5:5">
      <c r="E23" s="210"/>
    </row>
    <row r="24" spans="5:5">
      <c r="E24" s="212">
        <v>0</v>
      </c>
    </row>
    <row r="25" spans="5:5">
      <c r="E25" s="212"/>
    </row>
    <row r="26" spans="5:5">
      <c r="E26" s="210">
        <v>0</v>
      </c>
    </row>
    <row r="27" spans="5:5">
      <c r="E27" s="210"/>
    </row>
    <row r="28" spans="5:5">
      <c r="E28" s="212">
        <v>0</v>
      </c>
    </row>
    <row r="29" spans="5:5">
      <c r="E29" s="212"/>
    </row>
    <row r="30" spans="5:5">
      <c r="E30" s="210">
        <v>0</v>
      </c>
    </row>
    <row r="31" spans="5:5">
      <c r="E31" s="210"/>
    </row>
    <row r="32" spans="5:5">
      <c r="E32" s="212">
        <v>0</v>
      </c>
    </row>
    <row r="33" spans="5:5">
      <c r="E33" s="212"/>
    </row>
    <row r="34" spans="5:5">
      <c r="E34" s="210">
        <v>0</v>
      </c>
    </row>
    <row r="35" spans="5:5">
      <c r="E35" s="210"/>
    </row>
    <row r="36" spans="5:5">
      <c r="E36" s="212">
        <v>0</v>
      </c>
    </row>
    <row r="37" spans="5:5">
      <c r="E37" s="212"/>
    </row>
    <row r="38" spans="5:5">
      <c r="E38" s="210">
        <v>0</v>
      </c>
    </row>
    <row r="39" spans="5:5">
      <c r="E39" s="210"/>
    </row>
    <row r="40" spans="5:5">
      <c r="E40" s="212">
        <v>0</v>
      </c>
    </row>
    <row r="41" spans="5:5">
      <c r="E41" s="212"/>
    </row>
    <row r="42" spans="5:5">
      <c r="E42" s="210">
        <v>0</v>
      </c>
    </row>
    <row r="43" spans="5:5">
      <c r="E43" s="210"/>
    </row>
    <row r="44" spans="5:5">
      <c r="E44" s="211">
        <v>0</v>
      </c>
    </row>
    <row r="45" spans="5:5">
      <c r="E45" s="211"/>
    </row>
    <row r="46" spans="5:5">
      <c r="E46" s="212">
        <v>0</v>
      </c>
    </row>
    <row r="47" spans="5:5">
      <c r="E47" s="212"/>
    </row>
    <row r="48" spans="5:5">
      <c r="E48" s="211">
        <v>0</v>
      </c>
    </row>
    <row r="49" spans="5:5">
      <c r="E49" s="211"/>
    </row>
    <row r="50" spans="5:5">
      <c r="E50" s="212">
        <v>0</v>
      </c>
    </row>
    <row r="51" spans="5:5">
      <c r="E51" s="212"/>
    </row>
    <row r="52" spans="5:5">
      <c r="E52" s="211">
        <v>0</v>
      </c>
    </row>
    <row r="53" spans="5:5">
      <c r="E53" s="211"/>
    </row>
    <row r="54" spans="5:5">
      <c r="E54" s="212">
        <v>0</v>
      </c>
    </row>
    <row r="55" spans="5:5">
      <c r="E55" s="212"/>
    </row>
    <row r="56" spans="5:5">
      <c r="E56" s="211">
        <v>0</v>
      </c>
    </row>
    <row r="57" spans="5:5">
      <c r="E57" s="211"/>
    </row>
    <row r="58" spans="5:5">
      <c r="E58" s="212">
        <v>0</v>
      </c>
    </row>
    <row r="59" spans="5:5">
      <c r="E59" s="212"/>
    </row>
    <row r="60" spans="5:5">
      <c r="E60" s="211">
        <v>0</v>
      </c>
    </row>
    <row r="61" spans="5:5">
      <c r="E61" s="211"/>
    </row>
    <row r="62" spans="5:5">
      <c r="E62" s="210">
        <v>0</v>
      </c>
    </row>
    <row r="63" spans="5:5">
      <c r="E63" s="210"/>
    </row>
    <row r="64" spans="5:5">
      <c r="E64" s="212">
        <v>0</v>
      </c>
    </row>
    <row r="65" spans="5:5">
      <c r="E65" s="212"/>
    </row>
    <row r="66" spans="5:5">
      <c r="E66" s="210">
        <v>0</v>
      </c>
    </row>
    <row r="67" spans="5:5">
      <c r="E67" s="210"/>
    </row>
    <row r="68" spans="5:5">
      <c r="E68" s="212">
        <v>0</v>
      </c>
    </row>
    <row r="69" spans="5:5">
      <c r="E69" s="212"/>
    </row>
    <row r="70" spans="5:5">
      <c r="E70" s="210">
        <v>0</v>
      </c>
    </row>
    <row r="71" spans="5:5">
      <c r="E71" s="210"/>
    </row>
    <row r="72" spans="5:5">
      <c r="E72" s="212">
        <v>0</v>
      </c>
    </row>
    <row r="73" spans="5:5">
      <c r="E73" s="212"/>
    </row>
    <row r="74" spans="5:5">
      <c r="E74" s="210">
        <v>0</v>
      </c>
    </row>
    <row r="75" spans="5:5">
      <c r="E75" s="210"/>
    </row>
    <row r="76" spans="5:5">
      <c r="E76" s="212">
        <v>0</v>
      </c>
    </row>
    <row r="77" spans="5:5">
      <c r="E77" s="212"/>
    </row>
    <row r="78" spans="5:5">
      <c r="E78" s="211">
        <v>4</v>
      </c>
    </row>
    <row r="79" spans="5:5">
      <c r="E79" s="211"/>
    </row>
    <row r="80" spans="5:5">
      <c r="E80" s="212">
        <v>4</v>
      </c>
    </row>
    <row r="81" spans="5:5">
      <c r="E81" s="212"/>
    </row>
    <row r="82" spans="5:5">
      <c r="E82" s="211">
        <v>4</v>
      </c>
    </row>
    <row r="83" spans="5:5">
      <c r="E83" s="211"/>
    </row>
    <row r="84" spans="5:5">
      <c r="E84" s="212">
        <v>4</v>
      </c>
    </row>
    <row r="85" spans="5:5">
      <c r="E85" s="212"/>
    </row>
    <row r="86" spans="5:5">
      <c r="E86" s="211">
        <v>4</v>
      </c>
    </row>
    <row r="87" spans="5:5">
      <c r="E87" s="211"/>
    </row>
    <row r="88" spans="5:5">
      <c r="E88" s="212">
        <v>4</v>
      </c>
    </row>
    <row r="89" spans="5:5">
      <c r="E89" s="212"/>
    </row>
    <row r="90" spans="5:5">
      <c r="E90" s="211">
        <v>4</v>
      </c>
    </row>
    <row r="91" spans="5:5">
      <c r="E91" s="211"/>
    </row>
    <row r="92" spans="5:5">
      <c r="E92" s="212">
        <v>4</v>
      </c>
    </row>
    <row r="93" spans="5:5">
      <c r="E93" s="212"/>
    </row>
    <row r="94" spans="5:5">
      <c r="E94" s="211">
        <v>4</v>
      </c>
    </row>
    <row r="95" spans="5:5">
      <c r="E95" s="211"/>
    </row>
  </sheetData>
  <mergeCells count="37">
    <mergeCell ref="E28:E29"/>
    <mergeCell ref="E26:E27"/>
    <mergeCell ref="E24:E25"/>
    <mergeCell ref="E22:E23"/>
    <mergeCell ref="E40:E41"/>
    <mergeCell ref="E38:E39"/>
    <mergeCell ref="E36:E37"/>
    <mergeCell ref="E34:E35"/>
    <mergeCell ref="E32:E33"/>
    <mergeCell ref="E30:E31"/>
    <mergeCell ref="E42:E43"/>
    <mergeCell ref="E64:E65"/>
    <mergeCell ref="E62:E63"/>
    <mergeCell ref="E60:E61"/>
    <mergeCell ref="E58:E59"/>
    <mergeCell ref="E56:E57"/>
    <mergeCell ref="E54:E55"/>
    <mergeCell ref="E52:E53"/>
    <mergeCell ref="E50:E51"/>
    <mergeCell ref="E48:E49"/>
    <mergeCell ref="E46:E47"/>
    <mergeCell ref="E44:E45"/>
    <mergeCell ref="E66:E67"/>
    <mergeCell ref="E94:E95"/>
    <mergeCell ref="E92:E93"/>
    <mergeCell ref="E90:E91"/>
    <mergeCell ref="E88:E89"/>
    <mergeCell ref="E86:E87"/>
    <mergeCell ref="E84:E85"/>
    <mergeCell ref="E82:E83"/>
    <mergeCell ref="E80:E81"/>
    <mergeCell ref="E78:E79"/>
    <mergeCell ref="E76:E77"/>
    <mergeCell ref="E74:E75"/>
    <mergeCell ref="E72:E73"/>
    <mergeCell ref="E70:E71"/>
    <mergeCell ref="E68:E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V85"/>
  <sheetViews>
    <sheetView topLeftCell="A43" zoomScale="70" zoomScaleNormal="70" workbookViewId="0">
      <selection activeCell="S57" sqref="S57:S77"/>
    </sheetView>
  </sheetViews>
  <sheetFormatPr defaultRowHeight="15"/>
  <cols>
    <col min="1" max="1" width="11.140625" customWidth="1"/>
    <col min="2" max="2" width="46.140625" customWidth="1"/>
    <col min="3" max="14" width="8.85546875" style="15" customWidth="1"/>
    <col min="15" max="15" width="12.42578125" style="15" customWidth="1"/>
    <col min="16" max="18" width="8.85546875" customWidth="1"/>
  </cols>
  <sheetData>
    <row r="1" spans="1:22" ht="15.75" thickBot="1"/>
    <row r="2" spans="1:22">
      <c r="A2" s="22" t="s">
        <v>112</v>
      </c>
      <c r="B2" s="23" t="s">
        <v>172</v>
      </c>
      <c r="H2" s="100" t="s">
        <v>50</v>
      </c>
      <c r="I2" s="249" t="s">
        <v>119</v>
      </c>
      <c r="J2" s="249"/>
      <c r="K2" s="249"/>
      <c r="L2" s="250"/>
      <c r="M2" s="251"/>
      <c r="N2" s="252"/>
    </row>
    <row r="3" spans="1:22" ht="15.75" thickBot="1">
      <c r="A3" s="24" t="s">
        <v>113</v>
      </c>
      <c r="B3" s="25" t="s">
        <v>166</v>
      </c>
      <c r="H3" s="101" t="s">
        <v>89</v>
      </c>
      <c r="I3" s="257" t="s">
        <v>167</v>
      </c>
      <c r="J3" s="257"/>
      <c r="K3" s="257"/>
      <c r="L3" s="258"/>
      <c r="M3" s="253"/>
      <c r="N3" s="254"/>
    </row>
    <row r="4" spans="1:22">
      <c r="M4" s="253"/>
      <c r="N4" s="254"/>
    </row>
    <row r="5" spans="1:22">
      <c r="M5" s="253"/>
      <c r="N5" s="254"/>
    </row>
    <row r="6" spans="1:22">
      <c r="M6" s="253"/>
      <c r="N6" s="254"/>
    </row>
    <row r="7" spans="1:22">
      <c r="M7" s="253"/>
      <c r="N7" s="254"/>
    </row>
    <row r="8" spans="1:22" ht="15.75" thickBot="1">
      <c r="M8" s="255"/>
      <c r="N8" s="256"/>
    </row>
    <row r="9" spans="1:22" ht="15.75" thickBot="1">
      <c r="M9" s="29"/>
      <c r="N9" s="29"/>
    </row>
    <row r="10" spans="1:22">
      <c r="A10" s="240" t="s">
        <v>99</v>
      </c>
      <c r="B10" s="241"/>
      <c r="C10" s="246" t="s">
        <v>177</v>
      </c>
      <c r="D10" s="247"/>
      <c r="E10" s="247"/>
      <c r="F10" s="248"/>
      <c r="G10" s="246" t="s">
        <v>176</v>
      </c>
      <c r="H10" s="247"/>
      <c r="I10" s="247"/>
      <c r="J10" s="248"/>
      <c r="K10" s="247" t="s">
        <v>175</v>
      </c>
      <c r="L10" s="247"/>
      <c r="M10" s="247"/>
      <c r="N10" s="248"/>
      <c r="O10" s="247" t="s">
        <v>178</v>
      </c>
      <c r="P10" s="247"/>
      <c r="Q10" s="247"/>
      <c r="R10" s="248"/>
      <c r="S10" s="247" t="s">
        <v>184</v>
      </c>
      <c r="T10" s="247"/>
      <c r="U10" s="247"/>
      <c r="V10" s="248"/>
    </row>
    <row r="11" spans="1:22">
      <c r="A11" s="242"/>
      <c r="B11" s="243"/>
      <c r="C11" s="42" t="s">
        <v>100</v>
      </c>
      <c r="D11" s="118" t="s">
        <v>101</v>
      </c>
      <c r="E11" s="118" t="s">
        <v>102</v>
      </c>
      <c r="F11" s="41" t="s">
        <v>103</v>
      </c>
      <c r="G11" s="42" t="s">
        <v>100</v>
      </c>
      <c r="H11" s="118" t="s">
        <v>101</v>
      </c>
      <c r="I11" s="118" t="s">
        <v>102</v>
      </c>
      <c r="J11" s="41" t="s">
        <v>103</v>
      </c>
      <c r="K11" s="32" t="s">
        <v>100</v>
      </c>
      <c r="L11" s="118" t="s">
        <v>101</v>
      </c>
      <c r="M11" s="118" t="s">
        <v>102</v>
      </c>
      <c r="N11" s="41" t="s">
        <v>103</v>
      </c>
      <c r="O11" s="32" t="s">
        <v>100</v>
      </c>
      <c r="P11" s="120" t="s">
        <v>101</v>
      </c>
      <c r="Q11" s="120" t="s">
        <v>102</v>
      </c>
      <c r="R11" s="41" t="s">
        <v>103</v>
      </c>
      <c r="S11" s="132" t="s">
        <v>100</v>
      </c>
      <c r="T11" s="129" t="s">
        <v>101</v>
      </c>
      <c r="U11" s="129" t="s">
        <v>102</v>
      </c>
      <c r="V11" s="41" t="s">
        <v>103</v>
      </c>
    </row>
    <row r="12" spans="1:22" ht="15.75" thickBot="1">
      <c r="A12" s="244"/>
      <c r="B12" s="245"/>
      <c r="C12" s="43" t="s">
        <v>105</v>
      </c>
      <c r="D12" s="103" t="s">
        <v>106</v>
      </c>
      <c r="E12" s="103" t="s">
        <v>107</v>
      </c>
      <c r="F12" s="104" t="s">
        <v>104</v>
      </c>
      <c r="G12" s="43" t="s">
        <v>105</v>
      </c>
      <c r="H12" s="103" t="s">
        <v>106</v>
      </c>
      <c r="I12" s="103" t="s">
        <v>107</v>
      </c>
      <c r="J12" s="104" t="s">
        <v>104</v>
      </c>
      <c r="K12" s="102" t="s">
        <v>105</v>
      </c>
      <c r="L12" s="103" t="s">
        <v>106</v>
      </c>
      <c r="M12" s="103" t="s">
        <v>107</v>
      </c>
      <c r="N12" s="104" t="s">
        <v>104</v>
      </c>
      <c r="O12" s="102" t="s">
        <v>105</v>
      </c>
      <c r="P12" s="121" t="s">
        <v>106</v>
      </c>
      <c r="Q12" s="121" t="s">
        <v>107</v>
      </c>
      <c r="R12" s="122" t="s">
        <v>104</v>
      </c>
      <c r="S12" s="133" t="s">
        <v>105</v>
      </c>
      <c r="T12" s="130" t="s">
        <v>106</v>
      </c>
      <c r="U12" s="130" t="s">
        <v>107</v>
      </c>
      <c r="V12" s="131" t="s">
        <v>104</v>
      </c>
    </row>
    <row r="13" spans="1:22" ht="14.25" customHeight="1">
      <c r="A13" s="213" t="s">
        <v>143</v>
      </c>
      <c r="B13" s="239" t="s">
        <v>154</v>
      </c>
      <c r="C13" s="115">
        <v>4</v>
      </c>
      <c r="D13" s="113">
        <v>4</v>
      </c>
      <c r="E13" s="113">
        <v>4</v>
      </c>
      <c r="F13" s="109">
        <v>4</v>
      </c>
      <c r="G13" s="115">
        <v>4</v>
      </c>
      <c r="H13" s="113">
        <v>4</v>
      </c>
      <c r="I13" s="113">
        <v>4</v>
      </c>
      <c r="J13" s="109">
        <v>4</v>
      </c>
      <c r="K13" s="115">
        <v>4</v>
      </c>
      <c r="L13" s="113">
        <v>4</v>
      </c>
      <c r="M13" s="113">
        <v>4</v>
      </c>
      <c r="N13" s="109">
        <v>4</v>
      </c>
      <c r="O13" s="115">
        <v>4</v>
      </c>
      <c r="P13" s="113">
        <v>4</v>
      </c>
      <c r="Q13" s="113">
        <v>4</v>
      </c>
      <c r="R13" s="109">
        <v>4</v>
      </c>
      <c r="S13" s="115">
        <v>4</v>
      </c>
      <c r="T13" s="113"/>
      <c r="U13" s="113"/>
      <c r="V13" s="109"/>
    </row>
    <row r="14" spans="1:22">
      <c r="A14" s="214"/>
      <c r="B14" s="224"/>
      <c r="C14" s="116"/>
      <c r="D14" s="114"/>
      <c r="E14" s="114"/>
      <c r="F14" s="108"/>
      <c r="G14" s="116"/>
      <c r="H14" s="114"/>
      <c r="I14" s="114"/>
      <c r="J14" s="108"/>
      <c r="K14" s="116"/>
      <c r="L14" s="114"/>
      <c r="M14" s="114"/>
      <c r="N14" s="108"/>
      <c r="O14" s="116"/>
      <c r="P14" s="114"/>
      <c r="Q14" s="114"/>
      <c r="R14" s="108"/>
      <c r="S14" s="116"/>
      <c r="T14" s="114"/>
      <c r="U14" s="114"/>
      <c r="V14" s="108"/>
    </row>
    <row r="15" spans="1:22">
      <c r="A15" s="214"/>
      <c r="B15" s="221" t="s">
        <v>173</v>
      </c>
      <c r="C15" s="94">
        <v>4</v>
      </c>
      <c r="D15" s="96">
        <v>4</v>
      </c>
      <c r="E15" s="96">
        <v>4</v>
      </c>
      <c r="F15" s="105">
        <v>4</v>
      </c>
      <c r="G15" s="94">
        <v>4</v>
      </c>
      <c r="H15" s="96">
        <v>4</v>
      </c>
      <c r="I15" s="96">
        <v>4</v>
      </c>
      <c r="J15" s="105">
        <v>4</v>
      </c>
      <c r="K15" s="94">
        <v>4</v>
      </c>
      <c r="L15" s="96">
        <v>4</v>
      </c>
      <c r="M15" s="96">
        <v>4</v>
      </c>
      <c r="N15" s="105">
        <v>4</v>
      </c>
      <c r="O15" s="94">
        <v>4</v>
      </c>
      <c r="P15" s="96">
        <v>4</v>
      </c>
      <c r="Q15" s="96">
        <v>4</v>
      </c>
      <c r="R15" s="105">
        <v>4</v>
      </c>
      <c r="S15" s="94">
        <v>4</v>
      </c>
      <c r="T15" s="96"/>
      <c r="U15" s="96"/>
      <c r="V15" s="105"/>
    </row>
    <row r="16" spans="1:22">
      <c r="A16" s="214"/>
      <c r="B16" s="222"/>
      <c r="C16" s="95"/>
      <c r="D16" s="97"/>
      <c r="E16" s="97"/>
      <c r="F16" s="106"/>
      <c r="G16" s="95"/>
      <c r="H16" s="97"/>
      <c r="I16" s="97"/>
      <c r="J16" s="106"/>
      <c r="K16" s="95"/>
      <c r="L16" s="97"/>
      <c r="M16" s="97"/>
      <c r="N16" s="106"/>
      <c r="O16" s="95"/>
      <c r="P16" s="97"/>
      <c r="Q16" s="97"/>
      <c r="R16" s="106"/>
      <c r="S16" s="95"/>
      <c r="T16" s="97"/>
      <c r="U16" s="97"/>
      <c r="V16" s="106"/>
    </row>
    <row r="17" spans="1:22">
      <c r="A17" s="214"/>
      <c r="B17" s="223" t="s">
        <v>155</v>
      </c>
      <c r="C17" s="112">
        <v>4</v>
      </c>
      <c r="D17" s="110">
        <v>4</v>
      </c>
      <c r="E17" s="110">
        <v>4</v>
      </c>
      <c r="F17" s="107">
        <v>4</v>
      </c>
      <c r="G17" s="112">
        <v>4</v>
      </c>
      <c r="H17" s="110">
        <v>4</v>
      </c>
      <c r="I17" s="110">
        <v>4</v>
      </c>
      <c r="J17" s="107">
        <v>4</v>
      </c>
      <c r="K17" s="112">
        <v>4</v>
      </c>
      <c r="L17" s="110">
        <v>4</v>
      </c>
      <c r="M17" s="110">
        <v>4</v>
      </c>
      <c r="N17" s="107">
        <v>4</v>
      </c>
      <c r="O17" s="112">
        <v>4</v>
      </c>
      <c r="P17" s="110">
        <v>4</v>
      </c>
      <c r="Q17" s="110">
        <v>3</v>
      </c>
      <c r="R17" s="107">
        <v>3</v>
      </c>
      <c r="S17" s="112">
        <v>3</v>
      </c>
      <c r="T17" s="110"/>
      <c r="U17" s="110"/>
      <c r="V17" s="107"/>
    </row>
    <row r="18" spans="1:22">
      <c r="A18" s="214"/>
      <c r="B18" s="224"/>
      <c r="C18" s="116"/>
      <c r="D18" s="114"/>
      <c r="E18" s="114"/>
      <c r="F18" s="108"/>
      <c r="G18" s="116"/>
      <c r="H18" s="114"/>
      <c r="I18" s="114"/>
      <c r="J18" s="108"/>
      <c r="K18" s="116"/>
      <c r="L18" s="114"/>
      <c r="M18" s="114"/>
      <c r="N18" s="108"/>
      <c r="O18" s="116"/>
      <c r="P18" s="114"/>
      <c r="Q18" s="114"/>
      <c r="R18" s="108"/>
      <c r="S18" s="116"/>
      <c r="T18" s="114"/>
      <c r="U18" s="114"/>
      <c r="V18" s="108"/>
    </row>
    <row r="19" spans="1:22">
      <c r="A19" s="214"/>
      <c r="B19" s="221" t="s">
        <v>156</v>
      </c>
      <c r="C19" s="94">
        <v>3</v>
      </c>
      <c r="D19" s="96">
        <v>3</v>
      </c>
      <c r="E19" s="96">
        <v>3</v>
      </c>
      <c r="F19" s="105">
        <v>3</v>
      </c>
      <c r="G19" s="94">
        <v>3</v>
      </c>
      <c r="H19" s="96">
        <v>3</v>
      </c>
      <c r="I19" s="96">
        <v>3</v>
      </c>
      <c r="J19" s="105">
        <v>3</v>
      </c>
      <c r="K19" s="94">
        <v>3</v>
      </c>
      <c r="L19" s="96">
        <v>3</v>
      </c>
      <c r="M19" s="96">
        <v>3</v>
      </c>
      <c r="N19" s="105">
        <v>3</v>
      </c>
      <c r="O19" s="94">
        <v>3</v>
      </c>
      <c r="P19" s="96">
        <v>3</v>
      </c>
      <c r="Q19" s="96">
        <v>4</v>
      </c>
      <c r="R19" s="105">
        <v>4</v>
      </c>
      <c r="S19" s="94">
        <v>4</v>
      </c>
      <c r="T19" s="96"/>
      <c r="U19" s="96"/>
      <c r="V19" s="105"/>
    </row>
    <row r="20" spans="1:22">
      <c r="A20" s="214"/>
      <c r="B20" s="222"/>
      <c r="C20" s="95"/>
      <c r="D20" s="97"/>
      <c r="E20" s="97"/>
      <c r="F20" s="106"/>
      <c r="G20" s="95"/>
      <c r="H20" s="97"/>
      <c r="I20" s="97"/>
      <c r="J20" s="106"/>
      <c r="K20" s="95"/>
      <c r="L20" s="97"/>
      <c r="M20" s="97"/>
      <c r="N20" s="106"/>
      <c r="O20" s="95"/>
      <c r="P20" s="97"/>
      <c r="Q20" s="97"/>
      <c r="R20" s="106"/>
      <c r="S20" s="95"/>
      <c r="T20" s="97"/>
      <c r="U20" s="97"/>
      <c r="V20" s="106"/>
    </row>
    <row r="21" spans="1:22">
      <c r="A21" s="214"/>
      <c r="B21" s="220" t="s">
        <v>157</v>
      </c>
      <c r="C21" s="112">
        <v>4</v>
      </c>
      <c r="D21" s="110">
        <v>4</v>
      </c>
      <c r="E21" s="110">
        <v>4</v>
      </c>
      <c r="F21" s="107">
        <v>4</v>
      </c>
      <c r="G21" s="112">
        <v>4</v>
      </c>
      <c r="H21" s="110">
        <v>4</v>
      </c>
      <c r="I21" s="110">
        <v>4</v>
      </c>
      <c r="J21" s="107">
        <v>4</v>
      </c>
      <c r="K21" s="112">
        <v>4</v>
      </c>
      <c r="L21" s="110">
        <v>4</v>
      </c>
      <c r="M21" s="110">
        <v>4</v>
      </c>
      <c r="N21" s="107">
        <v>4</v>
      </c>
      <c r="O21" s="112">
        <v>4</v>
      </c>
      <c r="P21" s="110">
        <v>4</v>
      </c>
      <c r="Q21" s="110">
        <v>4</v>
      </c>
      <c r="R21" s="107">
        <v>4</v>
      </c>
      <c r="S21" s="112">
        <v>4</v>
      </c>
      <c r="T21" s="110"/>
      <c r="U21" s="110"/>
      <c r="V21" s="107"/>
    </row>
    <row r="22" spans="1:22">
      <c r="A22" s="214"/>
      <c r="B22" s="217"/>
      <c r="C22" s="116"/>
      <c r="D22" s="114"/>
      <c r="E22" s="114"/>
      <c r="F22" s="108"/>
      <c r="G22" s="116"/>
      <c r="H22" s="114"/>
      <c r="I22" s="114"/>
      <c r="J22" s="108"/>
      <c r="K22" s="116"/>
      <c r="L22" s="114"/>
      <c r="M22" s="114"/>
      <c r="N22" s="108"/>
      <c r="O22" s="116"/>
      <c r="P22" s="114"/>
      <c r="Q22" s="114"/>
      <c r="R22" s="108"/>
      <c r="S22" s="116"/>
      <c r="T22" s="114"/>
      <c r="U22" s="114"/>
      <c r="V22" s="108"/>
    </row>
    <row r="23" spans="1:22">
      <c r="A23" s="214"/>
      <c r="B23" s="221" t="s">
        <v>158</v>
      </c>
      <c r="C23" s="94">
        <v>3</v>
      </c>
      <c r="D23" s="96">
        <v>3</v>
      </c>
      <c r="E23" s="96">
        <v>3</v>
      </c>
      <c r="F23" s="105">
        <v>3</v>
      </c>
      <c r="G23" s="94">
        <v>3</v>
      </c>
      <c r="H23" s="96">
        <v>3</v>
      </c>
      <c r="I23" s="96">
        <v>3</v>
      </c>
      <c r="J23" s="105">
        <v>3</v>
      </c>
      <c r="K23" s="94">
        <v>3</v>
      </c>
      <c r="L23" s="96">
        <v>3</v>
      </c>
      <c r="M23" s="96">
        <v>3</v>
      </c>
      <c r="N23" s="105">
        <v>3</v>
      </c>
      <c r="O23" s="94">
        <v>3</v>
      </c>
      <c r="P23" s="96">
        <v>3</v>
      </c>
      <c r="Q23" s="96">
        <v>3</v>
      </c>
      <c r="R23" s="105">
        <v>3</v>
      </c>
      <c r="S23" s="94">
        <v>3</v>
      </c>
      <c r="T23" s="96"/>
      <c r="U23" s="96"/>
      <c r="V23" s="105"/>
    </row>
    <row r="24" spans="1:22">
      <c r="A24" s="214"/>
      <c r="B24" s="222"/>
      <c r="C24" s="95"/>
      <c r="D24" s="97"/>
      <c r="E24" s="97"/>
      <c r="F24" s="106"/>
      <c r="G24" s="95"/>
      <c r="H24" s="97"/>
      <c r="I24" s="97"/>
      <c r="J24" s="106"/>
      <c r="K24" s="95"/>
      <c r="L24" s="97"/>
      <c r="M24" s="97"/>
      <c r="N24" s="106"/>
      <c r="O24" s="95"/>
      <c r="P24" s="97"/>
      <c r="Q24" s="97"/>
      <c r="R24" s="106"/>
      <c r="S24" s="95"/>
      <c r="T24" s="97"/>
      <c r="U24" s="97"/>
      <c r="V24" s="106"/>
    </row>
    <row r="25" spans="1:22">
      <c r="A25" s="214"/>
      <c r="B25" s="223" t="s">
        <v>159</v>
      </c>
      <c r="C25" s="112">
        <v>2</v>
      </c>
      <c r="D25" s="110">
        <v>2</v>
      </c>
      <c r="E25" s="110">
        <v>2</v>
      </c>
      <c r="F25" s="107">
        <v>2</v>
      </c>
      <c r="G25" s="112">
        <v>2</v>
      </c>
      <c r="H25" s="110">
        <v>2</v>
      </c>
      <c r="I25" s="110">
        <v>2</v>
      </c>
      <c r="J25" s="107">
        <v>2</v>
      </c>
      <c r="K25" s="112">
        <v>2</v>
      </c>
      <c r="L25" s="110">
        <v>2</v>
      </c>
      <c r="M25" s="110">
        <v>2</v>
      </c>
      <c r="N25" s="107">
        <v>2</v>
      </c>
      <c r="O25" s="112">
        <v>2</v>
      </c>
      <c r="P25" s="110">
        <v>2</v>
      </c>
      <c r="Q25" s="110">
        <v>2</v>
      </c>
      <c r="R25" s="107">
        <v>2</v>
      </c>
      <c r="S25" s="112">
        <v>2</v>
      </c>
      <c r="T25" s="110"/>
      <c r="U25" s="110"/>
      <c r="V25" s="107"/>
    </row>
    <row r="26" spans="1:22">
      <c r="A26" s="214"/>
      <c r="B26" s="224"/>
      <c r="C26" s="116"/>
      <c r="D26" s="114"/>
      <c r="E26" s="114"/>
      <c r="F26" s="108"/>
      <c r="G26" s="116"/>
      <c r="H26" s="114"/>
      <c r="I26" s="114"/>
      <c r="J26" s="108"/>
      <c r="K26" s="116"/>
      <c r="L26" s="114"/>
      <c r="M26" s="114"/>
      <c r="N26" s="108"/>
      <c r="O26" s="116"/>
      <c r="P26" s="114"/>
      <c r="Q26" s="114"/>
      <c r="R26" s="108"/>
      <c r="S26" s="116"/>
      <c r="T26" s="114"/>
      <c r="U26" s="114"/>
      <c r="V26" s="108"/>
    </row>
    <row r="27" spans="1:22">
      <c r="A27" s="214"/>
      <c r="B27" s="221" t="s">
        <v>160</v>
      </c>
      <c r="C27" s="94">
        <v>3</v>
      </c>
      <c r="D27" s="96">
        <v>3</v>
      </c>
      <c r="E27" s="96">
        <v>3</v>
      </c>
      <c r="F27" s="105">
        <v>3</v>
      </c>
      <c r="G27" s="94">
        <v>3</v>
      </c>
      <c r="H27" s="96">
        <v>3</v>
      </c>
      <c r="I27" s="96">
        <v>3</v>
      </c>
      <c r="J27" s="105">
        <v>3</v>
      </c>
      <c r="K27" s="94">
        <v>3</v>
      </c>
      <c r="L27" s="96">
        <v>3</v>
      </c>
      <c r="M27" s="96">
        <v>3</v>
      </c>
      <c r="N27" s="105">
        <v>3</v>
      </c>
      <c r="O27" s="94">
        <v>3</v>
      </c>
      <c r="P27" s="96">
        <v>3</v>
      </c>
      <c r="Q27" s="96">
        <v>4</v>
      </c>
      <c r="R27" s="105">
        <v>4</v>
      </c>
      <c r="S27" s="94">
        <v>4</v>
      </c>
      <c r="T27" s="96"/>
      <c r="U27" s="96"/>
      <c r="V27" s="105"/>
    </row>
    <row r="28" spans="1:22">
      <c r="A28" s="214"/>
      <c r="B28" s="222"/>
      <c r="C28" s="95"/>
      <c r="D28" s="97"/>
      <c r="E28" s="97"/>
      <c r="F28" s="106"/>
      <c r="G28" s="95"/>
      <c r="H28" s="97"/>
      <c r="I28" s="97"/>
      <c r="J28" s="106"/>
      <c r="K28" s="95"/>
      <c r="L28" s="97"/>
      <c r="M28" s="97"/>
      <c r="N28" s="106"/>
      <c r="O28" s="95"/>
      <c r="P28" s="97"/>
      <c r="Q28" s="97"/>
      <c r="R28" s="106"/>
      <c r="S28" s="95"/>
      <c r="T28" s="97"/>
      <c r="U28" s="97"/>
      <c r="V28" s="106"/>
    </row>
    <row r="29" spans="1:22">
      <c r="A29" s="214"/>
      <c r="B29" s="225" t="s">
        <v>161</v>
      </c>
      <c r="C29" s="112">
        <v>3</v>
      </c>
      <c r="D29" s="110">
        <v>3</v>
      </c>
      <c r="E29" s="110">
        <v>3</v>
      </c>
      <c r="F29" s="107">
        <v>3</v>
      </c>
      <c r="G29" s="112">
        <v>3</v>
      </c>
      <c r="H29" s="110">
        <v>3</v>
      </c>
      <c r="I29" s="110">
        <v>3</v>
      </c>
      <c r="J29" s="107">
        <v>3</v>
      </c>
      <c r="K29" s="112">
        <v>3</v>
      </c>
      <c r="L29" s="110">
        <v>3</v>
      </c>
      <c r="M29" s="110">
        <v>3</v>
      </c>
      <c r="N29" s="107">
        <v>3</v>
      </c>
      <c r="O29" s="112">
        <v>3</v>
      </c>
      <c r="P29" s="110">
        <v>4</v>
      </c>
      <c r="Q29" s="110">
        <v>3</v>
      </c>
      <c r="R29" s="107">
        <v>3</v>
      </c>
      <c r="S29" s="112">
        <v>3</v>
      </c>
      <c r="T29" s="110"/>
      <c r="U29" s="110"/>
      <c r="V29" s="107"/>
    </row>
    <row r="30" spans="1:22">
      <c r="A30" s="214"/>
      <c r="B30" s="226"/>
      <c r="C30" s="116"/>
      <c r="D30" s="114"/>
      <c r="E30" s="114"/>
      <c r="F30" s="108"/>
      <c r="G30" s="116"/>
      <c r="H30" s="114"/>
      <c r="I30" s="114"/>
      <c r="J30" s="108"/>
      <c r="K30" s="116"/>
      <c r="L30" s="114"/>
      <c r="M30" s="114"/>
      <c r="N30" s="108"/>
      <c r="O30" s="116"/>
      <c r="P30" s="114"/>
      <c r="Q30" s="114"/>
      <c r="R30" s="108"/>
      <c r="S30" s="116"/>
      <c r="T30" s="114"/>
      <c r="U30" s="114"/>
      <c r="V30" s="108"/>
    </row>
    <row r="31" spans="1:22">
      <c r="A31" s="214"/>
      <c r="B31" s="221" t="s">
        <v>165</v>
      </c>
      <c r="C31" s="94">
        <v>4</v>
      </c>
      <c r="D31" s="96">
        <v>4</v>
      </c>
      <c r="E31" s="96">
        <v>4</v>
      </c>
      <c r="F31" s="105">
        <v>4</v>
      </c>
      <c r="G31" s="94">
        <v>4</v>
      </c>
      <c r="H31" s="96">
        <v>4</v>
      </c>
      <c r="I31" s="96">
        <v>4</v>
      </c>
      <c r="J31" s="105">
        <v>4</v>
      </c>
      <c r="K31" s="94">
        <v>4</v>
      </c>
      <c r="L31" s="96">
        <v>4</v>
      </c>
      <c r="M31" s="96">
        <v>4</v>
      </c>
      <c r="N31" s="105">
        <v>4</v>
      </c>
      <c r="O31" s="94">
        <v>4</v>
      </c>
      <c r="P31" s="96">
        <v>4</v>
      </c>
      <c r="Q31" s="96">
        <v>3</v>
      </c>
      <c r="R31" s="105">
        <v>3</v>
      </c>
      <c r="S31" s="94">
        <v>3</v>
      </c>
      <c r="T31" s="96"/>
      <c r="U31" s="96"/>
      <c r="V31" s="105"/>
    </row>
    <row r="32" spans="1:22">
      <c r="A32" s="214"/>
      <c r="B32" s="222"/>
      <c r="C32" s="95"/>
      <c r="D32" s="97"/>
      <c r="E32" s="97"/>
      <c r="F32" s="106"/>
      <c r="G32" s="95"/>
      <c r="H32" s="97"/>
      <c r="I32" s="97"/>
      <c r="J32" s="106"/>
      <c r="K32" s="95"/>
      <c r="L32" s="97"/>
      <c r="M32" s="97"/>
      <c r="N32" s="106"/>
      <c r="O32" s="95"/>
      <c r="P32" s="97"/>
      <c r="Q32" s="97"/>
      <c r="R32" s="106"/>
      <c r="S32" s="95"/>
      <c r="T32" s="97"/>
      <c r="U32" s="97"/>
      <c r="V32" s="106"/>
    </row>
    <row r="33" spans="1:22">
      <c r="A33" s="214"/>
      <c r="B33" s="223" t="s">
        <v>162</v>
      </c>
      <c r="C33" s="112">
        <v>3</v>
      </c>
      <c r="D33" s="110">
        <v>3</v>
      </c>
      <c r="E33" s="110">
        <v>3</v>
      </c>
      <c r="F33" s="107">
        <v>3</v>
      </c>
      <c r="G33" s="112">
        <v>3</v>
      </c>
      <c r="H33" s="110">
        <v>3</v>
      </c>
      <c r="I33" s="110">
        <v>3</v>
      </c>
      <c r="J33" s="107">
        <v>3</v>
      </c>
      <c r="K33" s="112">
        <v>3</v>
      </c>
      <c r="L33" s="110">
        <v>3</v>
      </c>
      <c r="M33" s="110">
        <v>3</v>
      </c>
      <c r="N33" s="107">
        <v>3</v>
      </c>
      <c r="O33" s="112">
        <v>3</v>
      </c>
      <c r="P33" s="110">
        <v>3</v>
      </c>
      <c r="Q33" s="110">
        <v>3</v>
      </c>
      <c r="R33" s="107">
        <v>3</v>
      </c>
      <c r="S33" s="112">
        <v>3</v>
      </c>
      <c r="T33" s="110"/>
      <c r="U33" s="110"/>
      <c r="V33" s="107"/>
    </row>
    <row r="34" spans="1:22" ht="15.75" thickBot="1">
      <c r="A34" s="215"/>
      <c r="B34" s="224"/>
      <c r="C34" s="117"/>
      <c r="D34" s="111"/>
      <c r="E34" s="111"/>
      <c r="F34" s="98"/>
      <c r="G34" s="117"/>
      <c r="H34" s="111"/>
      <c r="I34" s="111"/>
      <c r="J34" s="98"/>
      <c r="K34" s="117"/>
      <c r="L34" s="111"/>
      <c r="M34" s="111"/>
      <c r="N34" s="98"/>
      <c r="O34" s="117"/>
      <c r="P34" s="111"/>
      <c r="Q34" s="111"/>
      <c r="R34" s="98"/>
      <c r="S34" s="117"/>
      <c r="T34" s="111"/>
      <c r="U34" s="111"/>
      <c r="V34" s="98"/>
    </row>
    <row r="35" spans="1:22" ht="14.25" customHeight="1">
      <c r="A35" s="213" t="s">
        <v>144</v>
      </c>
      <c r="B35" s="216" t="s">
        <v>145</v>
      </c>
      <c r="C35" s="115">
        <v>3</v>
      </c>
      <c r="D35" s="113">
        <v>3</v>
      </c>
      <c r="E35" s="113">
        <v>3</v>
      </c>
      <c r="F35" s="109">
        <v>3</v>
      </c>
      <c r="G35" s="115">
        <v>3</v>
      </c>
      <c r="H35" s="113">
        <v>3</v>
      </c>
      <c r="I35" s="113">
        <v>3</v>
      </c>
      <c r="J35" s="109">
        <v>3</v>
      </c>
      <c r="K35" s="115">
        <v>3</v>
      </c>
      <c r="L35" s="113">
        <v>3</v>
      </c>
      <c r="M35" s="113">
        <v>3</v>
      </c>
      <c r="N35" s="109">
        <v>3</v>
      </c>
      <c r="O35" s="115">
        <v>3</v>
      </c>
      <c r="P35" s="113">
        <v>3</v>
      </c>
      <c r="Q35" s="113">
        <v>3</v>
      </c>
      <c r="R35" s="109">
        <v>3</v>
      </c>
      <c r="S35" s="115">
        <v>3</v>
      </c>
      <c r="T35" s="113"/>
      <c r="U35" s="113"/>
      <c r="V35" s="109"/>
    </row>
    <row r="36" spans="1:22">
      <c r="A36" s="214"/>
      <c r="B36" s="217"/>
      <c r="C36" s="116"/>
      <c r="D36" s="114"/>
      <c r="E36" s="114"/>
      <c r="F36" s="108"/>
      <c r="G36" s="116"/>
      <c r="H36" s="114"/>
      <c r="I36" s="114"/>
      <c r="J36" s="108"/>
      <c r="K36" s="116"/>
      <c r="L36" s="114"/>
      <c r="M36" s="114"/>
      <c r="N36" s="108"/>
      <c r="O36" s="116"/>
      <c r="P36" s="114"/>
      <c r="Q36" s="114"/>
      <c r="R36" s="108"/>
      <c r="S36" s="116"/>
      <c r="T36" s="114"/>
      <c r="U36" s="114"/>
      <c r="V36" s="108"/>
    </row>
    <row r="37" spans="1:22">
      <c r="A37" s="214"/>
      <c r="B37" s="218" t="s">
        <v>146</v>
      </c>
      <c r="C37" s="94">
        <v>3</v>
      </c>
      <c r="D37" s="96">
        <v>3</v>
      </c>
      <c r="E37" s="96">
        <v>3</v>
      </c>
      <c r="F37" s="105">
        <v>3</v>
      </c>
      <c r="G37" s="94">
        <v>3</v>
      </c>
      <c r="H37" s="96">
        <v>3</v>
      </c>
      <c r="I37" s="96">
        <v>3</v>
      </c>
      <c r="J37" s="105">
        <v>3</v>
      </c>
      <c r="K37" s="94">
        <v>3</v>
      </c>
      <c r="L37" s="96">
        <v>3</v>
      </c>
      <c r="M37" s="96">
        <v>3</v>
      </c>
      <c r="N37" s="105">
        <v>3</v>
      </c>
      <c r="O37" s="94">
        <v>3</v>
      </c>
      <c r="P37" s="96">
        <v>3</v>
      </c>
      <c r="Q37" s="96">
        <v>3</v>
      </c>
      <c r="R37" s="105">
        <v>3</v>
      </c>
      <c r="S37" s="94">
        <v>3</v>
      </c>
      <c r="T37" s="96"/>
      <c r="U37" s="96"/>
      <c r="V37" s="105"/>
    </row>
    <row r="38" spans="1:22">
      <c r="A38" s="214"/>
      <c r="B38" s="219"/>
      <c r="C38" s="95"/>
      <c r="D38" s="97"/>
      <c r="E38" s="97"/>
      <c r="F38" s="106"/>
      <c r="G38" s="95"/>
      <c r="H38" s="97"/>
      <c r="I38" s="97"/>
      <c r="J38" s="106"/>
      <c r="K38" s="95"/>
      <c r="L38" s="97"/>
      <c r="M38" s="97"/>
      <c r="N38" s="106"/>
      <c r="O38" s="95"/>
      <c r="P38" s="97"/>
      <c r="Q38" s="97"/>
      <c r="R38" s="106"/>
      <c r="S38" s="95"/>
      <c r="T38" s="97"/>
      <c r="U38" s="97"/>
      <c r="V38" s="106"/>
    </row>
    <row r="39" spans="1:22">
      <c r="A39" s="214"/>
      <c r="B39" s="220" t="s">
        <v>147</v>
      </c>
      <c r="C39" s="112">
        <v>4</v>
      </c>
      <c r="D39" s="110">
        <v>4</v>
      </c>
      <c r="E39" s="110">
        <v>4</v>
      </c>
      <c r="F39" s="107">
        <v>4</v>
      </c>
      <c r="G39" s="112">
        <v>4</v>
      </c>
      <c r="H39" s="110">
        <v>4</v>
      </c>
      <c r="I39" s="110">
        <v>4</v>
      </c>
      <c r="J39" s="107">
        <v>4</v>
      </c>
      <c r="K39" s="112">
        <v>4</v>
      </c>
      <c r="L39" s="110">
        <v>4</v>
      </c>
      <c r="M39" s="110">
        <v>4</v>
      </c>
      <c r="N39" s="107">
        <v>4</v>
      </c>
      <c r="O39" s="112">
        <v>4</v>
      </c>
      <c r="P39" s="110">
        <v>4</v>
      </c>
      <c r="Q39" s="110">
        <v>4</v>
      </c>
      <c r="R39" s="107">
        <v>4</v>
      </c>
      <c r="S39" s="112">
        <v>4</v>
      </c>
      <c r="T39" s="110"/>
      <c r="U39" s="110"/>
      <c r="V39" s="107"/>
    </row>
    <row r="40" spans="1:22">
      <c r="A40" s="214"/>
      <c r="B40" s="217"/>
      <c r="C40" s="116"/>
      <c r="D40" s="114"/>
      <c r="E40" s="114"/>
      <c r="F40" s="108"/>
      <c r="G40" s="116"/>
      <c r="H40" s="114"/>
      <c r="I40" s="114"/>
      <c r="J40" s="108"/>
      <c r="K40" s="116"/>
      <c r="L40" s="114"/>
      <c r="M40" s="114"/>
      <c r="N40" s="108"/>
      <c r="O40" s="116"/>
      <c r="P40" s="114"/>
      <c r="Q40" s="114"/>
      <c r="R40" s="108"/>
      <c r="S40" s="116"/>
      <c r="T40" s="114"/>
      <c r="U40" s="114"/>
      <c r="V40" s="108"/>
    </row>
    <row r="41" spans="1:22">
      <c r="A41" s="214"/>
      <c r="B41" s="221" t="s">
        <v>153</v>
      </c>
      <c r="C41" s="94">
        <v>4</v>
      </c>
      <c r="D41" s="96">
        <v>4</v>
      </c>
      <c r="E41" s="96">
        <v>4</v>
      </c>
      <c r="F41" s="105">
        <v>4</v>
      </c>
      <c r="G41" s="94">
        <v>4</v>
      </c>
      <c r="H41" s="96">
        <v>4</v>
      </c>
      <c r="I41" s="96">
        <v>4</v>
      </c>
      <c r="J41" s="105">
        <v>4</v>
      </c>
      <c r="K41" s="94">
        <v>4</v>
      </c>
      <c r="L41" s="96">
        <v>4</v>
      </c>
      <c r="M41" s="96">
        <v>4</v>
      </c>
      <c r="N41" s="105">
        <v>4</v>
      </c>
      <c r="O41" s="94">
        <v>4</v>
      </c>
      <c r="P41" s="96">
        <v>4</v>
      </c>
      <c r="Q41" s="96">
        <v>4</v>
      </c>
      <c r="R41" s="105">
        <v>4</v>
      </c>
      <c r="S41" s="94">
        <v>4</v>
      </c>
      <c r="T41" s="96"/>
      <c r="U41" s="96"/>
      <c r="V41" s="105"/>
    </row>
    <row r="42" spans="1:22">
      <c r="A42" s="214"/>
      <c r="B42" s="222"/>
      <c r="C42" s="95"/>
      <c r="D42" s="97"/>
      <c r="E42" s="97"/>
      <c r="F42" s="106"/>
      <c r="G42" s="95"/>
      <c r="H42" s="97"/>
      <c r="I42" s="97"/>
      <c r="J42" s="106"/>
      <c r="K42" s="95"/>
      <c r="L42" s="97"/>
      <c r="M42" s="97"/>
      <c r="N42" s="106"/>
      <c r="O42" s="95"/>
      <c r="P42" s="97"/>
      <c r="Q42" s="97"/>
      <c r="R42" s="106"/>
      <c r="S42" s="95"/>
      <c r="T42" s="97"/>
      <c r="U42" s="97"/>
      <c r="V42" s="106"/>
    </row>
    <row r="43" spans="1:22">
      <c r="A43" s="214"/>
      <c r="B43" s="220" t="s">
        <v>148</v>
      </c>
      <c r="C43" s="112">
        <v>4</v>
      </c>
      <c r="D43" s="110">
        <v>4</v>
      </c>
      <c r="E43" s="110">
        <v>4</v>
      </c>
      <c r="F43" s="107">
        <v>4</v>
      </c>
      <c r="G43" s="112">
        <v>4</v>
      </c>
      <c r="H43" s="110">
        <v>4</v>
      </c>
      <c r="I43" s="110">
        <v>4</v>
      </c>
      <c r="J43" s="107">
        <v>4</v>
      </c>
      <c r="K43" s="112">
        <v>4</v>
      </c>
      <c r="L43" s="110">
        <v>4</v>
      </c>
      <c r="M43" s="110">
        <v>4</v>
      </c>
      <c r="N43" s="107">
        <v>4</v>
      </c>
      <c r="O43" s="112">
        <v>4</v>
      </c>
      <c r="P43" s="110">
        <v>4</v>
      </c>
      <c r="Q43" s="110">
        <v>4</v>
      </c>
      <c r="R43" s="107">
        <v>4</v>
      </c>
      <c r="S43" s="112">
        <v>4</v>
      </c>
      <c r="T43" s="110"/>
      <c r="U43" s="110"/>
      <c r="V43" s="107"/>
    </row>
    <row r="44" spans="1:22">
      <c r="A44" s="214"/>
      <c r="B44" s="217"/>
      <c r="C44" s="116"/>
      <c r="D44" s="114"/>
      <c r="E44" s="114"/>
      <c r="F44" s="108"/>
      <c r="G44" s="116"/>
      <c r="H44" s="114"/>
      <c r="I44" s="114"/>
      <c r="J44" s="108"/>
      <c r="K44" s="116"/>
      <c r="L44" s="114"/>
      <c r="M44" s="114"/>
      <c r="N44" s="108"/>
      <c r="O44" s="116"/>
      <c r="P44" s="114"/>
      <c r="Q44" s="114"/>
      <c r="R44" s="108"/>
      <c r="S44" s="116"/>
      <c r="T44" s="114"/>
      <c r="U44" s="114"/>
      <c r="V44" s="108"/>
    </row>
    <row r="45" spans="1:22">
      <c r="A45" s="214"/>
      <c r="B45" s="221" t="s">
        <v>149</v>
      </c>
      <c r="C45" s="94">
        <v>4</v>
      </c>
      <c r="D45" s="96">
        <v>4</v>
      </c>
      <c r="E45" s="96">
        <v>4</v>
      </c>
      <c r="F45" s="105">
        <v>4</v>
      </c>
      <c r="G45" s="94">
        <v>4</v>
      </c>
      <c r="H45" s="96">
        <v>4</v>
      </c>
      <c r="I45" s="96">
        <v>4</v>
      </c>
      <c r="J45" s="105">
        <v>4</v>
      </c>
      <c r="K45" s="94">
        <v>4</v>
      </c>
      <c r="L45" s="96">
        <v>4</v>
      </c>
      <c r="M45" s="96">
        <v>4</v>
      </c>
      <c r="N45" s="105">
        <v>4</v>
      </c>
      <c r="O45" s="94">
        <v>4</v>
      </c>
      <c r="P45" s="96">
        <v>4</v>
      </c>
      <c r="Q45" s="96">
        <v>4</v>
      </c>
      <c r="R45" s="105">
        <v>4</v>
      </c>
      <c r="S45" s="94">
        <v>4</v>
      </c>
      <c r="T45" s="96"/>
      <c r="U45" s="96"/>
      <c r="V45" s="105"/>
    </row>
    <row r="46" spans="1:22">
      <c r="A46" s="214"/>
      <c r="B46" s="222"/>
      <c r="C46" s="95"/>
      <c r="D46" s="97"/>
      <c r="E46" s="97"/>
      <c r="F46" s="106"/>
      <c r="G46" s="95"/>
      <c r="H46" s="97"/>
      <c r="I46" s="97"/>
      <c r="J46" s="106"/>
      <c r="K46" s="95"/>
      <c r="L46" s="97"/>
      <c r="M46" s="97"/>
      <c r="N46" s="106"/>
      <c r="O46" s="95"/>
      <c r="P46" s="97"/>
      <c r="Q46" s="97"/>
      <c r="R46" s="106"/>
      <c r="S46" s="95"/>
      <c r="T46" s="97"/>
      <c r="U46" s="97"/>
      <c r="V46" s="106"/>
    </row>
    <row r="47" spans="1:22">
      <c r="A47" s="214"/>
      <c r="B47" s="223" t="s">
        <v>150</v>
      </c>
      <c r="C47" s="112">
        <v>4</v>
      </c>
      <c r="D47" s="110">
        <v>4</v>
      </c>
      <c r="E47" s="110">
        <v>4</v>
      </c>
      <c r="F47" s="107">
        <v>4</v>
      </c>
      <c r="G47" s="112">
        <v>4</v>
      </c>
      <c r="H47" s="110">
        <v>4</v>
      </c>
      <c r="I47" s="110">
        <v>4</v>
      </c>
      <c r="J47" s="107">
        <v>4</v>
      </c>
      <c r="K47" s="112">
        <v>4</v>
      </c>
      <c r="L47" s="110">
        <v>4</v>
      </c>
      <c r="M47" s="110">
        <v>4</v>
      </c>
      <c r="N47" s="107">
        <v>4</v>
      </c>
      <c r="O47" s="112">
        <v>4</v>
      </c>
      <c r="P47" s="110">
        <v>4</v>
      </c>
      <c r="Q47" s="110">
        <v>4</v>
      </c>
      <c r="R47" s="107">
        <v>4</v>
      </c>
      <c r="S47" s="112">
        <v>4</v>
      </c>
      <c r="T47" s="110"/>
      <c r="U47" s="110"/>
      <c r="V47" s="107"/>
    </row>
    <row r="48" spans="1:22">
      <c r="A48" s="214"/>
      <c r="B48" s="224"/>
      <c r="C48" s="116"/>
      <c r="D48" s="114"/>
      <c r="E48" s="114"/>
      <c r="F48" s="108"/>
      <c r="G48" s="116"/>
      <c r="H48" s="114"/>
      <c r="I48" s="114"/>
      <c r="J48" s="108"/>
      <c r="K48" s="116"/>
      <c r="L48" s="114"/>
      <c r="M48" s="114"/>
      <c r="N48" s="108"/>
      <c r="O48" s="116"/>
      <c r="P48" s="114"/>
      <c r="Q48" s="114"/>
      <c r="R48" s="108"/>
      <c r="S48" s="116"/>
      <c r="T48" s="114"/>
      <c r="U48" s="114"/>
      <c r="V48" s="108"/>
    </row>
    <row r="49" spans="1:22">
      <c r="A49" s="214"/>
      <c r="B49" s="221" t="s">
        <v>151</v>
      </c>
      <c r="C49" s="94">
        <v>3</v>
      </c>
      <c r="D49" s="96">
        <v>3</v>
      </c>
      <c r="E49" s="96">
        <v>3</v>
      </c>
      <c r="F49" s="105">
        <v>3</v>
      </c>
      <c r="G49" s="94">
        <v>3</v>
      </c>
      <c r="H49" s="96">
        <v>3</v>
      </c>
      <c r="I49" s="96">
        <v>3</v>
      </c>
      <c r="J49" s="105">
        <v>3</v>
      </c>
      <c r="K49" s="94">
        <v>3</v>
      </c>
      <c r="L49" s="96">
        <v>3</v>
      </c>
      <c r="M49" s="96">
        <v>3</v>
      </c>
      <c r="N49" s="105">
        <v>3</v>
      </c>
      <c r="O49" s="94">
        <v>3</v>
      </c>
      <c r="P49" s="96">
        <v>3</v>
      </c>
      <c r="Q49" s="96">
        <v>4</v>
      </c>
      <c r="R49" s="105">
        <v>4</v>
      </c>
      <c r="S49" s="94">
        <v>4</v>
      </c>
      <c r="T49" s="96"/>
      <c r="U49" s="96"/>
      <c r="V49" s="105"/>
    </row>
    <row r="50" spans="1:22">
      <c r="A50" s="214"/>
      <c r="B50" s="222"/>
      <c r="C50" s="95"/>
      <c r="D50" s="97"/>
      <c r="E50" s="97"/>
      <c r="F50" s="106"/>
      <c r="G50" s="95"/>
      <c r="H50" s="97"/>
      <c r="I50" s="97"/>
      <c r="J50" s="106"/>
      <c r="K50" s="95"/>
      <c r="L50" s="97"/>
      <c r="M50" s="97"/>
      <c r="N50" s="106"/>
      <c r="O50" s="95"/>
      <c r="P50" s="97"/>
      <c r="Q50" s="97"/>
      <c r="R50" s="106"/>
      <c r="S50" s="95"/>
      <c r="T50" s="97"/>
      <c r="U50" s="97"/>
      <c r="V50" s="106"/>
    </row>
    <row r="51" spans="1:22">
      <c r="A51" s="214"/>
      <c r="B51" s="225" t="s">
        <v>163</v>
      </c>
      <c r="C51" s="112">
        <v>4</v>
      </c>
      <c r="D51" s="110">
        <v>4</v>
      </c>
      <c r="E51" s="110">
        <v>4</v>
      </c>
      <c r="F51" s="107">
        <v>4</v>
      </c>
      <c r="G51" s="112">
        <v>4</v>
      </c>
      <c r="H51" s="110">
        <v>4</v>
      </c>
      <c r="I51" s="110">
        <v>4</v>
      </c>
      <c r="J51" s="107">
        <v>4</v>
      </c>
      <c r="K51" s="112">
        <v>4</v>
      </c>
      <c r="L51" s="110">
        <v>4</v>
      </c>
      <c r="M51" s="110">
        <v>4</v>
      </c>
      <c r="N51" s="107">
        <v>4</v>
      </c>
      <c r="O51" s="112">
        <v>4</v>
      </c>
      <c r="P51" s="110">
        <v>4</v>
      </c>
      <c r="Q51" s="110">
        <v>4</v>
      </c>
      <c r="R51" s="107">
        <v>4</v>
      </c>
      <c r="S51" s="112">
        <v>4</v>
      </c>
      <c r="T51" s="110"/>
      <c r="U51" s="110"/>
      <c r="V51" s="107"/>
    </row>
    <row r="52" spans="1:22">
      <c r="A52" s="214"/>
      <c r="B52" s="226"/>
      <c r="C52" s="116"/>
      <c r="D52" s="114"/>
      <c r="E52" s="114"/>
      <c r="F52" s="108"/>
      <c r="G52" s="116"/>
      <c r="H52" s="114"/>
      <c r="I52" s="114"/>
      <c r="J52" s="108"/>
      <c r="K52" s="116"/>
      <c r="L52" s="114"/>
      <c r="M52" s="114"/>
      <c r="N52" s="108"/>
      <c r="O52" s="116"/>
      <c r="P52" s="114"/>
      <c r="Q52" s="114"/>
      <c r="R52" s="108"/>
      <c r="S52" s="116"/>
      <c r="T52" s="114"/>
      <c r="U52" s="114"/>
      <c r="V52" s="108"/>
    </row>
    <row r="53" spans="1:22">
      <c r="A53" s="214"/>
      <c r="B53" s="221" t="s">
        <v>152</v>
      </c>
      <c r="C53" s="94">
        <v>2</v>
      </c>
      <c r="D53" s="96">
        <v>2</v>
      </c>
      <c r="E53" s="96">
        <v>2</v>
      </c>
      <c r="F53" s="105">
        <v>2</v>
      </c>
      <c r="G53" s="94">
        <v>2</v>
      </c>
      <c r="H53" s="96">
        <v>2</v>
      </c>
      <c r="I53" s="96">
        <v>2</v>
      </c>
      <c r="J53" s="105">
        <v>2</v>
      </c>
      <c r="K53" s="94">
        <v>2</v>
      </c>
      <c r="L53" s="96">
        <v>2</v>
      </c>
      <c r="M53" s="96">
        <v>2</v>
      </c>
      <c r="N53" s="105">
        <v>2</v>
      </c>
      <c r="O53" s="94">
        <v>2</v>
      </c>
      <c r="P53" s="96">
        <v>3</v>
      </c>
      <c r="Q53" s="96">
        <v>4</v>
      </c>
      <c r="R53" s="105">
        <v>4</v>
      </c>
      <c r="S53" s="94">
        <v>4</v>
      </c>
      <c r="T53" s="96"/>
      <c r="U53" s="96"/>
      <c r="V53" s="105"/>
    </row>
    <row r="54" spans="1:22">
      <c r="A54" s="214"/>
      <c r="B54" s="222"/>
      <c r="C54" s="95"/>
      <c r="D54" s="97"/>
      <c r="E54" s="97"/>
      <c r="F54" s="106"/>
      <c r="G54" s="95"/>
      <c r="H54" s="97"/>
      <c r="I54" s="97"/>
      <c r="J54" s="106"/>
      <c r="K54" s="95"/>
      <c r="L54" s="97"/>
      <c r="M54" s="97"/>
      <c r="N54" s="106"/>
      <c r="O54" s="95"/>
      <c r="P54" s="97"/>
      <c r="Q54" s="97"/>
      <c r="R54" s="106"/>
      <c r="S54" s="95"/>
      <c r="T54" s="97"/>
      <c r="U54" s="97"/>
      <c r="V54" s="106"/>
    </row>
    <row r="55" spans="1:22">
      <c r="A55" s="214"/>
      <c r="B55" s="223" t="s">
        <v>164</v>
      </c>
      <c r="C55" s="112">
        <v>4</v>
      </c>
      <c r="D55" s="110">
        <v>4</v>
      </c>
      <c r="E55" s="110">
        <v>4</v>
      </c>
      <c r="F55" s="107">
        <v>4</v>
      </c>
      <c r="G55" s="112">
        <v>4</v>
      </c>
      <c r="H55" s="110">
        <v>4</v>
      </c>
      <c r="I55" s="110">
        <v>4</v>
      </c>
      <c r="J55" s="107">
        <v>4</v>
      </c>
      <c r="K55" s="112">
        <v>4</v>
      </c>
      <c r="L55" s="110">
        <v>4</v>
      </c>
      <c r="M55" s="110">
        <v>4</v>
      </c>
      <c r="N55" s="107">
        <v>4</v>
      </c>
      <c r="O55" s="112">
        <v>4</v>
      </c>
      <c r="P55" s="110">
        <v>4</v>
      </c>
      <c r="Q55" s="110">
        <v>4</v>
      </c>
      <c r="R55" s="107">
        <v>4</v>
      </c>
      <c r="S55" s="112">
        <v>4</v>
      </c>
      <c r="T55" s="110"/>
      <c r="U55" s="110"/>
      <c r="V55" s="107"/>
    </row>
    <row r="56" spans="1:22" ht="15.75" thickBot="1">
      <c r="A56" s="215"/>
      <c r="B56" s="224"/>
      <c r="C56" s="117"/>
      <c r="D56" s="111"/>
      <c r="E56" s="111"/>
      <c r="F56" s="98"/>
      <c r="G56" s="117"/>
      <c r="H56" s="111"/>
      <c r="I56" s="111"/>
      <c r="J56" s="98"/>
      <c r="K56" s="117"/>
      <c r="L56" s="111"/>
      <c r="M56" s="111"/>
      <c r="N56" s="98"/>
      <c r="O56" s="117"/>
      <c r="P56" s="111"/>
      <c r="Q56" s="111"/>
      <c r="R56" s="98"/>
      <c r="S56" s="117"/>
      <c r="T56" s="111"/>
      <c r="U56" s="111"/>
      <c r="V56" s="98"/>
    </row>
    <row r="57" spans="1:22" ht="14.25" customHeight="1">
      <c r="A57" s="227" t="s">
        <v>131</v>
      </c>
      <c r="B57" s="230" t="s">
        <v>137</v>
      </c>
      <c r="C57" s="115">
        <v>1</v>
      </c>
      <c r="D57" s="113">
        <v>1</v>
      </c>
      <c r="E57" s="113">
        <v>1</v>
      </c>
      <c r="F57" s="109">
        <v>1</v>
      </c>
      <c r="G57" s="115">
        <v>1</v>
      </c>
      <c r="H57" s="113">
        <v>1</v>
      </c>
      <c r="I57" s="113">
        <v>1</v>
      </c>
      <c r="J57" s="109">
        <v>1</v>
      </c>
      <c r="K57" s="115">
        <v>1</v>
      </c>
      <c r="L57" s="113">
        <v>1</v>
      </c>
      <c r="M57" s="113">
        <v>1</v>
      </c>
      <c r="N57" s="109">
        <v>1</v>
      </c>
      <c r="O57" s="115">
        <v>1</v>
      </c>
      <c r="P57" s="113">
        <v>1</v>
      </c>
      <c r="Q57" s="113">
        <v>1</v>
      </c>
      <c r="R57" s="109">
        <v>1</v>
      </c>
      <c r="S57" s="115">
        <v>1</v>
      </c>
      <c r="T57" s="113"/>
      <c r="U57" s="113"/>
      <c r="V57" s="109"/>
    </row>
    <row r="58" spans="1:22">
      <c r="A58" s="228"/>
      <c r="B58" s="231"/>
      <c r="C58" s="116"/>
      <c r="D58" s="114"/>
      <c r="E58" s="114"/>
      <c r="F58" s="108"/>
      <c r="G58" s="116"/>
      <c r="H58" s="114"/>
      <c r="I58" s="114"/>
      <c r="J58" s="108"/>
      <c r="K58" s="116"/>
      <c r="L58" s="114"/>
      <c r="M58" s="114"/>
      <c r="N58" s="108"/>
      <c r="O58" s="116"/>
      <c r="P58" s="114"/>
      <c r="Q58" s="114"/>
      <c r="R58" s="108"/>
      <c r="S58" s="116"/>
      <c r="T58" s="114"/>
      <c r="U58" s="114"/>
      <c r="V58" s="108"/>
    </row>
    <row r="59" spans="1:22">
      <c r="A59" s="228"/>
      <c r="B59" s="232" t="s">
        <v>132</v>
      </c>
      <c r="C59" s="94">
        <v>0</v>
      </c>
      <c r="D59" s="96">
        <v>0</v>
      </c>
      <c r="E59" s="96">
        <v>0</v>
      </c>
      <c r="F59" s="105">
        <v>0</v>
      </c>
      <c r="G59" s="94">
        <v>0</v>
      </c>
      <c r="H59" s="96">
        <v>0</v>
      </c>
      <c r="I59" s="96">
        <v>0</v>
      </c>
      <c r="J59" s="105">
        <v>0</v>
      </c>
      <c r="K59" s="94">
        <v>0</v>
      </c>
      <c r="L59" s="96">
        <v>0</v>
      </c>
      <c r="M59" s="96">
        <v>0</v>
      </c>
      <c r="N59" s="105">
        <v>0</v>
      </c>
      <c r="O59" s="94">
        <v>0</v>
      </c>
      <c r="P59" s="96">
        <v>0</v>
      </c>
      <c r="Q59" s="96">
        <v>0</v>
      </c>
      <c r="R59" s="105">
        <v>0</v>
      </c>
      <c r="S59" s="94">
        <v>0</v>
      </c>
      <c r="T59" s="96"/>
      <c r="U59" s="96"/>
      <c r="V59" s="105"/>
    </row>
    <row r="60" spans="1:22">
      <c r="A60" s="228"/>
      <c r="B60" s="233"/>
      <c r="C60" s="95"/>
      <c r="D60" s="97"/>
      <c r="E60" s="97"/>
      <c r="F60" s="106"/>
      <c r="G60" s="95"/>
      <c r="H60" s="97"/>
      <c r="I60" s="97"/>
      <c r="J60" s="106"/>
      <c r="K60" s="95"/>
      <c r="L60" s="97"/>
      <c r="M60" s="97"/>
      <c r="N60" s="106"/>
      <c r="O60" s="95"/>
      <c r="P60" s="97"/>
      <c r="Q60" s="97"/>
      <c r="R60" s="106"/>
      <c r="S60" s="95"/>
      <c r="T60" s="97"/>
      <c r="U60" s="97"/>
      <c r="V60" s="106"/>
    </row>
    <row r="61" spans="1:22">
      <c r="A61" s="228"/>
      <c r="B61" s="234" t="s">
        <v>136</v>
      </c>
      <c r="C61" s="112">
        <v>0</v>
      </c>
      <c r="D61" s="110">
        <v>0</v>
      </c>
      <c r="E61" s="110">
        <v>0</v>
      </c>
      <c r="F61" s="107">
        <v>0</v>
      </c>
      <c r="G61" s="112">
        <v>0</v>
      </c>
      <c r="H61" s="110">
        <v>0</v>
      </c>
      <c r="I61" s="110">
        <v>0</v>
      </c>
      <c r="J61" s="107">
        <v>0</v>
      </c>
      <c r="K61" s="112">
        <v>0</v>
      </c>
      <c r="L61" s="110">
        <v>0</v>
      </c>
      <c r="M61" s="110">
        <v>0</v>
      </c>
      <c r="N61" s="107">
        <v>0</v>
      </c>
      <c r="O61" s="112">
        <v>0</v>
      </c>
      <c r="P61" s="110">
        <v>0</v>
      </c>
      <c r="Q61" s="110">
        <v>0</v>
      </c>
      <c r="R61" s="107">
        <v>0</v>
      </c>
      <c r="S61" s="112">
        <v>0</v>
      </c>
      <c r="T61" s="110"/>
      <c r="U61" s="110"/>
      <c r="V61" s="107"/>
    </row>
    <row r="62" spans="1:22">
      <c r="A62" s="228"/>
      <c r="B62" s="231"/>
      <c r="C62" s="116"/>
      <c r="D62" s="114"/>
      <c r="E62" s="114"/>
      <c r="F62" s="108"/>
      <c r="G62" s="116"/>
      <c r="H62" s="114"/>
      <c r="I62" s="114"/>
      <c r="J62" s="108"/>
      <c r="K62" s="116"/>
      <c r="L62" s="114"/>
      <c r="M62" s="114"/>
      <c r="N62" s="108"/>
      <c r="O62" s="116"/>
      <c r="P62" s="114"/>
      <c r="Q62" s="114"/>
      <c r="R62" s="108"/>
      <c r="S62" s="116"/>
      <c r="T62" s="114"/>
      <c r="U62" s="114"/>
      <c r="V62" s="108"/>
    </row>
    <row r="63" spans="1:22">
      <c r="A63" s="228"/>
      <c r="B63" s="232" t="s">
        <v>133</v>
      </c>
      <c r="C63" s="94">
        <v>0</v>
      </c>
      <c r="D63" s="96">
        <v>0</v>
      </c>
      <c r="E63" s="96">
        <v>0</v>
      </c>
      <c r="F63" s="105">
        <v>0</v>
      </c>
      <c r="G63" s="94">
        <v>0</v>
      </c>
      <c r="H63" s="96">
        <v>0</v>
      </c>
      <c r="I63" s="96">
        <v>0</v>
      </c>
      <c r="J63" s="105">
        <v>0</v>
      </c>
      <c r="K63" s="94">
        <v>0</v>
      </c>
      <c r="L63" s="96">
        <v>0</v>
      </c>
      <c r="M63" s="96">
        <v>0</v>
      </c>
      <c r="N63" s="105">
        <v>0</v>
      </c>
      <c r="O63" s="94">
        <v>0</v>
      </c>
      <c r="P63" s="96">
        <v>0</v>
      </c>
      <c r="Q63" s="96">
        <v>0</v>
      </c>
      <c r="R63" s="105">
        <v>0</v>
      </c>
      <c r="S63" s="94">
        <v>0</v>
      </c>
      <c r="T63" s="96"/>
      <c r="U63" s="96"/>
      <c r="V63" s="105"/>
    </row>
    <row r="64" spans="1:22">
      <c r="A64" s="228"/>
      <c r="B64" s="233"/>
      <c r="C64" s="95"/>
      <c r="D64" s="97"/>
      <c r="E64" s="97"/>
      <c r="F64" s="106"/>
      <c r="G64" s="95"/>
      <c r="H64" s="97"/>
      <c r="I64" s="97"/>
      <c r="J64" s="106"/>
      <c r="K64" s="95"/>
      <c r="L64" s="97"/>
      <c r="M64" s="97"/>
      <c r="N64" s="106"/>
      <c r="O64" s="95"/>
      <c r="P64" s="97"/>
      <c r="Q64" s="97"/>
      <c r="R64" s="106"/>
      <c r="S64" s="95"/>
      <c r="T64" s="97"/>
      <c r="U64" s="97"/>
      <c r="V64" s="106"/>
    </row>
    <row r="65" spans="1:22">
      <c r="A65" s="228"/>
      <c r="B65" s="234" t="s">
        <v>134</v>
      </c>
      <c r="C65" s="112">
        <v>0</v>
      </c>
      <c r="D65" s="110">
        <v>0</v>
      </c>
      <c r="E65" s="110">
        <v>0</v>
      </c>
      <c r="F65" s="107">
        <v>0</v>
      </c>
      <c r="G65" s="112">
        <v>0</v>
      </c>
      <c r="H65" s="110">
        <v>0</v>
      </c>
      <c r="I65" s="110">
        <v>0</v>
      </c>
      <c r="J65" s="107">
        <v>0</v>
      </c>
      <c r="K65" s="112">
        <v>0</v>
      </c>
      <c r="L65" s="110">
        <v>0</v>
      </c>
      <c r="M65" s="110">
        <v>0</v>
      </c>
      <c r="N65" s="107">
        <v>0</v>
      </c>
      <c r="O65" s="112">
        <v>0</v>
      </c>
      <c r="P65" s="110">
        <v>0</v>
      </c>
      <c r="Q65" s="110">
        <v>0</v>
      </c>
      <c r="R65" s="107">
        <v>0</v>
      </c>
      <c r="S65" s="112">
        <v>0</v>
      </c>
      <c r="T65" s="110"/>
      <c r="U65" s="110"/>
      <c r="V65" s="107"/>
    </row>
    <row r="66" spans="1:22">
      <c r="A66" s="228"/>
      <c r="B66" s="231"/>
      <c r="C66" s="116"/>
      <c r="D66" s="114"/>
      <c r="E66" s="114"/>
      <c r="F66" s="108"/>
      <c r="G66" s="116"/>
      <c r="H66" s="114"/>
      <c r="I66" s="114"/>
      <c r="J66" s="108"/>
      <c r="K66" s="116"/>
      <c r="L66" s="114"/>
      <c r="M66" s="114"/>
      <c r="N66" s="108"/>
      <c r="O66" s="116"/>
      <c r="P66" s="114"/>
      <c r="Q66" s="114"/>
      <c r="R66" s="108"/>
      <c r="S66" s="116"/>
      <c r="T66" s="114"/>
      <c r="U66" s="114"/>
      <c r="V66" s="108"/>
    </row>
    <row r="67" spans="1:22">
      <c r="A67" s="228"/>
      <c r="B67" s="235" t="s">
        <v>140</v>
      </c>
      <c r="C67" s="94">
        <v>0</v>
      </c>
      <c r="D67" s="96">
        <v>0</v>
      </c>
      <c r="E67" s="96">
        <v>0</v>
      </c>
      <c r="F67" s="105">
        <v>0</v>
      </c>
      <c r="G67" s="94">
        <v>0</v>
      </c>
      <c r="H67" s="96">
        <v>0</v>
      </c>
      <c r="I67" s="96">
        <v>0</v>
      </c>
      <c r="J67" s="105">
        <v>0</v>
      </c>
      <c r="K67" s="94">
        <v>0</v>
      </c>
      <c r="L67" s="96">
        <v>0</v>
      </c>
      <c r="M67" s="96">
        <v>0</v>
      </c>
      <c r="N67" s="105">
        <v>0</v>
      </c>
      <c r="O67" s="94">
        <v>0</v>
      </c>
      <c r="P67" s="96">
        <v>0</v>
      </c>
      <c r="Q67" s="96">
        <v>0</v>
      </c>
      <c r="R67" s="105">
        <v>0</v>
      </c>
      <c r="S67" s="94">
        <v>0</v>
      </c>
      <c r="T67" s="96"/>
      <c r="U67" s="96"/>
      <c r="V67" s="105"/>
    </row>
    <row r="68" spans="1:22">
      <c r="A68" s="228"/>
      <c r="B68" s="236"/>
      <c r="C68" s="95"/>
      <c r="D68" s="97"/>
      <c r="E68" s="97"/>
      <c r="F68" s="106"/>
      <c r="G68" s="95"/>
      <c r="H68" s="97"/>
      <c r="I68" s="97"/>
      <c r="J68" s="106"/>
      <c r="K68" s="95"/>
      <c r="L68" s="97"/>
      <c r="M68" s="97"/>
      <c r="N68" s="106"/>
      <c r="O68" s="95"/>
      <c r="P68" s="97"/>
      <c r="Q68" s="97"/>
      <c r="R68" s="106"/>
      <c r="S68" s="95"/>
      <c r="T68" s="97"/>
      <c r="U68" s="97"/>
      <c r="V68" s="106"/>
    </row>
    <row r="69" spans="1:22">
      <c r="A69" s="228"/>
      <c r="B69" s="237" t="s">
        <v>135</v>
      </c>
      <c r="C69" s="112">
        <v>0</v>
      </c>
      <c r="D69" s="110">
        <v>0</v>
      </c>
      <c r="E69" s="110">
        <v>0</v>
      </c>
      <c r="F69" s="107">
        <v>0</v>
      </c>
      <c r="G69" s="112">
        <v>0</v>
      </c>
      <c r="H69" s="110">
        <v>0</v>
      </c>
      <c r="I69" s="110">
        <v>0</v>
      </c>
      <c r="J69" s="107">
        <v>0</v>
      </c>
      <c r="K69" s="112">
        <v>0</v>
      </c>
      <c r="L69" s="110">
        <v>0</v>
      </c>
      <c r="M69" s="110">
        <v>0</v>
      </c>
      <c r="N69" s="107">
        <v>0</v>
      </c>
      <c r="O69" s="112">
        <v>0</v>
      </c>
      <c r="P69" s="110">
        <v>0</v>
      </c>
      <c r="Q69" s="110">
        <v>0</v>
      </c>
      <c r="R69" s="107">
        <v>0</v>
      </c>
      <c r="S69" s="112">
        <v>0</v>
      </c>
      <c r="T69" s="110"/>
      <c r="U69" s="110"/>
      <c r="V69" s="107"/>
    </row>
    <row r="70" spans="1:22">
      <c r="A70" s="228"/>
      <c r="B70" s="238"/>
      <c r="C70" s="116"/>
      <c r="D70" s="114"/>
      <c r="E70" s="114"/>
      <c r="F70" s="108"/>
      <c r="G70" s="116"/>
      <c r="H70" s="114"/>
      <c r="I70" s="114"/>
      <c r="J70" s="108"/>
      <c r="K70" s="116"/>
      <c r="L70" s="114"/>
      <c r="M70" s="114"/>
      <c r="N70" s="108"/>
      <c r="O70" s="116"/>
      <c r="P70" s="114"/>
      <c r="Q70" s="114"/>
      <c r="R70" s="108"/>
      <c r="S70" s="116"/>
      <c r="T70" s="114"/>
      <c r="U70" s="114"/>
      <c r="V70" s="108"/>
    </row>
    <row r="71" spans="1:22">
      <c r="A71" s="228"/>
      <c r="B71" s="235" t="s">
        <v>138</v>
      </c>
      <c r="C71" s="94">
        <v>0</v>
      </c>
      <c r="D71" s="96">
        <v>0</v>
      </c>
      <c r="E71" s="96">
        <v>0</v>
      </c>
      <c r="F71" s="105">
        <v>0</v>
      </c>
      <c r="G71" s="94">
        <v>0</v>
      </c>
      <c r="H71" s="96">
        <v>0</v>
      </c>
      <c r="I71" s="96">
        <v>0</v>
      </c>
      <c r="J71" s="105">
        <v>0</v>
      </c>
      <c r="K71" s="94">
        <v>0</v>
      </c>
      <c r="L71" s="96">
        <v>0</v>
      </c>
      <c r="M71" s="96">
        <v>0</v>
      </c>
      <c r="N71" s="105">
        <v>0</v>
      </c>
      <c r="O71" s="94">
        <v>0</v>
      </c>
      <c r="P71" s="96">
        <v>0</v>
      </c>
      <c r="Q71" s="96">
        <v>0</v>
      </c>
      <c r="R71" s="105">
        <v>0</v>
      </c>
      <c r="S71" s="94">
        <v>0</v>
      </c>
      <c r="T71" s="96"/>
      <c r="U71" s="96"/>
      <c r="V71" s="105"/>
    </row>
    <row r="72" spans="1:22">
      <c r="A72" s="228"/>
      <c r="B72" s="236"/>
      <c r="C72" s="95"/>
      <c r="D72" s="97"/>
      <c r="E72" s="97"/>
      <c r="F72" s="106"/>
      <c r="G72" s="95"/>
      <c r="H72" s="97"/>
      <c r="I72" s="97"/>
      <c r="J72" s="106"/>
      <c r="K72" s="95"/>
      <c r="L72" s="97"/>
      <c r="M72" s="97"/>
      <c r="N72" s="106"/>
      <c r="O72" s="95"/>
      <c r="P72" s="97"/>
      <c r="Q72" s="97"/>
      <c r="R72" s="106"/>
      <c r="S72" s="95"/>
      <c r="T72" s="97"/>
      <c r="U72" s="97"/>
      <c r="V72" s="106"/>
    </row>
    <row r="73" spans="1:22">
      <c r="A73" s="228"/>
      <c r="B73" s="234" t="s">
        <v>139</v>
      </c>
      <c r="C73" s="112">
        <v>0</v>
      </c>
      <c r="D73" s="110">
        <v>0</v>
      </c>
      <c r="E73" s="110">
        <v>0</v>
      </c>
      <c r="F73" s="107">
        <v>0</v>
      </c>
      <c r="G73" s="112">
        <v>0</v>
      </c>
      <c r="H73" s="110">
        <v>0</v>
      </c>
      <c r="I73" s="110">
        <v>0</v>
      </c>
      <c r="J73" s="107">
        <v>0</v>
      </c>
      <c r="K73" s="112">
        <v>0</v>
      </c>
      <c r="L73" s="110">
        <v>0</v>
      </c>
      <c r="M73" s="110">
        <v>0</v>
      </c>
      <c r="N73" s="107">
        <v>0</v>
      </c>
      <c r="O73" s="112">
        <v>0</v>
      </c>
      <c r="P73" s="110">
        <v>0</v>
      </c>
      <c r="Q73" s="110">
        <v>0</v>
      </c>
      <c r="R73" s="107">
        <v>0</v>
      </c>
      <c r="S73" s="112">
        <v>0</v>
      </c>
      <c r="T73" s="110"/>
      <c r="U73" s="110"/>
      <c r="V73" s="107"/>
    </row>
    <row r="74" spans="1:22">
      <c r="A74" s="228"/>
      <c r="B74" s="231"/>
      <c r="C74" s="116"/>
      <c r="D74" s="114"/>
      <c r="E74" s="114"/>
      <c r="F74" s="108"/>
      <c r="G74" s="116"/>
      <c r="H74" s="114"/>
      <c r="I74" s="114"/>
      <c r="J74" s="108"/>
      <c r="K74" s="116"/>
      <c r="L74" s="114"/>
      <c r="M74" s="114"/>
      <c r="N74" s="108"/>
      <c r="O74" s="116"/>
      <c r="P74" s="114"/>
      <c r="Q74" s="114"/>
      <c r="R74" s="108"/>
      <c r="S74" s="116"/>
      <c r="T74" s="114"/>
      <c r="U74" s="114"/>
      <c r="V74" s="108"/>
    </row>
    <row r="75" spans="1:22">
      <c r="A75" s="228"/>
      <c r="B75" s="232" t="s">
        <v>141</v>
      </c>
      <c r="C75" s="94">
        <v>0</v>
      </c>
      <c r="D75" s="96">
        <v>0</v>
      </c>
      <c r="E75" s="96">
        <v>0</v>
      </c>
      <c r="F75" s="105">
        <v>0</v>
      </c>
      <c r="G75" s="94">
        <v>0</v>
      </c>
      <c r="H75" s="96">
        <v>0</v>
      </c>
      <c r="I75" s="96">
        <v>0</v>
      </c>
      <c r="J75" s="105">
        <v>0</v>
      </c>
      <c r="K75" s="94">
        <v>0</v>
      </c>
      <c r="L75" s="96">
        <v>0</v>
      </c>
      <c r="M75" s="96">
        <v>0</v>
      </c>
      <c r="N75" s="105">
        <v>0</v>
      </c>
      <c r="O75" s="94">
        <v>0</v>
      </c>
      <c r="P75" s="96">
        <v>0</v>
      </c>
      <c r="Q75" s="96">
        <v>0</v>
      </c>
      <c r="R75" s="105">
        <v>0</v>
      </c>
      <c r="S75" s="94">
        <v>0</v>
      </c>
      <c r="T75" s="96"/>
      <c r="U75" s="96"/>
      <c r="V75" s="105"/>
    </row>
    <row r="76" spans="1:22">
      <c r="A76" s="228"/>
      <c r="B76" s="233"/>
      <c r="C76" s="95"/>
      <c r="D76" s="97"/>
      <c r="E76" s="97"/>
      <c r="F76" s="106"/>
      <c r="G76" s="95"/>
      <c r="H76" s="97"/>
      <c r="I76" s="97"/>
      <c r="J76" s="106"/>
      <c r="K76" s="95"/>
      <c r="L76" s="97"/>
      <c r="M76" s="97"/>
      <c r="N76" s="106"/>
      <c r="O76" s="95"/>
      <c r="P76" s="97"/>
      <c r="Q76" s="97"/>
      <c r="R76" s="106"/>
      <c r="S76" s="95"/>
      <c r="T76" s="97"/>
      <c r="U76" s="97"/>
      <c r="V76" s="106"/>
    </row>
    <row r="77" spans="1:22">
      <c r="A77" s="228"/>
      <c r="B77" s="237" t="s">
        <v>142</v>
      </c>
      <c r="C77" s="112">
        <v>0</v>
      </c>
      <c r="D77" s="110">
        <v>0</v>
      </c>
      <c r="E77" s="110">
        <v>0</v>
      </c>
      <c r="F77" s="107">
        <v>0</v>
      </c>
      <c r="G77" s="112">
        <v>0</v>
      </c>
      <c r="H77" s="110">
        <v>0</v>
      </c>
      <c r="I77" s="110">
        <v>0</v>
      </c>
      <c r="J77" s="107">
        <v>0</v>
      </c>
      <c r="K77" s="112">
        <v>0</v>
      </c>
      <c r="L77" s="110">
        <v>0</v>
      </c>
      <c r="M77" s="110">
        <v>0</v>
      </c>
      <c r="N77" s="107">
        <v>0</v>
      </c>
      <c r="O77" s="112">
        <v>0</v>
      </c>
      <c r="P77" s="110">
        <v>0</v>
      </c>
      <c r="Q77" s="110">
        <v>0</v>
      </c>
      <c r="R77" s="107">
        <v>0</v>
      </c>
      <c r="S77" s="112">
        <v>0</v>
      </c>
      <c r="T77" s="110"/>
      <c r="U77" s="110"/>
      <c r="V77" s="107"/>
    </row>
    <row r="78" spans="1:22" ht="15.75" thickBot="1">
      <c r="A78" s="229"/>
      <c r="B78" s="238"/>
      <c r="C78" s="117"/>
      <c r="D78" s="111"/>
      <c r="E78" s="111"/>
      <c r="F78" s="98"/>
      <c r="G78" s="117"/>
      <c r="H78" s="111"/>
      <c r="I78" s="111"/>
      <c r="J78" s="98"/>
      <c r="K78" s="117"/>
      <c r="L78" s="111"/>
      <c r="M78" s="111"/>
      <c r="N78" s="98"/>
      <c r="O78" s="117"/>
      <c r="P78" s="111"/>
      <c r="Q78" s="111"/>
      <c r="R78" s="98"/>
      <c r="S78" s="117"/>
      <c r="T78" s="111"/>
      <c r="U78" s="111"/>
      <c r="V78" s="98"/>
    </row>
    <row r="81" spans="1:14" ht="17.25">
      <c r="A81" s="39" t="s">
        <v>111</v>
      </c>
      <c r="B81" s="35" t="s">
        <v>90</v>
      </c>
      <c r="C81" s="34"/>
      <c r="D81" s="34"/>
      <c r="E81" s="34"/>
      <c r="F81" s="34"/>
    </row>
    <row r="82" spans="1:14" ht="17.25">
      <c r="A82" s="39" t="s">
        <v>91</v>
      </c>
      <c r="B82" s="35" t="s">
        <v>92</v>
      </c>
      <c r="C82" s="34"/>
      <c r="D82" s="34"/>
      <c r="E82" s="34"/>
      <c r="F82" s="34"/>
    </row>
    <row r="83" spans="1:14" ht="17.25">
      <c r="A83" s="39" t="s">
        <v>93</v>
      </c>
      <c r="B83" s="35" t="s">
        <v>94</v>
      </c>
      <c r="C83" s="34"/>
      <c r="D83" s="34"/>
      <c r="E83" s="34"/>
      <c r="F83" s="34"/>
    </row>
    <row r="84" spans="1:14" ht="17.25">
      <c r="A84" s="39" t="s">
        <v>95</v>
      </c>
      <c r="B84" s="35" t="s">
        <v>96</v>
      </c>
      <c r="C84" s="34"/>
      <c r="D84" s="34"/>
      <c r="E84" s="34"/>
      <c r="F84" s="34"/>
      <c r="G84" s="29"/>
      <c r="H84" s="29"/>
      <c r="I84" s="29"/>
      <c r="J84" s="29"/>
      <c r="K84" s="29"/>
      <c r="L84" s="29"/>
      <c r="M84" s="29"/>
      <c r="N84" s="29"/>
    </row>
    <row r="85" spans="1:14" ht="17.25">
      <c r="A85" s="40" t="s">
        <v>97</v>
      </c>
      <c r="B85" s="37" t="s">
        <v>98</v>
      </c>
      <c r="C85" s="36"/>
      <c r="D85" s="36"/>
      <c r="E85" s="36"/>
      <c r="F85" s="36"/>
    </row>
  </sheetData>
  <mergeCells count="45">
    <mergeCell ref="S10:V10"/>
    <mergeCell ref="O10:R10"/>
    <mergeCell ref="I2:L2"/>
    <mergeCell ref="M2:N8"/>
    <mergeCell ref="I3:L3"/>
    <mergeCell ref="A10:B12"/>
    <mergeCell ref="C10:F10"/>
    <mergeCell ref="G10:J10"/>
    <mergeCell ref="K10:N10"/>
    <mergeCell ref="B31:B32"/>
    <mergeCell ref="B33:B34"/>
    <mergeCell ref="A13:A34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A57:A78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A35:A56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00B050"/>
  </sheetPr>
  <dimension ref="A1:V85"/>
  <sheetViews>
    <sheetView zoomScale="80" zoomScaleNormal="80" workbookViewId="0">
      <selection activeCell="S57" sqref="S57:S78"/>
    </sheetView>
  </sheetViews>
  <sheetFormatPr defaultRowHeight="15"/>
  <cols>
    <col min="1" max="1" width="11.140625" customWidth="1"/>
    <col min="2" max="2" width="46.140625" customWidth="1"/>
    <col min="3" max="14" width="8.5703125" style="15" customWidth="1"/>
    <col min="15" max="15" width="14" style="15" customWidth="1"/>
  </cols>
  <sheetData>
    <row r="1" spans="1:22" ht="15.75" thickBot="1"/>
    <row r="2" spans="1:22">
      <c r="A2" s="22" t="s">
        <v>112</v>
      </c>
      <c r="B2" s="23" t="s">
        <v>171</v>
      </c>
      <c r="H2" s="100" t="s">
        <v>50</v>
      </c>
      <c r="I2" s="249" t="s">
        <v>120</v>
      </c>
      <c r="J2" s="249"/>
      <c r="K2" s="249"/>
      <c r="L2" s="250"/>
      <c r="M2" s="251"/>
      <c r="N2" s="252"/>
    </row>
    <row r="3" spans="1:22" ht="15.75" thickBot="1">
      <c r="A3" s="24" t="s">
        <v>113</v>
      </c>
      <c r="B3" s="25" t="s">
        <v>166</v>
      </c>
      <c r="H3" s="101" t="s">
        <v>89</v>
      </c>
      <c r="I3" s="257" t="s">
        <v>168</v>
      </c>
      <c r="J3" s="257"/>
      <c r="K3" s="257"/>
      <c r="L3" s="258"/>
      <c r="M3" s="253"/>
      <c r="N3" s="254"/>
    </row>
    <row r="4" spans="1:22">
      <c r="M4" s="253"/>
      <c r="N4" s="254"/>
    </row>
    <row r="5" spans="1:22">
      <c r="M5" s="253"/>
      <c r="N5" s="254"/>
    </row>
    <row r="6" spans="1:22">
      <c r="M6" s="253"/>
      <c r="N6" s="254"/>
    </row>
    <row r="7" spans="1:22">
      <c r="M7" s="253"/>
      <c r="N7" s="254"/>
    </row>
    <row r="8" spans="1:22" ht="15.75" thickBot="1">
      <c r="M8" s="255"/>
      <c r="N8" s="256"/>
    </row>
    <row r="9" spans="1:22" ht="15.75" thickBot="1">
      <c r="M9" s="29"/>
      <c r="N9" s="29"/>
    </row>
    <row r="10" spans="1:22">
      <c r="A10" s="240" t="s">
        <v>99</v>
      </c>
      <c r="B10" s="241"/>
      <c r="C10" s="246" t="s">
        <v>177</v>
      </c>
      <c r="D10" s="247"/>
      <c r="E10" s="247"/>
      <c r="F10" s="248"/>
      <c r="G10" s="246" t="s">
        <v>176</v>
      </c>
      <c r="H10" s="247"/>
      <c r="I10" s="247"/>
      <c r="J10" s="248"/>
      <c r="K10" s="247" t="s">
        <v>175</v>
      </c>
      <c r="L10" s="247"/>
      <c r="M10" s="247"/>
      <c r="N10" s="248"/>
      <c r="O10" s="247" t="s">
        <v>178</v>
      </c>
      <c r="P10" s="247"/>
      <c r="Q10" s="247"/>
      <c r="R10" s="248"/>
      <c r="S10" s="247" t="s">
        <v>184</v>
      </c>
      <c r="T10" s="247"/>
      <c r="U10" s="247"/>
      <c r="V10" s="248"/>
    </row>
    <row r="11" spans="1:22">
      <c r="A11" s="242"/>
      <c r="B11" s="243"/>
      <c r="C11" s="42" t="s">
        <v>100</v>
      </c>
      <c r="D11" s="99" t="s">
        <v>101</v>
      </c>
      <c r="E11" s="99" t="s">
        <v>102</v>
      </c>
      <c r="F11" s="41" t="s">
        <v>103</v>
      </c>
      <c r="G11" s="42" t="s">
        <v>100</v>
      </c>
      <c r="H11" s="99" t="s">
        <v>101</v>
      </c>
      <c r="I11" s="99" t="s">
        <v>102</v>
      </c>
      <c r="J11" s="41" t="s">
        <v>103</v>
      </c>
      <c r="K11" s="32" t="s">
        <v>100</v>
      </c>
      <c r="L11" s="99" t="s">
        <v>101</v>
      </c>
      <c r="M11" s="99" t="s">
        <v>102</v>
      </c>
      <c r="N11" s="41" t="s">
        <v>103</v>
      </c>
      <c r="O11" s="32" t="s">
        <v>100</v>
      </c>
      <c r="P11" s="120" t="s">
        <v>101</v>
      </c>
      <c r="Q11" s="120" t="s">
        <v>102</v>
      </c>
      <c r="R11" s="41" t="s">
        <v>103</v>
      </c>
      <c r="S11" s="132" t="s">
        <v>100</v>
      </c>
      <c r="T11" s="129" t="s">
        <v>101</v>
      </c>
      <c r="U11" s="129" t="s">
        <v>102</v>
      </c>
      <c r="V11" s="41" t="s">
        <v>103</v>
      </c>
    </row>
    <row r="12" spans="1:22" ht="15.75" thickBot="1">
      <c r="A12" s="244"/>
      <c r="B12" s="245"/>
      <c r="C12" s="43" t="s">
        <v>105</v>
      </c>
      <c r="D12" s="92" t="s">
        <v>106</v>
      </c>
      <c r="E12" s="92" t="s">
        <v>107</v>
      </c>
      <c r="F12" s="93" t="s">
        <v>104</v>
      </c>
      <c r="G12" s="43" t="s">
        <v>105</v>
      </c>
      <c r="H12" s="92" t="s">
        <v>106</v>
      </c>
      <c r="I12" s="92" t="s">
        <v>107</v>
      </c>
      <c r="J12" s="93" t="s">
        <v>104</v>
      </c>
      <c r="K12" s="102" t="s">
        <v>105</v>
      </c>
      <c r="L12" s="92" t="s">
        <v>106</v>
      </c>
      <c r="M12" s="92" t="s">
        <v>107</v>
      </c>
      <c r="N12" s="93" t="s">
        <v>104</v>
      </c>
      <c r="O12" s="102" t="s">
        <v>105</v>
      </c>
      <c r="P12" s="121" t="s">
        <v>106</v>
      </c>
      <c r="Q12" s="121" t="s">
        <v>107</v>
      </c>
      <c r="R12" s="122" t="s">
        <v>104</v>
      </c>
      <c r="S12" s="133" t="s">
        <v>105</v>
      </c>
      <c r="T12" s="130" t="s">
        <v>106</v>
      </c>
      <c r="U12" s="130" t="s">
        <v>107</v>
      </c>
      <c r="V12" s="131" t="s">
        <v>104</v>
      </c>
    </row>
    <row r="13" spans="1:22" ht="14.25" customHeight="1">
      <c r="A13" s="213" t="s">
        <v>143</v>
      </c>
      <c r="B13" s="239" t="s">
        <v>154</v>
      </c>
      <c r="C13" s="115">
        <v>0</v>
      </c>
      <c r="D13" s="113">
        <v>0</v>
      </c>
      <c r="E13" s="113">
        <v>0</v>
      </c>
      <c r="F13" s="109">
        <v>0</v>
      </c>
      <c r="G13" s="115">
        <v>0</v>
      </c>
      <c r="H13" s="113">
        <v>0</v>
      </c>
      <c r="I13" s="113">
        <v>0</v>
      </c>
      <c r="J13" s="109">
        <v>0</v>
      </c>
      <c r="K13" s="115">
        <v>0</v>
      </c>
      <c r="L13" s="113">
        <v>0</v>
      </c>
      <c r="M13" s="113">
        <v>0</v>
      </c>
      <c r="N13" s="109">
        <v>0</v>
      </c>
      <c r="O13" s="115">
        <v>0</v>
      </c>
      <c r="P13" s="113">
        <v>0</v>
      </c>
      <c r="Q13" s="113">
        <v>0</v>
      </c>
      <c r="R13" s="109">
        <v>0</v>
      </c>
      <c r="S13" s="115">
        <v>0</v>
      </c>
      <c r="T13" s="113"/>
      <c r="U13" s="113"/>
      <c r="V13" s="109"/>
    </row>
    <row r="14" spans="1:22">
      <c r="A14" s="214"/>
      <c r="B14" s="224"/>
      <c r="C14" s="116"/>
      <c r="D14" s="114"/>
      <c r="E14" s="114"/>
      <c r="F14" s="108"/>
      <c r="G14" s="116"/>
      <c r="H14" s="114"/>
      <c r="I14" s="114"/>
      <c r="J14" s="108"/>
      <c r="K14" s="116"/>
      <c r="L14" s="114"/>
      <c r="M14" s="114"/>
      <c r="N14" s="108"/>
      <c r="O14" s="116"/>
      <c r="P14" s="114"/>
      <c r="Q14" s="114"/>
      <c r="R14" s="108"/>
      <c r="S14" s="116"/>
      <c r="T14" s="114"/>
      <c r="U14" s="114"/>
      <c r="V14" s="108"/>
    </row>
    <row r="15" spans="1:22">
      <c r="A15" s="214"/>
      <c r="B15" s="221" t="s">
        <v>173</v>
      </c>
      <c r="C15" s="94">
        <v>0</v>
      </c>
      <c r="D15" s="96">
        <v>0</v>
      </c>
      <c r="E15" s="96">
        <v>0</v>
      </c>
      <c r="F15" s="105">
        <v>0</v>
      </c>
      <c r="G15" s="94">
        <v>0</v>
      </c>
      <c r="H15" s="96">
        <v>0</v>
      </c>
      <c r="I15" s="96">
        <v>0</v>
      </c>
      <c r="J15" s="105">
        <v>0</v>
      </c>
      <c r="K15" s="94">
        <v>0</v>
      </c>
      <c r="L15" s="96">
        <v>0</v>
      </c>
      <c r="M15" s="96">
        <v>0</v>
      </c>
      <c r="N15" s="105">
        <v>0</v>
      </c>
      <c r="O15" s="94">
        <v>0</v>
      </c>
      <c r="P15" s="96">
        <v>0</v>
      </c>
      <c r="Q15" s="96">
        <v>0</v>
      </c>
      <c r="R15" s="105">
        <v>0</v>
      </c>
      <c r="S15" s="94">
        <v>0</v>
      </c>
      <c r="T15" s="96"/>
      <c r="U15" s="96"/>
      <c r="V15" s="105"/>
    </row>
    <row r="16" spans="1:22" ht="15.75" thickBot="1">
      <c r="A16" s="214"/>
      <c r="B16" s="222"/>
      <c r="C16" s="95"/>
      <c r="D16" s="97"/>
      <c r="E16" s="97"/>
      <c r="F16" s="106"/>
      <c r="G16" s="95"/>
      <c r="H16" s="97"/>
      <c r="I16" s="97"/>
      <c r="J16" s="106"/>
      <c r="K16" s="95"/>
      <c r="L16" s="97"/>
      <c r="M16" s="97"/>
      <c r="N16" s="106"/>
      <c r="O16" s="95"/>
      <c r="P16" s="97"/>
      <c r="Q16" s="97"/>
      <c r="R16" s="106"/>
      <c r="S16" s="95"/>
      <c r="T16" s="97"/>
      <c r="U16" s="97"/>
      <c r="V16" s="106"/>
    </row>
    <row r="17" spans="1:22">
      <c r="A17" s="214"/>
      <c r="B17" s="223" t="s">
        <v>155</v>
      </c>
      <c r="C17" s="115">
        <v>0</v>
      </c>
      <c r="D17" s="113">
        <v>0</v>
      </c>
      <c r="E17" s="113">
        <v>0</v>
      </c>
      <c r="F17" s="109">
        <v>0</v>
      </c>
      <c r="G17" s="115">
        <v>0</v>
      </c>
      <c r="H17" s="113">
        <v>0</v>
      </c>
      <c r="I17" s="113">
        <v>0</v>
      </c>
      <c r="J17" s="109">
        <v>0</v>
      </c>
      <c r="K17" s="115">
        <v>0</v>
      </c>
      <c r="L17" s="113">
        <v>0</v>
      </c>
      <c r="M17" s="113">
        <v>0</v>
      </c>
      <c r="N17" s="109">
        <v>0</v>
      </c>
      <c r="O17" s="115">
        <v>0</v>
      </c>
      <c r="P17" s="113">
        <v>0</v>
      </c>
      <c r="Q17" s="113">
        <v>0</v>
      </c>
      <c r="R17" s="109">
        <v>0</v>
      </c>
      <c r="S17" s="112">
        <v>0</v>
      </c>
      <c r="T17" s="110"/>
      <c r="U17" s="110"/>
      <c r="V17" s="107"/>
    </row>
    <row r="18" spans="1:22">
      <c r="A18" s="214"/>
      <c r="B18" s="224"/>
      <c r="C18" s="116"/>
      <c r="D18" s="114"/>
      <c r="E18" s="114"/>
      <c r="F18" s="108"/>
      <c r="G18" s="116"/>
      <c r="H18" s="114"/>
      <c r="I18" s="114"/>
      <c r="J18" s="108"/>
      <c r="K18" s="116"/>
      <c r="L18" s="114"/>
      <c r="M18" s="114"/>
      <c r="N18" s="108"/>
      <c r="O18" s="116"/>
      <c r="P18" s="114"/>
      <c r="Q18" s="114"/>
      <c r="R18" s="108"/>
      <c r="S18" s="116"/>
      <c r="T18" s="114"/>
      <c r="U18" s="114"/>
      <c r="V18" s="108"/>
    </row>
    <row r="19" spans="1:22">
      <c r="A19" s="214"/>
      <c r="B19" s="221" t="s">
        <v>156</v>
      </c>
      <c r="C19" s="94">
        <v>0</v>
      </c>
      <c r="D19" s="96">
        <v>0</v>
      </c>
      <c r="E19" s="96">
        <v>0</v>
      </c>
      <c r="F19" s="105">
        <v>0</v>
      </c>
      <c r="G19" s="94">
        <v>0</v>
      </c>
      <c r="H19" s="96">
        <v>0</v>
      </c>
      <c r="I19" s="96">
        <v>0</v>
      </c>
      <c r="J19" s="105">
        <v>0</v>
      </c>
      <c r="K19" s="94">
        <v>0</v>
      </c>
      <c r="L19" s="96">
        <v>0</v>
      </c>
      <c r="M19" s="96">
        <v>0</v>
      </c>
      <c r="N19" s="105">
        <v>0</v>
      </c>
      <c r="O19" s="94">
        <v>0</v>
      </c>
      <c r="P19" s="96">
        <v>0</v>
      </c>
      <c r="Q19" s="96">
        <v>0</v>
      </c>
      <c r="R19" s="105">
        <v>0</v>
      </c>
      <c r="S19" s="94">
        <v>0</v>
      </c>
      <c r="T19" s="96"/>
      <c r="U19" s="96"/>
      <c r="V19" s="105"/>
    </row>
    <row r="20" spans="1:22" ht="15.75" thickBot="1">
      <c r="A20" s="214"/>
      <c r="B20" s="222"/>
      <c r="C20" s="95"/>
      <c r="D20" s="97"/>
      <c r="E20" s="97"/>
      <c r="F20" s="106"/>
      <c r="G20" s="95"/>
      <c r="H20" s="97"/>
      <c r="I20" s="97"/>
      <c r="J20" s="106"/>
      <c r="K20" s="95"/>
      <c r="L20" s="97"/>
      <c r="M20" s="97"/>
      <c r="N20" s="106"/>
      <c r="O20" s="95"/>
      <c r="P20" s="97"/>
      <c r="Q20" s="97"/>
      <c r="R20" s="106"/>
      <c r="S20" s="95"/>
      <c r="T20" s="97"/>
      <c r="U20" s="97"/>
      <c r="V20" s="106"/>
    </row>
    <row r="21" spans="1:22">
      <c r="A21" s="214"/>
      <c r="B21" s="220" t="s">
        <v>157</v>
      </c>
      <c r="C21" s="115">
        <v>0</v>
      </c>
      <c r="D21" s="113">
        <v>0</v>
      </c>
      <c r="E21" s="113">
        <v>0</v>
      </c>
      <c r="F21" s="109">
        <v>0</v>
      </c>
      <c r="G21" s="115">
        <v>0</v>
      </c>
      <c r="H21" s="113">
        <v>0</v>
      </c>
      <c r="I21" s="113">
        <v>0</v>
      </c>
      <c r="J21" s="109">
        <v>0</v>
      </c>
      <c r="K21" s="115">
        <v>0</v>
      </c>
      <c r="L21" s="113">
        <v>0</v>
      </c>
      <c r="M21" s="113">
        <v>0</v>
      </c>
      <c r="N21" s="109">
        <v>0</v>
      </c>
      <c r="O21" s="115">
        <v>0</v>
      </c>
      <c r="P21" s="113">
        <v>0</v>
      </c>
      <c r="Q21" s="113">
        <v>0</v>
      </c>
      <c r="R21" s="109">
        <v>0</v>
      </c>
      <c r="S21" s="112">
        <v>0</v>
      </c>
      <c r="T21" s="110"/>
      <c r="U21" s="110"/>
      <c r="V21" s="107"/>
    </row>
    <row r="22" spans="1:22">
      <c r="A22" s="214"/>
      <c r="B22" s="217"/>
      <c r="C22" s="116"/>
      <c r="D22" s="114"/>
      <c r="E22" s="114"/>
      <c r="F22" s="108"/>
      <c r="G22" s="116"/>
      <c r="H22" s="114"/>
      <c r="I22" s="114"/>
      <c r="J22" s="108"/>
      <c r="K22" s="116"/>
      <c r="L22" s="114"/>
      <c r="M22" s="114"/>
      <c r="N22" s="108"/>
      <c r="O22" s="116"/>
      <c r="P22" s="114"/>
      <c r="Q22" s="114"/>
      <c r="R22" s="108"/>
      <c r="S22" s="116"/>
      <c r="T22" s="114"/>
      <c r="U22" s="114"/>
      <c r="V22" s="108"/>
    </row>
    <row r="23" spans="1:22">
      <c r="A23" s="214"/>
      <c r="B23" s="221" t="s">
        <v>158</v>
      </c>
      <c r="C23" s="94">
        <v>0</v>
      </c>
      <c r="D23" s="96">
        <v>0</v>
      </c>
      <c r="E23" s="96">
        <v>0</v>
      </c>
      <c r="F23" s="105">
        <v>0</v>
      </c>
      <c r="G23" s="94">
        <v>0</v>
      </c>
      <c r="H23" s="96">
        <v>0</v>
      </c>
      <c r="I23" s="96">
        <v>0</v>
      </c>
      <c r="J23" s="105">
        <v>0</v>
      </c>
      <c r="K23" s="94">
        <v>0</v>
      </c>
      <c r="L23" s="96">
        <v>0</v>
      </c>
      <c r="M23" s="96">
        <v>0</v>
      </c>
      <c r="N23" s="105">
        <v>0</v>
      </c>
      <c r="O23" s="94">
        <v>0</v>
      </c>
      <c r="P23" s="96">
        <v>0</v>
      </c>
      <c r="Q23" s="96">
        <v>0</v>
      </c>
      <c r="R23" s="105">
        <v>0</v>
      </c>
      <c r="S23" s="94">
        <v>0</v>
      </c>
      <c r="T23" s="96"/>
      <c r="U23" s="96"/>
      <c r="V23" s="105"/>
    </row>
    <row r="24" spans="1:22" ht="15.75" thickBot="1">
      <c r="A24" s="214"/>
      <c r="B24" s="222"/>
      <c r="C24" s="95"/>
      <c r="D24" s="97"/>
      <c r="E24" s="97"/>
      <c r="F24" s="106"/>
      <c r="G24" s="95"/>
      <c r="H24" s="97"/>
      <c r="I24" s="97"/>
      <c r="J24" s="106"/>
      <c r="K24" s="95"/>
      <c r="L24" s="97"/>
      <c r="M24" s="97"/>
      <c r="N24" s="106"/>
      <c r="O24" s="95"/>
      <c r="P24" s="97"/>
      <c r="Q24" s="97"/>
      <c r="R24" s="106"/>
      <c r="S24" s="95"/>
      <c r="T24" s="97"/>
      <c r="U24" s="97"/>
      <c r="V24" s="106"/>
    </row>
    <row r="25" spans="1:22">
      <c r="A25" s="214"/>
      <c r="B25" s="223" t="s">
        <v>159</v>
      </c>
      <c r="C25" s="115">
        <v>0</v>
      </c>
      <c r="D25" s="113">
        <v>0</v>
      </c>
      <c r="E25" s="113">
        <v>0</v>
      </c>
      <c r="F25" s="109">
        <v>0</v>
      </c>
      <c r="G25" s="115">
        <v>0</v>
      </c>
      <c r="H25" s="113">
        <v>0</v>
      </c>
      <c r="I25" s="113">
        <v>0</v>
      </c>
      <c r="J25" s="109">
        <v>0</v>
      </c>
      <c r="K25" s="115">
        <v>0</v>
      </c>
      <c r="L25" s="113">
        <v>0</v>
      </c>
      <c r="M25" s="113">
        <v>0</v>
      </c>
      <c r="N25" s="109">
        <v>0</v>
      </c>
      <c r="O25" s="115">
        <v>0</v>
      </c>
      <c r="P25" s="113">
        <v>0</v>
      </c>
      <c r="Q25" s="113">
        <v>0</v>
      </c>
      <c r="R25" s="109">
        <v>0</v>
      </c>
      <c r="S25" s="112">
        <v>0</v>
      </c>
      <c r="T25" s="110"/>
      <c r="U25" s="110"/>
      <c r="V25" s="107"/>
    </row>
    <row r="26" spans="1:22">
      <c r="A26" s="214"/>
      <c r="B26" s="224"/>
      <c r="C26" s="116"/>
      <c r="D26" s="114"/>
      <c r="E26" s="114"/>
      <c r="F26" s="108"/>
      <c r="G26" s="116"/>
      <c r="H26" s="114"/>
      <c r="I26" s="114"/>
      <c r="J26" s="108"/>
      <c r="K26" s="116"/>
      <c r="L26" s="114"/>
      <c r="M26" s="114"/>
      <c r="N26" s="108"/>
      <c r="O26" s="116"/>
      <c r="P26" s="114"/>
      <c r="Q26" s="114"/>
      <c r="R26" s="108"/>
      <c r="S26" s="116"/>
      <c r="T26" s="114"/>
      <c r="U26" s="114"/>
      <c r="V26" s="108"/>
    </row>
    <row r="27" spans="1:22">
      <c r="A27" s="214"/>
      <c r="B27" s="221" t="s">
        <v>160</v>
      </c>
      <c r="C27" s="94">
        <v>0</v>
      </c>
      <c r="D27" s="96">
        <v>0</v>
      </c>
      <c r="E27" s="96">
        <v>0</v>
      </c>
      <c r="F27" s="105">
        <v>0</v>
      </c>
      <c r="G27" s="94">
        <v>0</v>
      </c>
      <c r="H27" s="96">
        <v>0</v>
      </c>
      <c r="I27" s="96">
        <v>0</v>
      </c>
      <c r="J27" s="105">
        <v>0</v>
      </c>
      <c r="K27" s="94">
        <v>0</v>
      </c>
      <c r="L27" s="96">
        <v>0</v>
      </c>
      <c r="M27" s="96">
        <v>0</v>
      </c>
      <c r="N27" s="105">
        <v>0</v>
      </c>
      <c r="O27" s="94">
        <v>0</v>
      </c>
      <c r="P27" s="96">
        <v>0</v>
      </c>
      <c r="Q27" s="96">
        <v>0</v>
      </c>
      <c r="R27" s="105">
        <v>0</v>
      </c>
      <c r="S27" s="94">
        <v>0</v>
      </c>
      <c r="T27" s="96"/>
      <c r="U27" s="96"/>
      <c r="V27" s="105"/>
    </row>
    <row r="28" spans="1:22" ht="15.75" thickBot="1">
      <c r="A28" s="214"/>
      <c r="B28" s="222"/>
      <c r="C28" s="95"/>
      <c r="D28" s="97"/>
      <c r="E28" s="97"/>
      <c r="F28" s="106"/>
      <c r="G28" s="95"/>
      <c r="H28" s="97"/>
      <c r="I28" s="97"/>
      <c r="J28" s="106"/>
      <c r="K28" s="95"/>
      <c r="L28" s="97"/>
      <c r="M28" s="97"/>
      <c r="N28" s="106"/>
      <c r="O28" s="95"/>
      <c r="P28" s="97"/>
      <c r="Q28" s="97"/>
      <c r="R28" s="106"/>
      <c r="S28" s="95"/>
      <c r="T28" s="97"/>
      <c r="U28" s="97"/>
      <c r="V28" s="106"/>
    </row>
    <row r="29" spans="1:22">
      <c r="A29" s="214"/>
      <c r="B29" s="225" t="s">
        <v>161</v>
      </c>
      <c r="C29" s="115">
        <v>0</v>
      </c>
      <c r="D29" s="113">
        <v>0</v>
      </c>
      <c r="E29" s="113">
        <v>0</v>
      </c>
      <c r="F29" s="109">
        <v>0</v>
      </c>
      <c r="G29" s="115">
        <v>0</v>
      </c>
      <c r="H29" s="113">
        <v>0</v>
      </c>
      <c r="I29" s="113">
        <v>0</v>
      </c>
      <c r="J29" s="109">
        <v>0</v>
      </c>
      <c r="K29" s="115">
        <v>0</v>
      </c>
      <c r="L29" s="113">
        <v>0</v>
      </c>
      <c r="M29" s="113">
        <v>0</v>
      </c>
      <c r="N29" s="109">
        <v>0</v>
      </c>
      <c r="O29" s="115">
        <v>0</v>
      </c>
      <c r="P29" s="113">
        <v>0</v>
      </c>
      <c r="Q29" s="113">
        <v>0</v>
      </c>
      <c r="R29" s="109">
        <v>0</v>
      </c>
      <c r="S29" s="112">
        <v>0</v>
      </c>
      <c r="T29" s="110"/>
      <c r="U29" s="110"/>
      <c r="V29" s="107"/>
    </row>
    <row r="30" spans="1:22">
      <c r="A30" s="214"/>
      <c r="B30" s="226"/>
      <c r="C30" s="116"/>
      <c r="D30" s="114"/>
      <c r="E30" s="114"/>
      <c r="F30" s="108"/>
      <c r="G30" s="116"/>
      <c r="H30" s="114"/>
      <c r="I30" s="114"/>
      <c r="J30" s="108"/>
      <c r="K30" s="116"/>
      <c r="L30" s="114"/>
      <c r="M30" s="114"/>
      <c r="N30" s="108"/>
      <c r="O30" s="116"/>
      <c r="P30" s="114"/>
      <c r="Q30" s="114"/>
      <c r="R30" s="108"/>
      <c r="S30" s="116"/>
      <c r="T30" s="114"/>
      <c r="U30" s="114"/>
      <c r="V30" s="108"/>
    </row>
    <row r="31" spans="1:22">
      <c r="A31" s="214"/>
      <c r="B31" s="221" t="s">
        <v>165</v>
      </c>
      <c r="C31" s="94">
        <v>0</v>
      </c>
      <c r="D31" s="96">
        <v>0</v>
      </c>
      <c r="E31" s="96">
        <v>0</v>
      </c>
      <c r="F31" s="105">
        <v>0</v>
      </c>
      <c r="G31" s="94">
        <v>0</v>
      </c>
      <c r="H31" s="96">
        <v>0</v>
      </c>
      <c r="I31" s="96">
        <v>0</v>
      </c>
      <c r="J31" s="105">
        <v>0</v>
      </c>
      <c r="K31" s="94">
        <v>0</v>
      </c>
      <c r="L31" s="96">
        <v>0</v>
      </c>
      <c r="M31" s="96">
        <v>0</v>
      </c>
      <c r="N31" s="105">
        <v>0</v>
      </c>
      <c r="O31" s="94">
        <v>0</v>
      </c>
      <c r="P31" s="96">
        <v>0</v>
      </c>
      <c r="Q31" s="96">
        <v>0</v>
      </c>
      <c r="R31" s="105">
        <v>0</v>
      </c>
      <c r="S31" s="94">
        <v>0</v>
      </c>
      <c r="T31" s="96"/>
      <c r="U31" s="96"/>
      <c r="V31" s="105"/>
    </row>
    <row r="32" spans="1:22" ht="15.75" thickBot="1">
      <c r="A32" s="214"/>
      <c r="B32" s="222"/>
      <c r="C32" s="95"/>
      <c r="D32" s="97"/>
      <c r="E32" s="97"/>
      <c r="F32" s="106"/>
      <c r="G32" s="95"/>
      <c r="H32" s="97"/>
      <c r="I32" s="97"/>
      <c r="J32" s="106"/>
      <c r="K32" s="95"/>
      <c r="L32" s="97"/>
      <c r="M32" s="97"/>
      <c r="N32" s="106"/>
      <c r="O32" s="95"/>
      <c r="P32" s="97"/>
      <c r="Q32" s="97"/>
      <c r="R32" s="106"/>
      <c r="S32" s="95"/>
      <c r="T32" s="97"/>
      <c r="U32" s="97"/>
      <c r="V32" s="106"/>
    </row>
    <row r="33" spans="1:22">
      <c r="A33" s="214"/>
      <c r="B33" s="223" t="s">
        <v>162</v>
      </c>
      <c r="C33" s="115">
        <v>0</v>
      </c>
      <c r="D33" s="113">
        <v>0</v>
      </c>
      <c r="E33" s="113">
        <v>0</v>
      </c>
      <c r="F33" s="109">
        <v>0</v>
      </c>
      <c r="G33" s="115">
        <v>0</v>
      </c>
      <c r="H33" s="113">
        <v>0</v>
      </c>
      <c r="I33" s="113">
        <v>0</v>
      </c>
      <c r="J33" s="109">
        <v>0</v>
      </c>
      <c r="K33" s="115">
        <v>0</v>
      </c>
      <c r="L33" s="113">
        <v>0</v>
      </c>
      <c r="M33" s="113">
        <v>0</v>
      </c>
      <c r="N33" s="109">
        <v>0</v>
      </c>
      <c r="O33" s="115">
        <v>0</v>
      </c>
      <c r="P33" s="113">
        <v>0</v>
      </c>
      <c r="Q33" s="113">
        <v>0</v>
      </c>
      <c r="R33" s="109">
        <v>0</v>
      </c>
      <c r="S33" s="112">
        <v>0</v>
      </c>
      <c r="T33" s="110"/>
      <c r="U33" s="110"/>
      <c r="V33" s="107"/>
    </row>
    <row r="34" spans="1:22" ht="15.75" thickBot="1">
      <c r="A34" s="215"/>
      <c r="B34" s="224"/>
      <c r="C34" s="117"/>
      <c r="D34" s="111"/>
      <c r="E34" s="111"/>
      <c r="F34" s="98"/>
      <c r="G34" s="117"/>
      <c r="H34" s="111"/>
      <c r="I34" s="111"/>
      <c r="J34" s="98"/>
      <c r="K34" s="117"/>
      <c r="L34" s="111"/>
      <c r="M34" s="111"/>
      <c r="N34" s="98"/>
      <c r="O34" s="117"/>
      <c r="P34" s="111"/>
      <c r="Q34" s="111"/>
      <c r="R34" s="98"/>
      <c r="S34" s="117"/>
      <c r="T34" s="111"/>
      <c r="U34" s="111"/>
      <c r="V34" s="98"/>
    </row>
    <row r="35" spans="1:22" ht="14.25" customHeight="1">
      <c r="A35" s="213" t="s">
        <v>144</v>
      </c>
      <c r="B35" s="216" t="s">
        <v>145</v>
      </c>
      <c r="C35" s="115">
        <v>0</v>
      </c>
      <c r="D35" s="113">
        <v>0</v>
      </c>
      <c r="E35" s="113">
        <v>0</v>
      </c>
      <c r="F35" s="109">
        <v>0</v>
      </c>
      <c r="G35" s="115">
        <v>0</v>
      </c>
      <c r="H35" s="113">
        <v>0</v>
      </c>
      <c r="I35" s="113">
        <v>0</v>
      </c>
      <c r="J35" s="109">
        <v>0</v>
      </c>
      <c r="K35" s="115">
        <v>0</v>
      </c>
      <c r="L35" s="113">
        <v>0</v>
      </c>
      <c r="M35" s="113">
        <v>0</v>
      </c>
      <c r="N35" s="109">
        <v>0</v>
      </c>
      <c r="O35" s="115">
        <v>0</v>
      </c>
      <c r="P35" s="113">
        <v>0</v>
      </c>
      <c r="Q35" s="113">
        <v>0</v>
      </c>
      <c r="R35" s="109">
        <v>0</v>
      </c>
      <c r="S35" s="115">
        <v>0</v>
      </c>
      <c r="T35" s="113"/>
      <c r="U35" s="113"/>
      <c r="V35" s="109"/>
    </row>
    <row r="36" spans="1:22">
      <c r="A36" s="214"/>
      <c r="B36" s="217"/>
      <c r="C36" s="116"/>
      <c r="D36" s="114"/>
      <c r="E36" s="114"/>
      <c r="F36" s="108"/>
      <c r="G36" s="116"/>
      <c r="H36" s="114"/>
      <c r="I36" s="114"/>
      <c r="J36" s="108"/>
      <c r="K36" s="116"/>
      <c r="L36" s="114"/>
      <c r="M36" s="114"/>
      <c r="N36" s="108"/>
      <c r="O36" s="116"/>
      <c r="P36" s="114"/>
      <c r="Q36" s="114"/>
      <c r="R36" s="108"/>
      <c r="S36" s="116"/>
      <c r="T36" s="114"/>
      <c r="U36" s="114"/>
      <c r="V36" s="108"/>
    </row>
    <row r="37" spans="1:22">
      <c r="A37" s="214"/>
      <c r="B37" s="218" t="s">
        <v>146</v>
      </c>
      <c r="C37" s="94">
        <v>1</v>
      </c>
      <c r="D37" s="96">
        <v>1</v>
      </c>
      <c r="E37" s="96">
        <v>1</v>
      </c>
      <c r="F37" s="105">
        <v>1</v>
      </c>
      <c r="G37" s="94">
        <v>1</v>
      </c>
      <c r="H37" s="96">
        <v>1</v>
      </c>
      <c r="I37" s="96">
        <v>1</v>
      </c>
      <c r="J37" s="105">
        <v>1</v>
      </c>
      <c r="K37" s="94">
        <v>1</v>
      </c>
      <c r="L37" s="96">
        <v>1</v>
      </c>
      <c r="M37" s="96">
        <v>1</v>
      </c>
      <c r="N37" s="105">
        <v>1</v>
      </c>
      <c r="O37" s="94">
        <v>1</v>
      </c>
      <c r="P37" s="96">
        <v>1</v>
      </c>
      <c r="Q37" s="96">
        <v>1</v>
      </c>
      <c r="R37" s="105">
        <v>1</v>
      </c>
      <c r="S37" s="94">
        <v>1</v>
      </c>
      <c r="T37" s="96"/>
      <c r="U37" s="96"/>
      <c r="V37" s="105"/>
    </row>
    <row r="38" spans="1:22" ht="15.75" thickBot="1">
      <c r="A38" s="214"/>
      <c r="B38" s="219"/>
      <c r="C38" s="95"/>
      <c r="D38" s="97"/>
      <c r="E38" s="97"/>
      <c r="F38" s="106"/>
      <c r="G38" s="95"/>
      <c r="H38" s="97"/>
      <c r="I38" s="97"/>
      <c r="J38" s="106"/>
      <c r="K38" s="95"/>
      <c r="L38" s="97"/>
      <c r="M38" s="97"/>
      <c r="N38" s="106"/>
      <c r="O38" s="95"/>
      <c r="P38" s="97"/>
      <c r="Q38" s="97"/>
      <c r="R38" s="106"/>
      <c r="S38" s="95"/>
      <c r="T38" s="97"/>
      <c r="U38" s="97"/>
      <c r="V38" s="106"/>
    </row>
    <row r="39" spans="1:22">
      <c r="A39" s="214"/>
      <c r="B39" s="220" t="s">
        <v>147</v>
      </c>
      <c r="C39" s="115">
        <v>0</v>
      </c>
      <c r="D39" s="113">
        <v>0</v>
      </c>
      <c r="E39" s="113">
        <v>0</v>
      </c>
      <c r="F39" s="109">
        <v>0</v>
      </c>
      <c r="G39" s="115">
        <v>0</v>
      </c>
      <c r="H39" s="113">
        <v>0</v>
      </c>
      <c r="I39" s="113">
        <v>0</v>
      </c>
      <c r="J39" s="109">
        <v>0</v>
      </c>
      <c r="K39" s="115">
        <v>0</v>
      </c>
      <c r="L39" s="113">
        <v>0</v>
      </c>
      <c r="M39" s="113">
        <v>0</v>
      </c>
      <c r="N39" s="109">
        <v>0</v>
      </c>
      <c r="O39" s="115">
        <v>0</v>
      </c>
      <c r="P39" s="113">
        <v>0</v>
      </c>
      <c r="Q39" s="113">
        <v>0</v>
      </c>
      <c r="R39" s="109">
        <v>0</v>
      </c>
      <c r="S39" s="112">
        <v>0</v>
      </c>
      <c r="T39" s="110"/>
      <c r="U39" s="110"/>
      <c r="V39" s="107"/>
    </row>
    <row r="40" spans="1:22">
      <c r="A40" s="214"/>
      <c r="B40" s="217"/>
      <c r="C40" s="116"/>
      <c r="D40" s="114"/>
      <c r="E40" s="114"/>
      <c r="F40" s="108"/>
      <c r="G40" s="116"/>
      <c r="H40" s="114"/>
      <c r="I40" s="114"/>
      <c r="J40" s="108"/>
      <c r="K40" s="116"/>
      <c r="L40" s="114"/>
      <c r="M40" s="114"/>
      <c r="N40" s="108"/>
      <c r="O40" s="116"/>
      <c r="P40" s="114"/>
      <c r="Q40" s="114"/>
      <c r="R40" s="108"/>
      <c r="S40" s="116"/>
      <c r="T40" s="114"/>
      <c r="U40" s="114"/>
      <c r="V40" s="108"/>
    </row>
    <row r="41" spans="1:22">
      <c r="A41" s="214"/>
      <c r="B41" s="221" t="s">
        <v>153</v>
      </c>
      <c r="C41" s="94">
        <v>2</v>
      </c>
      <c r="D41" s="96">
        <v>2</v>
      </c>
      <c r="E41" s="96">
        <v>2</v>
      </c>
      <c r="F41" s="105">
        <v>2</v>
      </c>
      <c r="G41" s="94">
        <v>2</v>
      </c>
      <c r="H41" s="96">
        <v>2</v>
      </c>
      <c r="I41" s="96">
        <v>2</v>
      </c>
      <c r="J41" s="105">
        <v>2</v>
      </c>
      <c r="K41" s="94">
        <v>2</v>
      </c>
      <c r="L41" s="96">
        <v>2</v>
      </c>
      <c r="M41" s="96">
        <v>2</v>
      </c>
      <c r="N41" s="105">
        <v>2</v>
      </c>
      <c r="O41" s="94">
        <v>2</v>
      </c>
      <c r="P41" s="96">
        <v>2</v>
      </c>
      <c r="Q41" s="96">
        <v>2</v>
      </c>
      <c r="R41" s="105">
        <v>2</v>
      </c>
      <c r="S41" s="94">
        <v>2</v>
      </c>
      <c r="T41" s="96"/>
      <c r="U41" s="96"/>
      <c r="V41" s="105"/>
    </row>
    <row r="42" spans="1:22" ht="15.75" thickBot="1">
      <c r="A42" s="214"/>
      <c r="B42" s="222"/>
      <c r="C42" s="95"/>
      <c r="D42" s="97"/>
      <c r="E42" s="97"/>
      <c r="F42" s="106"/>
      <c r="G42" s="95"/>
      <c r="H42" s="97"/>
      <c r="I42" s="97"/>
      <c r="J42" s="106"/>
      <c r="K42" s="95"/>
      <c r="L42" s="97"/>
      <c r="M42" s="97"/>
      <c r="N42" s="106"/>
      <c r="O42" s="95"/>
      <c r="P42" s="97"/>
      <c r="Q42" s="97"/>
      <c r="R42" s="106"/>
      <c r="S42" s="95"/>
      <c r="T42" s="97"/>
      <c r="U42" s="97"/>
      <c r="V42" s="106"/>
    </row>
    <row r="43" spans="1:22">
      <c r="A43" s="214"/>
      <c r="B43" s="220" t="s">
        <v>148</v>
      </c>
      <c r="C43" s="115">
        <v>0</v>
      </c>
      <c r="D43" s="113">
        <v>0</v>
      </c>
      <c r="E43" s="113">
        <v>0</v>
      </c>
      <c r="F43" s="109">
        <v>0</v>
      </c>
      <c r="G43" s="115">
        <v>0</v>
      </c>
      <c r="H43" s="113">
        <v>0</v>
      </c>
      <c r="I43" s="113">
        <v>0</v>
      </c>
      <c r="J43" s="109">
        <v>0</v>
      </c>
      <c r="K43" s="115">
        <v>0</v>
      </c>
      <c r="L43" s="113">
        <v>0</v>
      </c>
      <c r="M43" s="113">
        <v>0</v>
      </c>
      <c r="N43" s="109">
        <v>0</v>
      </c>
      <c r="O43" s="115">
        <v>0</v>
      </c>
      <c r="P43" s="113">
        <v>0</v>
      </c>
      <c r="Q43" s="113">
        <v>0</v>
      </c>
      <c r="R43" s="109">
        <v>0</v>
      </c>
      <c r="S43" s="112">
        <v>0</v>
      </c>
      <c r="T43" s="110"/>
      <c r="U43" s="110"/>
      <c r="V43" s="107"/>
    </row>
    <row r="44" spans="1:22">
      <c r="A44" s="214"/>
      <c r="B44" s="217"/>
      <c r="C44" s="116"/>
      <c r="D44" s="114"/>
      <c r="E44" s="114"/>
      <c r="F44" s="108"/>
      <c r="G44" s="116"/>
      <c r="H44" s="114"/>
      <c r="I44" s="114"/>
      <c r="J44" s="108"/>
      <c r="K44" s="116"/>
      <c r="L44" s="114"/>
      <c r="M44" s="114"/>
      <c r="N44" s="108"/>
      <c r="O44" s="116"/>
      <c r="P44" s="114"/>
      <c r="Q44" s="114"/>
      <c r="R44" s="108"/>
      <c r="S44" s="116"/>
      <c r="T44" s="114"/>
      <c r="U44" s="114"/>
      <c r="V44" s="108"/>
    </row>
    <row r="45" spans="1:22">
      <c r="A45" s="214"/>
      <c r="B45" s="221" t="s">
        <v>149</v>
      </c>
      <c r="C45" s="94">
        <v>0</v>
      </c>
      <c r="D45" s="96">
        <v>0</v>
      </c>
      <c r="E45" s="96">
        <v>0</v>
      </c>
      <c r="F45" s="105">
        <v>0</v>
      </c>
      <c r="G45" s="94">
        <v>0</v>
      </c>
      <c r="H45" s="96">
        <v>0</v>
      </c>
      <c r="I45" s="96">
        <v>0</v>
      </c>
      <c r="J45" s="105">
        <v>0</v>
      </c>
      <c r="K45" s="94">
        <v>0</v>
      </c>
      <c r="L45" s="96">
        <v>0</v>
      </c>
      <c r="M45" s="96">
        <v>0</v>
      </c>
      <c r="N45" s="105">
        <v>0</v>
      </c>
      <c r="O45" s="94">
        <v>0</v>
      </c>
      <c r="P45" s="96">
        <v>0</v>
      </c>
      <c r="Q45" s="96">
        <v>0</v>
      </c>
      <c r="R45" s="105">
        <v>0</v>
      </c>
      <c r="S45" s="94">
        <v>0</v>
      </c>
      <c r="T45" s="96"/>
      <c r="U45" s="96"/>
      <c r="V45" s="105"/>
    </row>
    <row r="46" spans="1:22" ht="15.75" thickBot="1">
      <c r="A46" s="214"/>
      <c r="B46" s="222"/>
      <c r="C46" s="95"/>
      <c r="D46" s="97"/>
      <c r="E46" s="97"/>
      <c r="F46" s="106"/>
      <c r="G46" s="95"/>
      <c r="H46" s="97"/>
      <c r="I46" s="97"/>
      <c r="J46" s="106"/>
      <c r="K46" s="95"/>
      <c r="L46" s="97"/>
      <c r="M46" s="97"/>
      <c r="N46" s="106"/>
      <c r="O46" s="95"/>
      <c r="P46" s="97"/>
      <c r="Q46" s="97"/>
      <c r="R46" s="106"/>
      <c r="S46" s="95"/>
      <c r="T46" s="97"/>
      <c r="U46" s="97"/>
      <c r="V46" s="106"/>
    </row>
    <row r="47" spans="1:22">
      <c r="A47" s="214"/>
      <c r="B47" s="223" t="s">
        <v>150</v>
      </c>
      <c r="C47" s="115">
        <v>0</v>
      </c>
      <c r="D47" s="113">
        <v>0</v>
      </c>
      <c r="E47" s="113">
        <v>0</v>
      </c>
      <c r="F47" s="109">
        <v>0</v>
      </c>
      <c r="G47" s="115">
        <v>0</v>
      </c>
      <c r="H47" s="113">
        <v>0</v>
      </c>
      <c r="I47" s="113">
        <v>0</v>
      </c>
      <c r="J47" s="109">
        <v>0</v>
      </c>
      <c r="K47" s="115">
        <v>0</v>
      </c>
      <c r="L47" s="113">
        <v>0</v>
      </c>
      <c r="M47" s="113">
        <v>0</v>
      </c>
      <c r="N47" s="109">
        <v>0</v>
      </c>
      <c r="O47" s="115">
        <v>0</v>
      </c>
      <c r="P47" s="113">
        <v>0</v>
      </c>
      <c r="Q47" s="113">
        <v>0</v>
      </c>
      <c r="R47" s="109">
        <v>0</v>
      </c>
      <c r="S47" s="112">
        <v>0</v>
      </c>
      <c r="T47" s="110"/>
      <c r="U47" s="110"/>
      <c r="V47" s="107"/>
    </row>
    <row r="48" spans="1:22">
      <c r="A48" s="214"/>
      <c r="B48" s="224"/>
      <c r="C48" s="116"/>
      <c r="D48" s="114"/>
      <c r="E48" s="114"/>
      <c r="F48" s="108"/>
      <c r="G48" s="116"/>
      <c r="H48" s="114"/>
      <c r="I48" s="114"/>
      <c r="J48" s="108"/>
      <c r="K48" s="116"/>
      <c r="L48" s="114"/>
      <c r="M48" s="114"/>
      <c r="N48" s="108"/>
      <c r="O48" s="116"/>
      <c r="P48" s="114"/>
      <c r="Q48" s="114"/>
      <c r="R48" s="108"/>
      <c r="S48" s="116"/>
      <c r="T48" s="114"/>
      <c r="U48" s="114"/>
      <c r="V48" s="108"/>
    </row>
    <row r="49" spans="1:22">
      <c r="A49" s="214"/>
      <c r="B49" s="221" t="s">
        <v>151</v>
      </c>
      <c r="C49" s="94">
        <v>0</v>
      </c>
      <c r="D49" s="96">
        <v>0</v>
      </c>
      <c r="E49" s="96">
        <v>0</v>
      </c>
      <c r="F49" s="105">
        <v>0</v>
      </c>
      <c r="G49" s="94">
        <v>0</v>
      </c>
      <c r="H49" s="96">
        <v>0</v>
      </c>
      <c r="I49" s="96">
        <v>0</v>
      </c>
      <c r="J49" s="105">
        <v>0</v>
      </c>
      <c r="K49" s="94">
        <v>0</v>
      </c>
      <c r="L49" s="96">
        <v>0</v>
      </c>
      <c r="M49" s="96">
        <v>0</v>
      </c>
      <c r="N49" s="105">
        <v>0</v>
      </c>
      <c r="O49" s="94">
        <v>0</v>
      </c>
      <c r="P49" s="96">
        <v>0</v>
      </c>
      <c r="Q49" s="96">
        <v>0</v>
      </c>
      <c r="R49" s="105">
        <v>0</v>
      </c>
      <c r="S49" s="94">
        <v>0</v>
      </c>
      <c r="T49" s="96"/>
      <c r="U49" s="96"/>
      <c r="V49" s="105"/>
    </row>
    <row r="50" spans="1:22" ht="15.75" thickBot="1">
      <c r="A50" s="214"/>
      <c r="B50" s="222"/>
      <c r="C50" s="95"/>
      <c r="D50" s="97"/>
      <c r="E50" s="97"/>
      <c r="F50" s="106"/>
      <c r="G50" s="95"/>
      <c r="H50" s="97"/>
      <c r="I50" s="97"/>
      <c r="J50" s="106"/>
      <c r="K50" s="95"/>
      <c r="L50" s="97"/>
      <c r="M50" s="97"/>
      <c r="N50" s="106"/>
      <c r="O50" s="95"/>
      <c r="P50" s="97"/>
      <c r="Q50" s="97"/>
      <c r="R50" s="106"/>
      <c r="S50" s="95"/>
      <c r="T50" s="97"/>
      <c r="U50" s="97"/>
      <c r="V50" s="106"/>
    </row>
    <row r="51" spans="1:22">
      <c r="A51" s="214"/>
      <c r="B51" s="225" t="s">
        <v>163</v>
      </c>
      <c r="C51" s="115">
        <v>0</v>
      </c>
      <c r="D51" s="113">
        <v>0</v>
      </c>
      <c r="E51" s="113">
        <v>0</v>
      </c>
      <c r="F51" s="109">
        <v>0</v>
      </c>
      <c r="G51" s="115">
        <v>0</v>
      </c>
      <c r="H51" s="113">
        <v>0</v>
      </c>
      <c r="I51" s="113">
        <v>0</v>
      </c>
      <c r="J51" s="109">
        <v>0</v>
      </c>
      <c r="K51" s="115">
        <v>0</v>
      </c>
      <c r="L51" s="113">
        <v>0</v>
      </c>
      <c r="M51" s="113">
        <v>0</v>
      </c>
      <c r="N51" s="109">
        <v>0</v>
      </c>
      <c r="O51" s="115">
        <v>0</v>
      </c>
      <c r="P51" s="113">
        <v>0</v>
      </c>
      <c r="Q51" s="113">
        <v>0</v>
      </c>
      <c r="R51" s="109">
        <v>0</v>
      </c>
      <c r="S51" s="112">
        <v>0</v>
      </c>
      <c r="T51" s="110"/>
      <c r="U51" s="110"/>
      <c r="V51" s="107"/>
    </row>
    <row r="52" spans="1:22">
      <c r="A52" s="214"/>
      <c r="B52" s="226"/>
      <c r="C52" s="116"/>
      <c r="D52" s="114"/>
      <c r="E52" s="114"/>
      <c r="F52" s="108"/>
      <c r="G52" s="116"/>
      <c r="H52" s="114"/>
      <c r="I52" s="114"/>
      <c r="J52" s="108"/>
      <c r="K52" s="116"/>
      <c r="L52" s="114"/>
      <c r="M52" s="114"/>
      <c r="N52" s="108"/>
      <c r="O52" s="116"/>
      <c r="P52" s="114"/>
      <c r="Q52" s="114"/>
      <c r="R52" s="108"/>
      <c r="S52" s="116"/>
      <c r="T52" s="114"/>
      <c r="U52" s="114"/>
      <c r="V52" s="108"/>
    </row>
    <row r="53" spans="1:22">
      <c r="A53" s="214"/>
      <c r="B53" s="221" t="s">
        <v>152</v>
      </c>
      <c r="C53" s="94">
        <v>0</v>
      </c>
      <c r="D53" s="96">
        <v>0</v>
      </c>
      <c r="E53" s="96">
        <v>0</v>
      </c>
      <c r="F53" s="105">
        <v>0</v>
      </c>
      <c r="G53" s="94">
        <v>0</v>
      </c>
      <c r="H53" s="96">
        <v>0</v>
      </c>
      <c r="I53" s="96">
        <v>0</v>
      </c>
      <c r="J53" s="105">
        <v>0</v>
      </c>
      <c r="K53" s="94">
        <v>0</v>
      </c>
      <c r="L53" s="96">
        <v>0</v>
      </c>
      <c r="M53" s="96">
        <v>0</v>
      </c>
      <c r="N53" s="105">
        <v>0</v>
      </c>
      <c r="O53" s="94">
        <v>0</v>
      </c>
      <c r="P53" s="96">
        <v>0</v>
      </c>
      <c r="Q53" s="96">
        <v>0</v>
      </c>
      <c r="R53" s="105">
        <v>0</v>
      </c>
      <c r="S53" s="94">
        <v>0</v>
      </c>
      <c r="T53" s="96"/>
      <c r="U53" s="96"/>
      <c r="V53" s="105"/>
    </row>
    <row r="54" spans="1:22">
      <c r="A54" s="214"/>
      <c r="B54" s="222"/>
      <c r="C54" s="95"/>
      <c r="D54" s="97"/>
      <c r="E54" s="97"/>
      <c r="F54" s="106"/>
      <c r="G54" s="95"/>
      <c r="H54" s="97"/>
      <c r="I54" s="97"/>
      <c r="J54" s="106"/>
      <c r="K54" s="95"/>
      <c r="L54" s="97"/>
      <c r="M54" s="97"/>
      <c r="N54" s="106"/>
      <c r="O54" s="95"/>
      <c r="P54" s="97"/>
      <c r="Q54" s="97"/>
      <c r="R54" s="106"/>
      <c r="S54" s="95"/>
      <c r="T54" s="97"/>
      <c r="U54" s="97"/>
      <c r="V54" s="106"/>
    </row>
    <row r="55" spans="1:22">
      <c r="A55" s="214"/>
      <c r="B55" s="223" t="s">
        <v>164</v>
      </c>
      <c r="C55" s="112">
        <v>0</v>
      </c>
      <c r="D55" s="110">
        <v>0</v>
      </c>
      <c r="E55" s="110">
        <v>0</v>
      </c>
      <c r="F55" s="107">
        <v>0</v>
      </c>
      <c r="G55" s="112">
        <v>0</v>
      </c>
      <c r="H55" s="110">
        <v>0</v>
      </c>
      <c r="I55" s="110">
        <v>0</v>
      </c>
      <c r="J55" s="107">
        <v>0</v>
      </c>
      <c r="K55" s="112">
        <v>0</v>
      </c>
      <c r="L55" s="110">
        <v>0</v>
      </c>
      <c r="M55" s="110">
        <v>0</v>
      </c>
      <c r="N55" s="107">
        <v>0</v>
      </c>
      <c r="O55" s="112">
        <v>0</v>
      </c>
      <c r="P55" s="110">
        <v>0</v>
      </c>
      <c r="Q55" s="110">
        <v>0</v>
      </c>
      <c r="R55" s="107">
        <v>0</v>
      </c>
      <c r="S55" s="112">
        <v>0</v>
      </c>
      <c r="T55" s="110"/>
      <c r="U55" s="110"/>
      <c r="V55" s="107"/>
    </row>
    <row r="56" spans="1:22" ht="15.75" thickBot="1">
      <c r="A56" s="215"/>
      <c r="B56" s="224"/>
      <c r="C56" s="117"/>
      <c r="D56" s="111"/>
      <c r="E56" s="111"/>
      <c r="F56" s="98"/>
      <c r="G56" s="117"/>
      <c r="H56" s="111"/>
      <c r="I56" s="111"/>
      <c r="J56" s="98"/>
      <c r="K56" s="117"/>
      <c r="L56" s="111"/>
      <c r="M56" s="111"/>
      <c r="N56" s="98"/>
      <c r="O56" s="117"/>
      <c r="P56" s="111"/>
      <c r="Q56" s="111"/>
      <c r="R56" s="98"/>
      <c r="S56" s="117"/>
      <c r="T56" s="111"/>
      <c r="U56" s="111"/>
      <c r="V56" s="98"/>
    </row>
    <row r="57" spans="1:22" ht="14.25" customHeight="1">
      <c r="A57" s="227" t="s">
        <v>131</v>
      </c>
      <c r="B57" s="230" t="s">
        <v>137</v>
      </c>
      <c r="C57" s="115">
        <v>4</v>
      </c>
      <c r="D57" s="113">
        <v>4</v>
      </c>
      <c r="E57" s="113">
        <v>4</v>
      </c>
      <c r="F57" s="109">
        <v>4</v>
      </c>
      <c r="G57" s="115">
        <v>4</v>
      </c>
      <c r="H57" s="113">
        <v>4</v>
      </c>
      <c r="I57" s="113">
        <v>4</v>
      </c>
      <c r="J57" s="109">
        <v>4</v>
      </c>
      <c r="K57" s="115">
        <v>4</v>
      </c>
      <c r="L57" s="113">
        <v>4</v>
      </c>
      <c r="M57" s="113">
        <v>4</v>
      </c>
      <c r="N57" s="109">
        <v>4</v>
      </c>
      <c r="O57" s="115">
        <v>4</v>
      </c>
      <c r="P57" s="113">
        <v>4</v>
      </c>
      <c r="Q57" s="113">
        <v>4</v>
      </c>
      <c r="R57" s="109">
        <v>4</v>
      </c>
      <c r="S57" s="115">
        <v>4</v>
      </c>
      <c r="T57" s="113"/>
      <c r="U57" s="113"/>
      <c r="V57" s="109"/>
    </row>
    <row r="58" spans="1:22">
      <c r="A58" s="228"/>
      <c r="B58" s="231"/>
      <c r="C58" s="116"/>
      <c r="D58" s="114"/>
      <c r="E58" s="114"/>
      <c r="F58" s="108"/>
      <c r="G58" s="116"/>
      <c r="H58" s="114"/>
      <c r="I58" s="114"/>
      <c r="J58" s="108"/>
      <c r="K58" s="116"/>
      <c r="L58" s="114"/>
      <c r="M58" s="114"/>
      <c r="N58" s="108"/>
      <c r="O58" s="116"/>
      <c r="P58" s="114"/>
      <c r="Q58" s="114"/>
      <c r="R58" s="108"/>
      <c r="S58" s="116"/>
      <c r="T58" s="114"/>
      <c r="U58" s="114"/>
      <c r="V58" s="108"/>
    </row>
    <row r="59" spans="1:22">
      <c r="A59" s="228"/>
      <c r="B59" s="232" t="s">
        <v>132</v>
      </c>
      <c r="C59" s="94">
        <v>3</v>
      </c>
      <c r="D59" s="96">
        <v>3</v>
      </c>
      <c r="E59" s="96">
        <v>3</v>
      </c>
      <c r="F59" s="105">
        <v>3</v>
      </c>
      <c r="G59" s="94">
        <v>3</v>
      </c>
      <c r="H59" s="96">
        <v>3</v>
      </c>
      <c r="I59" s="96">
        <v>3</v>
      </c>
      <c r="J59" s="105">
        <v>3</v>
      </c>
      <c r="K59" s="94">
        <v>3</v>
      </c>
      <c r="L59" s="96">
        <v>3</v>
      </c>
      <c r="M59" s="96">
        <v>3</v>
      </c>
      <c r="N59" s="105">
        <v>3</v>
      </c>
      <c r="O59" s="94">
        <v>3</v>
      </c>
      <c r="P59" s="96">
        <v>4</v>
      </c>
      <c r="Q59" s="96">
        <v>4</v>
      </c>
      <c r="R59" s="105">
        <v>4</v>
      </c>
      <c r="S59" s="94">
        <v>4</v>
      </c>
      <c r="T59" s="96"/>
      <c r="U59" s="96"/>
      <c r="V59" s="105"/>
    </row>
    <row r="60" spans="1:22">
      <c r="A60" s="228"/>
      <c r="B60" s="233"/>
      <c r="C60" s="95"/>
      <c r="D60" s="97"/>
      <c r="E60" s="97"/>
      <c r="F60" s="106"/>
      <c r="G60" s="95"/>
      <c r="H60" s="97"/>
      <c r="I60" s="97"/>
      <c r="J60" s="106"/>
      <c r="K60" s="95"/>
      <c r="L60" s="97"/>
      <c r="M60" s="97"/>
      <c r="N60" s="106"/>
      <c r="O60" s="95"/>
      <c r="P60" s="97"/>
      <c r="Q60" s="97"/>
      <c r="R60" s="106"/>
      <c r="S60" s="95"/>
      <c r="T60" s="97"/>
      <c r="U60" s="97"/>
      <c r="V60" s="106"/>
    </row>
    <row r="61" spans="1:22">
      <c r="A61" s="228"/>
      <c r="B61" s="234" t="s">
        <v>136</v>
      </c>
      <c r="C61" s="112">
        <v>2</v>
      </c>
      <c r="D61" s="110">
        <v>2</v>
      </c>
      <c r="E61" s="110">
        <v>2</v>
      </c>
      <c r="F61" s="107">
        <v>2</v>
      </c>
      <c r="G61" s="112">
        <v>2</v>
      </c>
      <c r="H61" s="110">
        <v>2</v>
      </c>
      <c r="I61" s="110">
        <v>2</v>
      </c>
      <c r="J61" s="107">
        <v>2</v>
      </c>
      <c r="K61" s="112">
        <v>2</v>
      </c>
      <c r="L61" s="110">
        <v>2</v>
      </c>
      <c r="M61" s="110">
        <v>2</v>
      </c>
      <c r="N61" s="107">
        <v>2</v>
      </c>
      <c r="O61" s="112">
        <v>2</v>
      </c>
      <c r="P61" s="110">
        <v>2</v>
      </c>
      <c r="Q61" s="110">
        <v>3</v>
      </c>
      <c r="R61" s="107">
        <v>4</v>
      </c>
      <c r="S61" s="112">
        <v>4</v>
      </c>
      <c r="T61" s="110"/>
      <c r="U61" s="110"/>
      <c r="V61" s="107"/>
    </row>
    <row r="62" spans="1:22">
      <c r="A62" s="228"/>
      <c r="B62" s="231"/>
      <c r="C62" s="116"/>
      <c r="D62" s="114"/>
      <c r="E62" s="114"/>
      <c r="F62" s="108"/>
      <c r="G62" s="116"/>
      <c r="H62" s="114"/>
      <c r="I62" s="114"/>
      <c r="J62" s="108"/>
      <c r="K62" s="116"/>
      <c r="L62" s="114"/>
      <c r="M62" s="114"/>
      <c r="N62" s="108"/>
      <c r="O62" s="116"/>
      <c r="P62" s="114"/>
      <c r="Q62" s="114"/>
      <c r="R62" s="108"/>
      <c r="S62" s="116"/>
      <c r="T62" s="114"/>
      <c r="U62" s="114"/>
      <c r="V62" s="108"/>
    </row>
    <row r="63" spans="1:22">
      <c r="A63" s="228"/>
      <c r="B63" s="232" t="s">
        <v>133</v>
      </c>
      <c r="C63" s="94">
        <v>2</v>
      </c>
      <c r="D63" s="96">
        <v>2</v>
      </c>
      <c r="E63" s="96">
        <v>2</v>
      </c>
      <c r="F63" s="105">
        <v>2</v>
      </c>
      <c r="G63" s="94">
        <v>2</v>
      </c>
      <c r="H63" s="96">
        <v>2</v>
      </c>
      <c r="I63" s="96">
        <v>2</v>
      </c>
      <c r="J63" s="105">
        <v>2</v>
      </c>
      <c r="K63" s="94">
        <v>2</v>
      </c>
      <c r="L63" s="96">
        <v>2</v>
      </c>
      <c r="M63" s="96">
        <v>2</v>
      </c>
      <c r="N63" s="105">
        <v>2</v>
      </c>
      <c r="O63" s="94">
        <v>2</v>
      </c>
      <c r="P63" s="96">
        <v>2</v>
      </c>
      <c r="Q63" s="96">
        <v>2</v>
      </c>
      <c r="R63" s="105">
        <v>2</v>
      </c>
      <c r="S63" s="94">
        <v>3</v>
      </c>
      <c r="T63" s="96"/>
      <c r="U63" s="96"/>
      <c r="V63" s="105"/>
    </row>
    <row r="64" spans="1:22">
      <c r="A64" s="228"/>
      <c r="B64" s="233"/>
      <c r="C64" s="95"/>
      <c r="D64" s="97"/>
      <c r="E64" s="97"/>
      <c r="F64" s="106"/>
      <c r="G64" s="95"/>
      <c r="H64" s="97"/>
      <c r="I64" s="97"/>
      <c r="J64" s="106"/>
      <c r="K64" s="95"/>
      <c r="L64" s="97"/>
      <c r="M64" s="97"/>
      <c r="N64" s="106"/>
      <c r="O64" s="95"/>
      <c r="P64" s="97"/>
      <c r="Q64" s="97"/>
      <c r="R64" s="106"/>
      <c r="S64" s="95"/>
      <c r="T64" s="97"/>
      <c r="U64" s="97"/>
      <c r="V64" s="106"/>
    </row>
    <row r="65" spans="1:22">
      <c r="A65" s="228"/>
      <c r="B65" s="234" t="s">
        <v>134</v>
      </c>
      <c r="C65" s="112">
        <v>4</v>
      </c>
      <c r="D65" s="110">
        <v>4</v>
      </c>
      <c r="E65" s="110">
        <v>4</v>
      </c>
      <c r="F65" s="107">
        <v>4</v>
      </c>
      <c r="G65" s="112">
        <v>4</v>
      </c>
      <c r="H65" s="110">
        <v>4</v>
      </c>
      <c r="I65" s="110">
        <v>4</v>
      </c>
      <c r="J65" s="107">
        <v>4</v>
      </c>
      <c r="K65" s="112">
        <v>4</v>
      </c>
      <c r="L65" s="110">
        <v>4</v>
      </c>
      <c r="M65" s="110">
        <v>4</v>
      </c>
      <c r="N65" s="107">
        <v>4</v>
      </c>
      <c r="O65" s="112">
        <v>4</v>
      </c>
      <c r="P65" s="110">
        <v>4</v>
      </c>
      <c r="Q65" s="110">
        <v>4</v>
      </c>
      <c r="R65" s="107">
        <v>4</v>
      </c>
      <c r="S65" s="112">
        <v>4</v>
      </c>
      <c r="T65" s="110"/>
      <c r="U65" s="110"/>
      <c r="V65" s="107"/>
    </row>
    <row r="66" spans="1:22">
      <c r="A66" s="228"/>
      <c r="B66" s="231"/>
      <c r="C66" s="116"/>
      <c r="D66" s="114"/>
      <c r="E66" s="114"/>
      <c r="F66" s="108"/>
      <c r="G66" s="116"/>
      <c r="H66" s="114"/>
      <c r="I66" s="114"/>
      <c r="J66" s="108"/>
      <c r="K66" s="116"/>
      <c r="L66" s="114"/>
      <c r="M66" s="114"/>
      <c r="N66" s="108"/>
      <c r="O66" s="116"/>
      <c r="P66" s="114"/>
      <c r="Q66" s="114"/>
      <c r="R66" s="108"/>
      <c r="S66" s="116"/>
      <c r="T66" s="114"/>
      <c r="U66" s="114"/>
      <c r="V66" s="108"/>
    </row>
    <row r="67" spans="1:22">
      <c r="A67" s="228"/>
      <c r="B67" s="235" t="s">
        <v>140</v>
      </c>
      <c r="C67" s="94">
        <v>4</v>
      </c>
      <c r="D67" s="96">
        <v>4</v>
      </c>
      <c r="E67" s="96">
        <v>4</v>
      </c>
      <c r="F67" s="105">
        <v>4</v>
      </c>
      <c r="G67" s="94">
        <v>4</v>
      </c>
      <c r="H67" s="96">
        <v>4</v>
      </c>
      <c r="I67" s="96">
        <v>4</v>
      </c>
      <c r="J67" s="105">
        <v>4</v>
      </c>
      <c r="K67" s="94">
        <v>4</v>
      </c>
      <c r="L67" s="96">
        <v>4</v>
      </c>
      <c r="M67" s="96">
        <v>4</v>
      </c>
      <c r="N67" s="105">
        <v>4</v>
      </c>
      <c r="O67" s="94">
        <v>4</v>
      </c>
      <c r="P67" s="96">
        <v>4</v>
      </c>
      <c r="Q67" s="96">
        <v>4</v>
      </c>
      <c r="R67" s="105">
        <v>4</v>
      </c>
      <c r="S67" s="94">
        <v>4</v>
      </c>
      <c r="T67" s="96"/>
      <c r="U67" s="96"/>
      <c r="V67" s="105"/>
    </row>
    <row r="68" spans="1:22">
      <c r="A68" s="228"/>
      <c r="B68" s="236"/>
      <c r="C68" s="95"/>
      <c r="D68" s="97"/>
      <c r="E68" s="97"/>
      <c r="F68" s="106"/>
      <c r="G68" s="95"/>
      <c r="H68" s="97"/>
      <c r="I68" s="97"/>
      <c r="J68" s="106"/>
      <c r="K68" s="95"/>
      <c r="L68" s="97"/>
      <c r="M68" s="97"/>
      <c r="N68" s="106"/>
      <c r="O68" s="95"/>
      <c r="P68" s="97"/>
      <c r="Q68" s="97"/>
      <c r="R68" s="106"/>
      <c r="S68" s="95"/>
      <c r="T68" s="97"/>
      <c r="U68" s="97"/>
      <c r="V68" s="106"/>
    </row>
    <row r="69" spans="1:22">
      <c r="A69" s="228"/>
      <c r="B69" s="237" t="s">
        <v>135</v>
      </c>
      <c r="C69" s="112">
        <v>2</v>
      </c>
      <c r="D69" s="110">
        <v>2</v>
      </c>
      <c r="E69" s="110">
        <v>2</v>
      </c>
      <c r="F69" s="107">
        <v>2</v>
      </c>
      <c r="G69" s="112">
        <v>2</v>
      </c>
      <c r="H69" s="110">
        <v>2</v>
      </c>
      <c r="I69" s="110">
        <v>2</v>
      </c>
      <c r="J69" s="107">
        <v>2</v>
      </c>
      <c r="K69" s="112">
        <v>2</v>
      </c>
      <c r="L69" s="110">
        <v>2</v>
      </c>
      <c r="M69" s="110">
        <v>2</v>
      </c>
      <c r="N69" s="107">
        <v>2</v>
      </c>
      <c r="O69" s="112">
        <v>2</v>
      </c>
      <c r="P69" s="110">
        <v>2</v>
      </c>
      <c r="Q69" s="110">
        <v>3</v>
      </c>
      <c r="R69" s="107">
        <v>3</v>
      </c>
      <c r="S69" s="112">
        <v>3</v>
      </c>
      <c r="T69" s="110"/>
      <c r="U69" s="110"/>
      <c r="V69" s="107"/>
    </row>
    <row r="70" spans="1:22">
      <c r="A70" s="228"/>
      <c r="B70" s="238"/>
      <c r="C70" s="116"/>
      <c r="D70" s="114"/>
      <c r="E70" s="114"/>
      <c r="F70" s="108"/>
      <c r="G70" s="116"/>
      <c r="H70" s="114"/>
      <c r="I70" s="114"/>
      <c r="J70" s="108"/>
      <c r="K70" s="116"/>
      <c r="L70" s="114"/>
      <c r="M70" s="114"/>
      <c r="N70" s="108"/>
      <c r="O70" s="116"/>
      <c r="P70" s="114"/>
      <c r="Q70" s="114"/>
      <c r="R70" s="108"/>
      <c r="S70" s="116"/>
      <c r="T70" s="114"/>
      <c r="U70" s="114"/>
      <c r="V70" s="108"/>
    </row>
    <row r="71" spans="1:22">
      <c r="A71" s="228"/>
      <c r="B71" s="235" t="s">
        <v>138</v>
      </c>
      <c r="C71" s="94">
        <v>2</v>
      </c>
      <c r="D71" s="96">
        <v>2</v>
      </c>
      <c r="E71" s="96">
        <v>2</v>
      </c>
      <c r="F71" s="105">
        <v>2</v>
      </c>
      <c r="G71" s="94">
        <v>2</v>
      </c>
      <c r="H71" s="96">
        <v>2</v>
      </c>
      <c r="I71" s="96">
        <v>2</v>
      </c>
      <c r="J71" s="105">
        <v>2</v>
      </c>
      <c r="K71" s="94">
        <v>2</v>
      </c>
      <c r="L71" s="96">
        <v>2</v>
      </c>
      <c r="M71" s="96">
        <v>2</v>
      </c>
      <c r="N71" s="105">
        <v>2</v>
      </c>
      <c r="O71" s="94">
        <v>2</v>
      </c>
      <c r="P71" s="96">
        <v>2</v>
      </c>
      <c r="Q71" s="96">
        <v>3</v>
      </c>
      <c r="R71" s="105">
        <v>3</v>
      </c>
      <c r="S71" s="94">
        <v>3</v>
      </c>
      <c r="T71" s="96"/>
      <c r="U71" s="96"/>
      <c r="V71" s="105"/>
    </row>
    <row r="72" spans="1:22">
      <c r="A72" s="228"/>
      <c r="B72" s="236"/>
      <c r="C72" s="95"/>
      <c r="D72" s="97"/>
      <c r="E72" s="97"/>
      <c r="F72" s="106"/>
      <c r="G72" s="95"/>
      <c r="H72" s="97"/>
      <c r="I72" s="97"/>
      <c r="J72" s="106"/>
      <c r="K72" s="95"/>
      <c r="L72" s="97"/>
      <c r="M72" s="97"/>
      <c r="N72" s="106"/>
      <c r="O72" s="95"/>
      <c r="P72" s="97"/>
      <c r="Q72" s="97"/>
      <c r="R72" s="106"/>
      <c r="S72" s="95"/>
      <c r="T72" s="97"/>
      <c r="U72" s="97"/>
      <c r="V72" s="106"/>
    </row>
    <row r="73" spans="1:22">
      <c r="A73" s="228"/>
      <c r="B73" s="234" t="s">
        <v>139</v>
      </c>
      <c r="C73" s="112">
        <v>3</v>
      </c>
      <c r="D73" s="110">
        <v>3</v>
      </c>
      <c r="E73" s="110">
        <v>3</v>
      </c>
      <c r="F73" s="107">
        <v>3</v>
      </c>
      <c r="G73" s="112">
        <v>3</v>
      </c>
      <c r="H73" s="110">
        <v>3</v>
      </c>
      <c r="I73" s="110">
        <v>3</v>
      </c>
      <c r="J73" s="107">
        <v>3</v>
      </c>
      <c r="K73" s="112">
        <v>3</v>
      </c>
      <c r="L73" s="110">
        <v>3</v>
      </c>
      <c r="M73" s="110">
        <v>3</v>
      </c>
      <c r="N73" s="107">
        <v>3</v>
      </c>
      <c r="O73" s="112">
        <v>3</v>
      </c>
      <c r="P73" s="110">
        <v>4</v>
      </c>
      <c r="Q73" s="110">
        <v>4</v>
      </c>
      <c r="R73" s="107">
        <v>4</v>
      </c>
      <c r="S73" s="112">
        <v>4</v>
      </c>
      <c r="T73" s="110"/>
      <c r="U73" s="110"/>
      <c r="V73" s="107"/>
    </row>
    <row r="74" spans="1:22">
      <c r="A74" s="228"/>
      <c r="B74" s="231"/>
      <c r="C74" s="116"/>
      <c r="D74" s="114"/>
      <c r="E74" s="114"/>
      <c r="F74" s="108"/>
      <c r="G74" s="116"/>
      <c r="H74" s="114"/>
      <c r="I74" s="114"/>
      <c r="J74" s="108"/>
      <c r="K74" s="116"/>
      <c r="L74" s="114"/>
      <c r="M74" s="114"/>
      <c r="N74" s="108"/>
      <c r="O74" s="116"/>
      <c r="P74" s="114"/>
      <c r="Q74" s="114"/>
      <c r="R74" s="108"/>
      <c r="S74" s="116"/>
      <c r="T74" s="114"/>
      <c r="U74" s="114"/>
      <c r="V74" s="108"/>
    </row>
    <row r="75" spans="1:22">
      <c r="A75" s="228"/>
      <c r="B75" s="232" t="s">
        <v>141</v>
      </c>
      <c r="C75" s="94">
        <v>2</v>
      </c>
      <c r="D75" s="96">
        <v>2</v>
      </c>
      <c r="E75" s="96">
        <v>2</v>
      </c>
      <c r="F75" s="105">
        <v>2</v>
      </c>
      <c r="G75" s="94">
        <v>2</v>
      </c>
      <c r="H75" s="96">
        <v>2</v>
      </c>
      <c r="I75" s="96">
        <v>2</v>
      </c>
      <c r="J75" s="105">
        <v>2</v>
      </c>
      <c r="K75" s="94">
        <v>2</v>
      </c>
      <c r="L75" s="96">
        <v>2</v>
      </c>
      <c r="M75" s="96">
        <v>2</v>
      </c>
      <c r="N75" s="105">
        <v>2</v>
      </c>
      <c r="O75" s="94">
        <v>2</v>
      </c>
      <c r="P75" s="96">
        <v>2</v>
      </c>
      <c r="Q75" s="96">
        <v>3</v>
      </c>
      <c r="R75" s="105">
        <v>3</v>
      </c>
      <c r="S75" s="94">
        <v>4</v>
      </c>
      <c r="T75" s="96"/>
      <c r="U75" s="96"/>
      <c r="V75" s="105"/>
    </row>
    <row r="76" spans="1:22">
      <c r="A76" s="228"/>
      <c r="B76" s="233"/>
      <c r="C76" s="95"/>
      <c r="D76" s="97"/>
      <c r="E76" s="97"/>
      <c r="F76" s="106"/>
      <c r="G76" s="95"/>
      <c r="H76" s="97"/>
      <c r="I76" s="97"/>
      <c r="J76" s="106"/>
      <c r="K76" s="95"/>
      <c r="L76" s="97"/>
      <c r="M76" s="97"/>
      <c r="N76" s="106"/>
      <c r="O76" s="95"/>
      <c r="P76" s="97"/>
      <c r="Q76" s="97"/>
      <c r="R76" s="106"/>
      <c r="S76" s="95"/>
      <c r="T76" s="97"/>
      <c r="U76" s="97"/>
      <c r="V76" s="106"/>
    </row>
    <row r="77" spans="1:22">
      <c r="A77" s="228"/>
      <c r="B77" s="237" t="s">
        <v>142</v>
      </c>
      <c r="C77" s="112">
        <v>4</v>
      </c>
      <c r="D77" s="110">
        <v>4</v>
      </c>
      <c r="E77" s="110">
        <v>4</v>
      </c>
      <c r="F77" s="107">
        <v>4</v>
      </c>
      <c r="G77" s="112">
        <v>4</v>
      </c>
      <c r="H77" s="110">
        <v>4</v>
      </c>
      <c r="I77" s="110">
        <v>4</v>
      </c>
      <c r="J77" s="107">
        <v>4</v>
      </c>
      <c r="K77" s="112">
        <v>4</v>
      </c>
      <c r="L77" s="110">
        <v>4</v>
      </c>
      <c r="M77" s="110">
        <v>4</v>
      </c>
      <c r="N77" s="107">
        <v>4</v>
      </c>
      <c r="O77" s="112">
        <v>4</v>
      </c>
      <c r="P77" s="110">
        <v>4</v>
      </c>
      <c r="Q77" s="110">
        <v>4</v>
      </c>
      <c r="R77" s="107">
        <v>4</v>
      </c>
      <c r="S77" s="112">
        <v>4</v>
      </c>
      <c r="T77" s="110"/>
      <c r="U77" s="110"/>
      <c r="V77" s="107"/>
    </row>
    <row r="78" spans="1:22" ht="15.75" thickBot="1">
      <c r="A78" s="229"/>
      <c r="B78" s="238"/>
      <c r="C78" s="117"/>
      <c r="D78" s="111"/>
      <c r="E78" s="111"/>
      <c r="F78" s="98"/>
      <c r="G78" s="117"/>
      <c r="H78" s="111"/>
      <c r="I78" s="111"/>
      <c r="J78" s="98"/>
      <c r="K78" s="117"/>
      <c r="L78" s="111"/>
      <c r="M78" s="111"/>
      <c r="N78" s="98"/>
      <c r="O78" s="117"/>
      <c r="P78" s="111"/>
      <c r="Q78" s="111"/>
      <c r="R78" s="98"/>
      <c r="S78" s="117"/>
      <c r="T78" s="111"/>
      <c r="U78" s="111"/>
      <c r="V78" s="98"/>
    </row>
    <row r="80" spans="1:22">
      <c r="P80" s="128"/>
      <c r="Q80" s="128"/>
    </row>
    <row r="81" spans="1:17" ht="17.25">
      <c r="A81" s="39" t="s">
        <v>111</v>
      </c>
      <c r="B81" s="35" t="s">
        <v>90</v>
      </c>
      <c r="C81" s="34"/>
      <c r="D81" s="34"/>
      <c r="E81" s="34"/>
      <c r="F81" s="34"/>
      <c r="P81" s="128"/>
      <c r="Q81" s="128"/>
    </row>
    <row r="82" spans="1:17" ht="17.25">
      <c r="A82" s="39" t="s">
        <v>91</v>
      </c>
      <c r="B82" s="35" t="s">
        <v>92</v>
      </c>
      <c r="C82" s="34"/>
      <c r="D82" s="34"/>
      <c r="E82" s="34"/>
      <c r="F82" s="34"/>
    </row>
    <row r="83" spans="1:17" ht="17.25">
      <c r="A83" s="39" t="s">
        <v>93</v>
      </c>
      <c r="B83" s="35" t="s">
        <v>94</v>
      </c>
      <c r="C83" s="34"/>
      <c r="D83" s="34"/>
      <c r="E83" s="34"/>
      <c r="F83" s="34"/>
    </row>
    <row r="84" spans="1:17" ht="17.25">
      <c r="A84" s="39" t="s">
        <v>95</v>
      </c>
      <c r="B84" s="35" t="s">
        <v>96</v>
      </c>
      <c r="C84" s="34"/>
      <c r="D84" s="34"/>
      <c r="E84" s="34"/>
      <c r="F84" s="34"/>
      <c r="G84" s="29"/>
      <c r="H84" s="29"/>
      <c r="I84" s="29"/>
      <c r="J84" s="29"/>
      <c r="K84" s="29"/>
      <c r="L84" s="29"/>
      <c r="M84" s="29"/>
      <c r="N84" s="29"/>
    </row>
    <row r="85" spans="1:17" ht="17.25">
      <c r="A85" s="40" t="s">
        <v>97</v>
      </c>
      <c r="B85" s="37" t="s">
        <v>98</v>
      </c>
      <c r="C85" s="36"/>
      <c r="D85" s="36"/>
      <c r="E85" s="36"/>
      <c r="F85" s="36"/>
    </row>
  </sheetData>
  <mergeCells count="45">
    <mergeCell ref="S10:V10"/>
    <mergeCell ref="O10:R10"/>
    <mergeCell ref="M2:N8"/>
    <mergeCell ref="I3:L3"/>
    <mergeCell ref="A10:B12"/>
    <mergeCell ref="C10:F10"/>
    <mergeCell ref="G10:J10"/>
    <mergeCell ref="K10:N10"/>
    <mergeCell ref="B29:B30"/>
    <mergeCell ref="B31:B32"/>
    <mergeCell ref="B33:B34"/>
    <mergeCell ref="A13:A34"/>
    <mergeCell ref="I2:L2"/>
    <mergeCell ref="B13:B14"/>
    <mergeCell ref="B15:B16"/>
    <mergeCell ref="B17:B18"/>
    <mergeCell ref="B19:B20"/>
    <mergeCell ref="B21:B22"/>
    <mergeCell ref="B23:B24"/>
    <mergeCell ref="B25:B26"/>
    <mergeCell ref="B27:B28"/>
    <mergeCell ref="A35:A56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A57:A78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50"/>
  </sheetPr>
  <dimension ref="A1:V85"/>
  <sheetViews>
    <sheetView topLeftCell="A22" zoomScale="70" zoomScaleNormal="70" workbookViewId="0">
      <selection activeCell="S35" sqref="S35:S56"/>
    </sheetView>
  </sheetViews>
  <sheetFormatPr defaultRowHeight="15"/>
  <cols>
    <col min="1" max="1" width="11.140625" customWidth="1"/>
    <col min="2" max="2" width="46.140625" customWidth="1"/>
    <col min="3" max="14" width="8.5703125" style="15" customWidth="1"/>
    <col min="15" max="15" width="14" style="15" customWidth="1"/>
  </cols>
  <sheetData>
    <row r="1" spans="1:22" ht="15.75" thickBot="1"/>
    <row r="2" spans="1:22">
      <c r="A2" s="22" t="s">
        <v>112</v>
      </c>
      <c r="B2" s="23" t="s">
        <v>170</v>
      </c>
      <c r="H2" s="100" t="s">
        <v>50</v>
      </c>
      <c r="I2" s="249" t="s">
        <v>121</v>
      </c>
      <c r="J2" s="249"/>
      <c r="K2" s="249"/>
      <c r="L2" s="250"/>
      <c r="M2" s="251"/>
      <c r="N2" s="252"/>
    </row>
    <row r="3" spans="1:22" ht="15.75" thickBot="1">
      <c r="A3" s="24" t="s">
        <v>113</v>
      </c>
      <c r="B3" s="25" t="s">
        <v>166</v>
      </c>
      <c r="H3" s="101" t="s">
        <v>89</v>
      </c>
      <c r="I3" s="257" t="s">
        <v>169</v>
      </c>
      <c r="J3" s="257"/>
      <c r="K3" s="257"/>
      <c r="L3" s="258"/>
      <c r="M3" s="253"/>
      <c r="N3" s="254"/>
    </row>
    <row r="4" spans="1:22">
      <c r="M4" s="253"/>
      <c r="N4" s="254"/>
    </row>
    <row r="5" spans="1:22">
      <c r="M5" s="253"/>
      <c r="N5" s="254"/>
    </row>
    <row r="6" spans="1:22">
      <c r="M6" s="253"/>
      <c r="N6" s="254"/>
    </row>
    <row r="7" spans="1:22">
      <c r="M7" s="253"/>
      <c r="N7" s="254"/>
    </row>
    <row r="8" spans="1:22" ht="15.75" thickBot="1">
      <c r="M8" s="255"/>
      <c r="N8" s="256"/>
    </row>
    <row r="9" spans="1:22" ht="15.75" thickBot="1">
      <c r="M9" s="29"/>
      <c r="N9" s="29"/>
    </row>
    <row r="10" spans="1:22">
      <c r="A10" s="240" t="s">
        <v>99</v>
      </c>
      <c r="B10" s="241"/>
      <c r="C10" s="246" t="s">
        <v>177</v>
      </c>
      <c r="D10" s="247"/>
      <c r="E10" s="247"/>
      <c r="F10" s="248"/>
      <c r="G10" s="246" t="s">
        <v>176</v>
      </c>
      <c r="H10" s="247"/>
      <c r="I10" s="247"/>
      <c r="J10" s="248"/>
      <c r="K10" s="247" t="s">
        <v>175</v>
      </c>
      <c r="L10" s="247"/>
      <c r="M10" s="247"/>
      <c r="N10" s="248"/>
      <c r="O10" s="247" t="s">
        <v>178</v>
      </c>
      <c r="P10" s="247"/>
      <c r="Q10" s="247"/>
      <c r="R10" s="248"/>
      <c r="S10" s="247" t="s">
        <v>184</v>
      </c>
      <c r="T10" s="247"/>
      <c r="U10" s="247"/>
      <c r="V10" s="248"/>
    </row>
    <row r="11" spans="1:22">
      <c r="A11" s="242"/>
      <c r="B11" s="243"/>
      <c r="C11" s="42" t="s">
        <v>100</v>
      </c>
      <c r="D11" s="99" t="s">
        <v>101</v>
      </c>
      <c r="E11" s="99" t="s">
        <v>102</v>
      </c>
      <c r="F11" s="41" t="s">
        <v>103</v>
      </c>
      <c r="G11" s="42" t="s">
        <v>100</v>
      </c>
      <c r="H11" s="99" t="s">
        <v>101</v>
      </c>
      <c r="I11" s="99" t="s">
        <v>102</v>
      </c>
      <c r="J11" s="41" t="s">
        <v>103</v>
      </c>
      <c r="K11" s="32" t="s">
        <v>100</v>
      </c>
      <c r="L11" s="99" t="s">
        <v>101</v>
      </c>
      <c r="M11" s="99" t="s">
        <v>102</v>
      </c>
      <c r="N11" s="41" t="s">
        <v>103</v>
      </c>
      <c r="O11" s="32" t="s">
        <v>100</v>
      </c>
      <c r="P11" s="120" t="s">
        <v>101</v>
      </c>
      <c r="Q11" s="120" t="s">
        <v>102</v>
      </c>
      <c r="R11" s="41" t="s">
        <v>103</v>
      </c>
      <c r="S11" s="132" t="s">
        <v>100</v>
      </c>
      <c r="T11" s="129" t="s">
        <v>101</v>
      </c>
      <c r="U11" s="129" t="s">
        <v>102</v>
      </c>
      <c r="V11" s="41" t="s">
        <v>103</v>
      </c>
    </row>
    <row r="12" spans="1:22" ht="15.75" thickBot="1">
      <c r="A12" s="244"/>
      <c r="B12" s="245"/>
      <c r="C12" s="43" t="s">
        <v>105</v>
      </c>
      <c r="D12" s="92" t="s">
        <v>106</v>
      </c>
      <c r="E12" s="92" t="s">
        <v>107</v>
      </c>
      <c r="F12" s="93" t="s">
        <v>104</v>
      </c>
      <c r="G12" s="43" t="s">
        <v>105</v>
      </c>
      <c r="H12" s="92" t="s">
        <v>106</v>
      </c>
      <c r="I12" s="92" t="s">
        <v>107</v>
      </c>
      <c r="J12" s="93" t="s">
        <v>104</v>
      </c>
      <c r="K12" s="102" t="s">
        <v>105</v>
      </c>
      <c r="L12" s="92" t="s">
        <v>106</v>
      </c>
      <c r="M12" s="92" t="s">
        <v>107</v>
      </c>
      <c r="N12" s="93" t="s">
        <v>104</v>
      </c>
      <c r="O12" s="102" t="s">
        <v>105</v>
      </c>
      <c r="P12" s="121" t="s">
        <v>106</v>
      </c>
      <c r="Q12" s="121" t="s">
        <v>107</v>
      </c>
      <c r="R12" s="122" t="s">
        <v>104</v>
      </c>
      <c r="S12" s="133" t="s">
        <v>105</v>
      </c>
      <c r="T12" s="130" t="s">
        <v>106</v>
      </c>
      <c r="U12" s="130" t="s">
        <v>107</v>
      </c>
      <c r="V12" s="131" t="s">
        <v>104</v>
      </c>
    </row>
    <row r="13" spans="1:22" ht="14.25" customHeight="1">
      <c r="A13" s="213" t="s">
        <v>143</v>
      </c>
      <c r="B13" s="239" t="s">
        <v>154</v>
      </c>
      <c r="C13" s="115">
        <v>2</v>
      </c>
      <c r="D13" s="113">
        <v>2</v>
      </c>
      <c r="E13" s="113">
        <v>2</v>
      </c>
      <c r="F13" s="109">
        <v>2</v>
      </c>
      <c r="G13" s="115">
        <v>2</v>
      </c>
      <c r="H13" s="113">
        <v>2</v>
      </c>
      <c r="I13" s="113">
        <v>2</v>
      </c>
      <c r="J13" s="109">
        <v>2</v>
      </c>
      <c r="K13" s="115">
        <v>2</v>
      </c>
      <c r="L13" s="113">
        <v>2</v>
      </c>
      <c r="M13" s="113">
        <v>2</v>
      </c>
      <c r="N13" s="109">
        <v>2</v>
      </c>
      <c r="O13" s="115">
        <v>2</v>
      </c>
      <c r="P13" s="113">
        <v>2</v>
      </c>
      <c r="Q13" s="113">
        <v>2</v>
      </c>
      <c r="R13" s="109">
        <v>2</v>
      </c>
      <c r="S13" s="115">
        <v>2</v>
      </c>
      <c r="T13" s="113"/>
      <c r="U13" s="113"/>
      <c r="V13" s="109"/>
    </row>
    <row r="14" spans="1:22">
      <c r="A14" s="214"/>
      <c r="B14" s="224"/>
      <c r="C14" s="116"/>
      <c r="D14" s="114"/>
      <c r="E14" s="114"/>
      <c r="F14" s="108"/>
      <c r="G14" s="116"/>
      <c r="H14" s="114"/>
      <c r="I14" s="114"/>
      <c r="J14" s="108"/>
      <c r="K14" s="116"/>
      <c r="L14" s="114"/>
      <c r="M14" s="114"/>
      <c r="N14" s="108"/>
      <c r="O14" s="116"/>
      <c r="P14" s="114"/>
      <c r="Q14" s="114"/>
      <c r="R14" s="108"/>
      <c r="S14" s="116"/>
      <c r="T14" s="114"/>
      <c r="U14" s="114"/>
      <c r="V14" s="108"/>
    </row>
    <row r="15" spans="1:22">
      <c r="A15" s="214"/>
      <c r="B15" s="221" t="s">
        <v>173</v>
      </c>
      <c r="C15" s="94">
        <v>2</v>
      </c>
      <c r="D15" s="96">
        <v>2</v>
      </c>
      <c r="E15" s="96">
        <v>2</v>
      </c>
      <c r="F15" s="105">
        <v>2</v>
      </c>
      <c r="G15" s="94">
        <v>2</v>
      </c>
      <c r="H15" s="96">
        <v>2</v>
      </c>
      <c r="I15" s="96">
        <v>2</v>
      </c>
      <c r="J15" s="105">
        <v>2</v>
      </c>
      <c r="K15" s="94">
        <v>2</v>
      </c>
      <c r="L15" s="96">
        <v>2</v>
      </c>
      <c r="M15" s="96">
        <v>2</v>
      </c>
      <c r="N15" s="105">
        <v>2</v>
      </c>
      <c r="O15" s="94">
        <v>2</v>
      </c>
      <c r="P15" s="96">
        <v>2</v>
      </c>
      <c r="Q15" s="96">
        <v>3</v>
      </c>
      <c r="R15" s="105">
        <v>3</v>
      </c>
      <c r="S15" s="94">
        <v>3</v>
      </c>
      <c r="T15" s="96"/>
      <c r="U15" s="96"/>
      <c r="V15" s="105"/>
    </row>
    <row r="16" spans="1:22">
      <c r="A16" s="214"/>
      <c r="B16" s="222"/>
      <c r="C16" s="95"/>
      <c r="D16" s="97"/>
      <c r="E16" s="97"/>
      <c r="F16" s="106"/>
      <c r="G16" s="95"/>
      <c r="H16" s="97"/>
      <c r="I16" s="97"/>
      <c r="J16" s="106"/>
      <c r="K16" s="95"/>
      <c r="L16" s="97"/>
      <c r="M16" s="97"/>
      <c r="N16" s="106"/>
      <c r="O16" s="95"/>
      <c r="P16" s="97"/>
      <c r="Q16" s="97"/>
      <c r="R16" s="106"/>
      <c r="S16" s="95"/>
      <c r="T16" s="97"/>
      <c r="U16" s="97"/>
      <c r="V16" s="106"/>
    </row>
    <row r="17" spans="1:22">
      <c r="A17" s="214"/>
      <c r="B17" s="223" t="s">
        <v>155</v>
      </c>
      <c r="C17" s="112">
        <v>3</v>
      </c>
      <c r="D17" s="110">
        <v>3</v>
      </c>
      <c r="E17" s="110">
        <v>3</v>
      </c>
      <c r="F17" s="107">
        <v>3</v>
      </c>
      <c r="G17" s="112">
        <v>3</v>
      </c>
      <c r="H17" s="110">
        <v>3</v>
      </c>
      <c r="I17" s="110">
        <v>3</v>
      </c>
      <c r="J17" s="107">
        <v>3</v>
      </c>
      <c r="K17" s="112">
        <v>3</v>
      </c>
      <c r="L17" s="110">
        <v>3</v>
      </c>
      <c r="M17" s="110">
        <v>3</v>
      </c>
      <c r="N17" s="107">
        <v>3</v>
      </c>
      <c r="O17" s="112">
        <v>3</v>
      </c>
      <c r="P17" s="110">
        <v>3</v>
      </c>
      <c r="Q17" s="110">
        <v>3</v>
      </c>
      <c r="R17" s="107">
        <v>3</v>
      </c>
      <c r="S17" s="112">
        <v>3</v>
      </c>
      <c r="T17" s="110"/>
      <c r="U17" s="110"/>
      <c r="V17" s="107"/>
    </row>
    <row r="18" spans="1:22">
      <c r="A18" s="214"/>
      <c r="B18" s="224"/>
      <c r="C18" s="116"/>
      <c r="D18" s="114"/>
      <c r="E18" s="114"/>
      <c r="F18" s="108"/>
      <c r="G18" s="116"/>
      <c r="H18" s="114"/>
      <c r="I18" s="114"/>
      <c r="J18" s="108"/>
      <c r="K18" s="116"/>
      <c r="L18" s="114"/>
      <c r="M18" s="114"/>
      <c r="N18" s="108"/>
      <c r="O18" s="116"/>
      <c r="P18" s="114"/>
      <c r="Q18" s="114"/>
      <c r="R18" s="108"/>
      <c r="S18" s="116"/>
      <c r="T18" s="114"/>
      <c r="U18" s="114"/>
      <c r="V18" s="108"/>
    </row>
    <row r="19" spans="1:22">
      <c r="A19" s="214"/>
      <c r="B19" s="221" t="s">
        <v>156</v>
      </c>
      <c r="C19" s="94">
        <v>0</v>
      </c>
      <c r="D19" s="96">
        <v>0</v>
      </c>
      <c r="E19" s="96">
        <v>0</v>
      </c>
      <c r="F19" s="105">
        <v>0</v>
      </c>
      <c r="G19" s="94">
        <v>0</v>
      </c>
      <c r="H19" s="96">
        <v>0</v>
      </c>
      <c r="I19" s="96">
        <v>0</v>
      </c>
      <c r="J19" s="105">
        <v>0</v>
      </c>
      <c r="K19" s="94">
        <v>0</v>
      </c>
      <c r="L19" s="96">
        <v>0</v>
      </c>
      <c r="M19" s="96">
        <v>0</v>
      </c>
      <c r="N19" s="105">
        <v>0</v>
      </c>
      <c r="O19" s="94">
        <v>0</v>
      </c>
      <c r="P19" s="96">
        <v>0</v>
      </c>
      <c r="Q19" s="96">
        <v>0</v>
      </c>
      <c r="R19" s="105">
        <v>0</v>
      </c>
      <c r="S19" s="94">
        <v>0</v>
      </c>
      <c r="T19" s="96"/>
      <c r="U19" s="96"/>
      <c r="V19" s="105"/>
    </row>
    <row r="20" spans="1:22">
      <c r="A20" s="214"/>
      <c r="B20" s="222"/>
      <c r="C20" s="95"/>
      <c r="D20" s="97"/>
      <c r="E20" s="97"/>
      <c r="F20" s="106"/>
      <c r="G20" s="95"/>
      <c r="H20" s="97"/>
      <c r="I20" s="97"/>
      <c r="J20" s="106"/>
      <c r="K20" s="95"/>
      <c r="L20" s="97"/>
      <c r="M20" s="97"/>
      <c r="N20" s="106"/>
      <c r="O20" s="95"/>
      <c r="P20" s="97"/>
      <c r="Q20" s="97"/>
      <c r="R20" s="106"/>
      <c r="S20" s="95"/>
      <c r="T20" s="97"/>
      <c r="U20" s="97"/>
      <c r="V20" s="106"/>
    </row>
    <row r="21" spans="1:22">
      <c r="A21" s="214"/>
      <c r="B21" s="220" t="s">
        <v>157</v>
      </c>
      <c r="C21" s="112">
        <v>0</v>
      </c>
      <c r="D21" s="110">
        <v>0</v>
      </c>
      <c r="E21" s="110">
        <v>0</v>
      </c>
      <c r="F21" s="107">
        <v>0</v>
      </c>
      <c r="G21" s="112">
        <v>0</v>
      </c>
      <c r="H21" s="110">
        <v>0</v>
      </c>
      <c r="I21" s="110">
        <v>0</v>
      </c>
      <c r="J21" s="107">
        <v>0</v>
      </c>
      <c r="K21" s="112">
        <v>0</v>
      </c>
      <c r="L21" s="110">
        <v>0</v>
      </c>
      <c r="M21" s="110">
        <v>0</v>
      </c>
      <c r="N21" s="107">
        <v>0</v>
      </c>
      <c r="O21" s="112">
        <v>0</v>
      </c>
      <c r="P21" s="110">
        <v>0</v>
      </c>
      <c r="Q21" s="110">
        <v>0</v>
      </c>
      <c r="R21" s="107">
        <v>0</v>
      </c>
      <c r="S21" s="112">
        <v>0</v>
      </c>
      <c r="T21" s="110"/>
      <c r="U21" s="110"/>
      <c r="V21" s="107"/>
    </row>
    <row r="22" spans="1:22">
      <c r="A22" s="214"/>
      <c r="B22" s="217"/>
      <c r="C22" s="116"/>
      <c r="D22" s="114"/>
      <c r="E22" s="114"/>
      <c r="F22" s="108"/>
      <c r="G22" s="116"/>
      <c r="H22" s="114"/>
      <c r="I22" s="114"/>
      <c r="J22" s="108"/>
      <c r="K22" s="116"/>
      <c r="L22" s="114"/>
      <c r="M22" s="114"/>
      <c r="N22" s="108"/>
      <c r="O22" s="116"/>
      <c r="P22" s="114"/>
      <c r="Q22" s="114"/>
      <c r="R22" s="108"/>
      <c r="S22" s="116"/>
      <c r="T22" s="114"/>
      <c r="U22" s="114"/>
      <c r="V22" s="108"/>
    </row>
    <row r="23" spans="1:22">
      <c r="A23" s="214"/>
      <c r="B23" s="221" t="s">
        <v>158</v>
      </c>
      <c r="C23" s="94">
        <v>0</v>
      </c>
      <c r="D23" s="96">
        <v>0</v>
      </c>
      <c r="E23" s="96">
        <v>0</v>
      </c>
      <c r="F23" s="105">
        <v>0</v>
      </c>
      <c r="G23" s="94">
        <v>0</v>
      </c>
      <c r="H23" s="96">
        <v>0</v>
      </c>
      <c r="I23" s="96">
        <v>0</v>
      </c>
      <c r="J23" s="105">
        <v>0</v>
      </c>
      <c r="K23" s="94">
        <v>0</v>
      </c>
      <c r="L23" s="96">
        <v>0</v>
      </c>
      <c r="M23" s="96">
        <v>0</v>
      </c>
      <c r="N23" s="105">
        <v>0</v>
      </c>
      <c r="O23" s="94">
        <v>0</v>
      </c>
      <c r="P23" s="96">
        <v>0</v>
      </c>
      <c r="Q23" s="96">
        <v>1</v>
      </c>
      <c r="R23" s="105">
        <v>1</v>
      </c>
      <c r="S23" s="94">
        <v>1</v>
      </c>
      <c r="T23" s="96"/>
      <c r="U23" s="96"/>
      <c r="V23" s="105"/>
    </row>
    <row r="24" spans="1:22">
      <c r="A24" s="214"/>
      <c r="B24" s="222"/>
      <c r="C24" s="95"/>
      <c r="D24" s="97"/>
      <c r="E24" s="97"/>
      <c r="F24" s="106"/>
      <c r="G24" s="95"/>
      <c r="H24" s="97"/>
      <c r="I24" s="97"/>
      <c r="J24" s="106"/>
      <c r="K24" s="95"/>
      <c r="L24" s="97"/>
      <c r="M24" s="97"/>
      <c r="N24" s="106"/>
      <c r="O24" s="95"/>
      <c r="P24" s="97"/>
      <c r="Q24" s="97"/>
      <c r="R24" s="106"/>
      <c r="S24" s="95"/>
      <c r="T24" s="97"/>
      <c r="U24" s="97"/>
      <c r="V24" s="106"/>
    </row>
    <row r="25" spans="1:22">
      <c r="A25" s="214"/>
      <c r="B25" s="223" t="s">
        <v>159</v>
      </c>
      <c r="C25" s="112">
        <v>2</v>
      </c>
      <c r="D25" s="110">
        <v>2</v>
      </c>
      <c r="E25" s="110">
        <v>2</v>
      </c>
      <c r="F25" s="107">
        <v>2</v>
      </c>
      <c r="G25" s="112">
        <v>2</v>
      </c>
      <c r="H25" s="110">
        <v>2</v>
      </c>
      <c r="I25" s="110">
        <v>2</v>
      </c>
      <c r="J25" s="107">
        <v>2</v>
      </c>
      <c r="K25" s="112">
        <v>2</v>
      </c>
      <c r="L25" s="110">
        <v>2</v>
      </c>
      <c r="M25" s="110">
        <v>2</v>
      </c>
      <c r="N25" s="107">
        <v>2</v>
      </c>
      <c r="O25" s="112">
        <v>2</v>
      </c>
      <c r="P25" s="110">
        <v>2</v>
      </c>
      <c r="Q25" s="110">
        <v>2</v>
      </c>
      <c r="R25" s="107">
        <v>2</v>
      </c>
      <c r="S25" s="112">
        <v>2</v>
      </c>
      <c r="T25" s="110"/>
      <c r="U25" s="110"/>
      <c r="V25" s="107"/>
    </row>
    <row r="26" spans="1:22">
      <c r="A26" s="214"/>
      <c r="B26" s="224"/>
      <c r="C26" s="116"/>
      <c r="D26" s="114"/>
      <c r="E26" s="114"/>
      <c r="F26" s="108"/>
      <c r="G26" s="116"/>
      <c r="H26" s="114"/>
      <c r="I26" s="114"/>
      <c r="J26" s="108"/>
      <c r="K26" s="116"/>
      <c r="L26" s="114"/>
      <c r="M26" s="114"/>
      <c r="N26" s="108"/>
      <c r="O26" s="116"/>
      <c r="P26" s="114"/>
      <c r="Q26" s="114"/>
      <c r="R26" s="108"/>
      <c r="S26" s="116"/>
      <c r="T26" s="114"/>
      <c r="U26" s="114"/>
      <c r="V26" s="108"/>
    </row>
    <row r="27" spans="1:22">
      <c r="A27" s="214"/>
      <c r="B27" s="221" t="s">
        <v>160</v>
      </c>
      <c r="C27" s="94">
        <v>4</v>
      </c>
      <c r="D27" s="96">
        <v>4</v>
      </c>
      <c r="E27" s="96">
        <v>4</v>
      </c>
      <c r="F27" s="105">
        <v>4</v>
      </c>
      <c r="G27" s="94">
        <v>4</v>
      </c>
      <c r="H27" s="96">
        <v>4</v>
      </c>
      <c r="I27" s="96">
        <v>4</v>
      </c>
      <c r="J27" s="105">
        <v>4</v>
      </c>
      <c r="K27" s="94">
        <v>4</v>
      </c>
      <c r="L27" s="96">
        <v>4</v>
      </c>
      <c r="M27" s="96">
        <v>4</v>
      </c>
      <c r="N27" s="105">
        <v>4</v>
      </c>
      <c r="O27" s="94">
        <v>4</v>
      </c>
      <c r="P27" s="96">
        <v>4</v>
      </c>
      <c r="Q27" s="96">
        <v>4</v>
      </c>
      <c r="R27" s="105">
        <v>4</v>
      </c>
      <c r="S27" s="94">
        <v>4</v>
      </c>
      <c r="T27" s="96"/>
      <c r="U27" s="96"/>
      <c r="V27" s="105"/>
    </row>
    <row r="28" spans="1:22">
      <c r="A28" s="214"/>
      <c r="B28" s="222"/>
      <c r="C28" s="95"/>
      <c r="D28" s="97"/>
      <c r="E28" s="97"/>
      <c r="F28" s="106"/>
      <c r="G28" s="95"/>
      <c r="H28" s="97"/>
      <c r="I28" s="97"/>
      <c r="J28" s="106"/>
      <c r="K28" s="95"/>
      <c r="L28" s="97"/>
      <c r="M28" s="97"/>
      <c r="N28" s="106"/>
      <c r="O28" s="95"/>
      <c r="P28" s="97"/>
      <c r="Q28" s="97"/>
      <c r="R28" s="106"/>
      <c r="S28" s="95"/>
      <c r="T28" s="97"/>
      <c r="U28" s="97"/>
      <c r="V28" s="106"/>
    </row>
    <row r="29" spans="1:22">
      <c r="A29" s="214"/>
      <c r="B29" s="225" t="s">
        <v>161</v>
      </c>
      <c r="C29" s="112">
        <v>3</v>
      </c>
      <c r="D29" s="110">
        <v>3</v>
      </c>
      <c r="E29" s="110">
        <v>3</v>
      </c>
      <c r="F29" s="107">
        <v>3</v>
      </c>
      <c r="G29" s="112">
        <v>3</v>
      </c>
      <c r="H29" s="110">
        <v>3</v>
      </c>
      <c r="I29" s="110">
        <v>3</v>
      </c>
      <c r="J29" s="107">
        <v>3</v>
      </c>
      <c r="K29" s="112">
        <v>3</v>
      </c>
      <c r="L29" s="110">
        <v>3</v>
      </c>
      <c r="M29" s="110">
        <v>3</v>
      </c>
      <c r="N29" s="107">
        <v>3</v>
      </c>
      <c r="O29" s="112">
        <v>3</v>
      </c>
      <c r="P29" s="110">
        <v>3</v>
      </c>
      <c r="Q29" s="110">
        <v>4</v>
      </c>
      <c r="R29" s="107">
        <v>4</v>
      </c>
      <c r="S29" s="112">
        <v>4</v>
      </c>
      <c r="T29" s="110"/>
      <c r="U29" s="110"/>
      <c r="V29" s="107"/>
    </row>
    <row r="30" spans="1:22">
      <c r="A30" s="214"/>
      <c r="B30" s="226"/>
      <c r="C30" s="116"/>
      <c r="D30" s="114"/>
      <c r="E30" s="114"/>
      <c r="F30" s="108"/>
      <c r="G30" s="116"/>
      <c r="H30" s="114"/>
      <c r="I30" s="114"/>
      <c r="J30" s="108"/>
      <c r="K30" s="116"/>
      <c r="L30" s="114"/>
      <c r="M30" s="114"/>
      <c r="N30" s="108"/>
      <c r="O30" s="116"/>
      <c r="P30" s="114"/>
      <c r="Q30" s="114"/>
      <c r="R30" s="108"/>
      <c r="S30" s="116"/>
      <c r="T30" s="114"/>
      <c r="U30" s="114"/>
      <c r="V30" s="108"/>
    </row>
    <row r="31" spans="1:22">
      <c r="A31" s="214"/>
      <c r="B31" s="221" t="s">
        <v>165</v>
      </c>
      <c r="C31" s="94">
        <v>0</v>
      </c>
      <c r="D31" s="96">
        <v>0</v>
      </c>
      <c r="E31" s="96">
        <v>0</v>
      </c>
      <c r="F31" s="105">
        <v>0</v>
      </c>
      <c r="G31" s="94">
        <v>0</v>
      </c>
      <c r="H31" s="96">
        <v>0</v>
      </c>
      <c r="I31" s="96">
        <v>0</v>
      </c>
      <c r="J31" s="105">
        <v>0</v>
      </c>
      <c r="K31" s="94">
        <v>0</v>
      </c>
      <c r="L31" s="96">
        <v>0</v>
      </c>
      <c r="M31" s="96">
        <v>0</v>
      </c>
      <c r="N31" s="105">
        <v>0</v>
      </c>
      <c r="O31" s="94">
        <v>0</v>
      </c>
      <c r="P31" s="96">
        <v>0</v>
      </c>
      <c r="Q31" s="96">
        <v>1</v>
      </c>
      <c r="R31" s="105">
        <v>1</v>
      </c>
      <c r="S31" s="94">
        <v>1</v>
      </c>
      <c r="T31" s="96"/>
      <c r="U31" s="96"/>
      <c r="V31" s="105"/>
    </row>
    <row r="32" spans="1:22">
      <c r="A32" s="214"/>
      <c r="B32" s="222"/>
      <c r="C32" s="95"/>
      <c r="D32" s="97"/>
      <c r="E32" s="97"/>
      <c r="F32" s="106"/>
      <c r="G32" s="95"/>
      <c r="H32" s="97"/>
      <c r="I32" s="97"/>
      <c r="J32" s="106"/>
      <c r="K32" s="95"/>
      <c r="L32" s="97"/>
      <c r="M32" s="97"/>
      <c r="N32" s="106"/>
      <c r="O32" s="95"/>
      <c r="P32" s="97"/>
      <c r="Q32" s="97"/>
      <c r="R32" s="106"/>
      <c r="S32" s="95"/>
      <c r="T32" s="97"/>
      <c r="U32" s="97"/>
      <c r="V32" s="106"/>
    </row>
    <row r="33" spans="1:22">
      <c r="A33" s="214"/>
      <c r="B33" s="223" t="s">
        <v>162</v>
      </c>
      <c r="C33" s="112">
        <v>3</v>
      </c>
      <c r="D33" s="110">
        <v>3</v>
      </c>
      <c r="E33" s="110">
        <v>3</v>
      </c>
      <c r="F33" s="107">
        <v>3</v>
      </c>
      <c r="G33" s="112">
        <v>3</v>
      </c>
      <c r="H33" s="110">
        <v>3</v>
      </c>
      <c r="I33" s="110">
        <v>3</v>
      </c>
      <c r="J33" s="107">
        <v>3</v>
      </c>
      <c r="K33" s="112">
        <v>3</v>
      </c>
      <c r="L33" s="110">
        <v>3</v>
      </c>
      <c r="M33" s="110">
        <v>3</v>
      </c>
      <c r="N33" s="107">
        <v>3</v>
      </c>
      <c r="O33" s="112">
        <v>3</v>
      </c>
      <c r="P33" s="110">
        <v>3</v>
      </c>
      <c r="Q33" s="110">
        <v>3</v>
      </c>
      <c r="R33" s="107">
        <v>3</v>
      </c>
      <c r="S33" s="112">
        <v>3</v>
      </c>
      <c r="T33" s="110"/>
      <c r="U33" s="110"/>
      <c r="V33" s="107"/>
    </row>
    <row r="34" spans="1:22" ht="15.75" thickBot="1">
      <c r="A34" s="215"/>
      <c r="B34" s="224"/>
      <c r="C34" s="117"/>
      <c r="D34" s="111"/>
      <c r="E34" s="111"/>
      <c r="F34" s="98"/>
      <c r="G34" s="117"/>
      <c r="H34" s="111"/>
      <c r="I34" s="111"/>
      <c r="J34" s="98"/>
      <c r="K34" s="117"/>
      <c r="L34" s="111"/>
      <c r="M34" s="111"/>
      <c r="N34" s="98"/>
      <c r="O34" s="117"/>
      <c r="P34" s="111"/>
      <c r="Q34" s="111"/>
      <c r="R34" s="98"/>
      <c r="S34" s="117"/>
      <c r="T34" s="111"/>
      <c r="U34" s="111"/>
      <c r="V34" s="98"/>
    </row>
    <row r="35" spans="1:22" ht="14.25" customHeight="1">
      <c r="A35" s="213" t="s">
        <v>144</v>
      </c>
      <c r="B35" s="216" t="s">
        <v>145</v>
      </c>
      <c r="C35" s="115">
        <v>3</v>
      </c>
      <c r="D35" s="113">
        <v>3</v>
      </c>
      <c r="E35" s="113">
        <v>3</v>
      </c>
      <c r="F35" s="109">
        <v>3</v>
      </c>
      <c r="G35" s="115">
        <v>3</v>
      </c>
      <c r="H35" s="113">
        <v>3</v>
      </c>
      <c r="I35" s="113">
        <v>3</v>
      </c>
      <c r="J35" s="109">
        <v>3</v>
      </c>
      <c r="K35" s="115">
        <v>3</v>
      </c>
      <c r="L35" s="113">
        <v>3</v>
      </c>
      <c r="M35" s="113">
        <v>3</v>
      </c>
      <c r="N35" s="109">
        <v>3</v>
      </c>
      <c r="O35" s="115">
        <v>3</v>
      </c>
      <c r="P35" s="113">
        <v>3</v>
      </c>
      <c r="Q35" s="113">
        <v>3</v>
      </c>
      <c r="R35" s="109">
        <v>3</v>
      </c>
      <c r="S35" s="115">
        <v>3</v>
      </c>
      <c r="T35" s="113"/>
      <c r="U35" s="113"/>
      <c r="V35" s="109"/>
    </row>
    <row r="36" spans="1:22">
      <c r="A36" s="214"/>
      <c r="B36" s="217"/>
      <c r="C36" s="116"/>
      <c r="D36" s="114"/>
      <c r="E36" s="114"/>
      <c r="F36" s="108"/>
      <c r="G36" s="116"/>
      <c r="H36" s="114"/>
      <c r="I36" s="114"/>
      <c r="J36" s="108"/>
      <c r="K36" s="116"/>
      <c r="L36" s="114"/>
      <c r="M36" s="114"/>
      <c r="N36" s="108"/>
      <c r="O36" s="116"/>
      <c r="P36" s="114"/>
      <c r="Q36" s="114"/>
      <c r="R36" s="108"/>
      <c r="S36" s="116"/>
      <c r="T36" s="114"/>
      <c r="U36" s="114"/>
      <c r="V36" s="108"/>
    </row>
    <row r="37" spans="1:22">
      <c r="A37" s="214"/>
      <c r="B37" s="218" t="s">
        <v>146</v>
      </c>
      <c r="C37" s="94">
        <v>2</v>
      </c>
      <c r="D37" s="96">
        <v>2</v>
      </c>
      <c r="E37" s="96">
        <v>2</v>
      </c>
      <c r="F37" s="105">
        <v>2</v>
      </c>
      <c r="G37" s="94">
        <v>2</v>
      </c>
      <c r="H37" s="96">
        <v>2</v>
      </c>
      <c r="I37" s="96">
        <v>2</v>
      </c>
      <c r="J37" s="105">
        <v>2</v>
      </c>
      <c r="K37" s="94">
        <v>2</v>
      </c>
      <c r="L37" s="96">
        <v>2</v>
      </c>
      <c r="M37" s="96">
        <v>2</v>
      </c>
      <c r="N37" s="105">
        <v>2</v>
      </c>
      <c r="O37" s="94">
        <v>2</v>
      </c>
      <c r="P37" s="96">
        <v>3</v>
      </c>
      <c r="Q37" s="96">
        <v>3</v>
      </c>
      <c r="R37" s="105">
        <v>3</v>
      </c>
      <c r="S37" s="94">
        <v>3</v>
      </c>
      <c r="T37" s="96"/>
      <c r="U37" s="96"/>
      <c r="V37" s="105"/>
    </row>
    <row r="38" spans="1:22">
      <c r="A38" s="214"/>
      <c r="B38" s="219"/>
      <c r="C38" s="95"/>
      <c r="D38" s="97"/>
      <c r="E38" s="97"/>
      <c r="F38" s="106"/>
      <c r="G38" s="95"/>
      <c r="H38" s="97"/>
      <c r="I38" s="97"/>
      <c r="J38" s="106"/>
      <c r="K38" s="95"/>
      <c r="L38" s="97"/>
      <c r="M38" s="97"/>
      <c r="N38" s="106"/>
      <c r="O38" s="95"/>
      <c r="P38" s="97"/>
      <c r="Q38" s="97"/>
      <c r="R38" s="106"/>
      <c r="S38" s="95"/>
      <c r="T38" s="97"/>
      <c r="U38" s="97"/>
      <c r="V38" s="106"/>
    </row>
    <row r="39" spans="1:22">
      <c r="A39" s="214"/>
      <c r="B39" s="220" t="s">
        <v>147</v>
      </c>
      <c r="C39" s="112">
        <v>2</v>
      </c>
      <c r="D39" s="110">
        <v>2</v>
      </c>
      <c r="E39" s="110">
        <v>2</v>
      </c>
      <c r="F39" s="107">
        <v>2</v>
      </c>
      <c r="G39" s="112">
        <v>2</v>
      </c>
      <c r="H39" s="110">
        <v>2</v>
      </c>
      <c r="I39" s="110">
        <v>2</v>
      </c>
      <c r="J39" s="107">
        <v>2</v>
      </c>
      <c r="K39" s="112">
        <v>2</v>
      </c>
      <c r="L39" s="110">
        <v>2</v>
      </c>
      <c r="M39" s="110">
        <v>2</v>
      </c>
      <c r="N39" s="107">
        <v>2</v>
      </c>
      <c r="O39" s="112">
        <v>2</v>
      </c>
      <c r="P39" s="110">
        <v>3</v>
      </c>
      <c r="Q39" s="110">
        <v>3</v>
      </c>
      <c r="R39" s="107">
        <v>3</v>
      </c>
      <c r="S39" s="112">
        <v>3</v>
      </c>
      <c r="T39" s="110"/>
      <c r="U39" s="110"/>
      <c r="V39" s="107"/>
    </row>
    <row r="40" spans="1:22">
      <c r="A40" s="214"/>
      <c r="B40" s="217"/>
      <c r="C40" s="116"/>
      <c r="D40" s="114"/>
      <c r="E40" s="114"/>
      <c r="F40" s="108"/>
      <c r="G40" s="116"/>
      <c r="H40" s="114"/>
      <c r="I40" s="114"/>
      <c r="J40" s="108"/>
      <c r="K40" s="116"/>
      <c r="L40" s="114"/>
      <c r="M40" s="114"/>
      <c r="N40" s="108"/>
      <c r="O40" s="116"/>
      <c r="P40" s="114"/>
      <c r="Q40" s="114"/>
      <c r="R40" s="108"/>
      <c r="S40" s="116"/>
      <c r="T40" s="114"/>
      <c r="U40" s="114"/>
      <c r="V40" s="108"/>
    </row>
    <row r="41" spans="1:22">
      <c r="A41" s="214"/>
      <c r="B41" s="221" t="s">
        <v>153</v>
      </c>
      <c r="C41" s="94">
        <v>4</v>
      </c>
      <c r="D41" s="96">
        <v>4</v>
      </c>
      <c r="E41" s="96">
        <v>4</v>
      </c>
      <c r="F41" s="105">
        <v>4</v>
      </c>
      <c r="G41" s="94">
        <v>4</v>
      </c>
      <c r="H41" s="96">
        <v>4</v>
      </c>
      <c r="I41" s="96">
        <v>4</v>
      </c>
      <c r="J41" s="105">
        <v>4</v>
      </c>
      <c r="K41" s="94">
        <v>4</v>
      </c>
      <c r="L41" s="96">
        <v>4</v>
      </c>
      <c r="M41" s="96">
        <v>4</v>
      </c>
      <c r="N41" s="105">
        <v>4</v>
      </c>
      <c r="O41" s="94">
        <v>4</v>
      </c>
      <c r="P41" s="96">
        <v>4</v>
      </c>
      <c r="Q41" s="96">
        <v>4</v>
      </c>
      <c r="R41" s="105">
        <v>4</v>
      </c>
      <c r="S41" s="94">
        <v>4</v>
      </c>
      <c r="T41" s="96"/>
      <c r="U41" s="96"/>
      <c r="V41" s="105"/>
    </row>
    <row r="42" spans="1:22">
      <c r="A42" s="214"/>
      <c r="B42" s="222"/>
      <c r="C42" s="95"/>
      <c r="D42" s="97"/>
      <c r="E42" s="97"/>
      <c r="F42" s="106"/>
      <c r="G42" s="95"/>
      <c r="H42" s="97"/>
      <c r="I42" s="97"/>
      <c r="J42" s="106"/>
      <c r="K42" s="95"/>
      <c r="L42" s="97"/>
      <c r="M42" s="97"/>
      <c r="N42" s="106"/>
      <c r="O42" s="95"/>
      <c r="P42" s="97"/>
      <c r="Q42" s="97"/>
      <c r="R42" s="106"/>
      <c r="S42" s="95"/>
      <c r="T42" s="97"/>
      <c r="U42" s="97"/>
      <c r="V42" s="106"/>
    </row>
    <row r="43" spans="1:22">
      <c r="A43" s="214"/>
      <c r="B43" s="220" t="s">
        <v>148</v>
      </c>
      <c r="C43" s="112">
        <v>3</v>
      </c>
      <c r="D43" s="110">
        <v>3</v>
      </c>
      <c r="E43" s="110">
        <v>3</v>
      </c>
      <c r="F43" s="107">
        <v>3</v>
      </c>
      <c r="G43" s="112">
        <v>3</v>
      </c>
      <c r="H43" s="110">
        <v>3</v>
      </c>
      <c r="I43" s="110">
        <v>3</v>
      </c>
      <c r="J43" s="107">
        <v>3</v>
      </c>
      <c r="K43" s="112">
        <v>3</v>
      </c>
      <c r="L43" s="110">
        <v>3</v>
      </c>
      <c r="M43" s="110">
        <v>3</v>
      </c>
      <c r="N43" s="107">
        <v>3</v>
      </c>
      <c r="O43" s="112">
        <v>3</v>
      </c>
      <c r="P43" s="110">
        <v>4</v>
      </c>
      <c r="Q43" s="110">
        <v>4</v>
      </c>
      <c r="R43" s="107">
        <v>4</v>
      </c>
      <c r="S43" s="112">
        <v>4</v>
      </c>
      <c r="T43" s="110"/>
      <c r="U43" s="110"/>
      <c r="V43" s="107"/>
    </row>
    <row r="44" spans="1:22">
      <c r="A44" s="214"/>
      <c r="B44" s="217"/>
      <c r="C44" s="116"/>
      <c r="D44" s="114"/>
      <c r="E44" s="114"/>
      <c r="F44" s="108"/>
      <c r="G44" s="116"/>
      <c r="H44" s="114"/>
      <c r="I44" s="114"/>
      <c r="J44" s="108"/>
      <c r="K44" s="116"/>
      <c r="L44" s="114"/>
      <c r="M44" s="114"/>
      <c r="N44" s="108"/>
      <c r="O44" s="116"/>
      <c r="P44" s="114"/>
      <c r="Q44" s="114"/>
      <c r="R44" s="108"/>
      <c r="S44" s="116"/>
      <c r="T44" s="114"/>
      <c r="U44" s="114"/>
      <c r="V44" s="108"/>
    </row>
    <row r="45" spans="1:22">
      <c r="A45" s="214"/>
      <c r="B45" s="221" t="s">
        <v>149</v>
      </c>
      <c r="C45" s="94">
        <v>3</v>
      </c>
      <c r="D45" s="96">
        <v>3</v>
      </c>
      <c r="E45" s="96">
        <v>3</v>
      </c>
      <c r="F45" s="105">
        <v>3</v>
      </c>
      <c r="G45" s="94">
        <v>3</v>
      </c>
      <c r="H45" s="96">
        <v>3</v>
      </c>
      <c r="I45" s="96">
        <v>3</v>
      </c>
      <c r="J45" s="105">
        <v>3</v>
      </c>
      <c r="K45" s="94">
        <v>3</v>
      </c>
      <c r="L45" s="96">
        <v>3</v>
      </c>
      <c r="M45" s="96">
        <v>3</v>
      </c>
      <c r="N45" s="105">
        <v>3</v>
      </c>
      <c r="O45" s="94">
        <v>3</v>
      </c>
      <c r="P45" s="96">
        <v>3</v>
      </c>
      <c r="Q45" s="96">
        <v>3</v>
      </c>
      <c r="R45" s="105">
        <v>3</v>
      </c>
      <c r="S45" s="94">
        <v>3</v>
      </c>
      <c r="T45" s="96"/>
      <c r="U45" s="96"/>
      <c r="V45" s="105"/>
    </row>
    <row r="46" spans="1:22">
      <c r="A46" s="214"/>
      <c r="B46" s="222"/>
      <c r="C46" s="95"/>
      <c r="D46" s="97"/>
      <c r="E46" s="97"/>
      <c r="F46" s="106"/>
      <c r="G46" s="95"/>
      <c r="H46" s="97"/>
      <c r="I46" s="97"/>
      <c r="J46" s="106"/>
      <c r="K46" s="95"/>
      <c r="L46" s="97"/>
      <c r="M46" s="97"/>
      <c r="N46" s="106"/>
      <c r="O46" s="95"/>
      <c r="P46" s="97"/>
      <c r="Q46" s="97"/>
      <c r="R46" s="106"/>
      <c r="S46" s="95"/>
      <c r="T46" s="97"/>
      <c r="U46" s="97"/>
      <c r="V46" s="106"/>
    </row>
    <row r="47" spans="1:22">
      <c r="A47" s="214"/>
      <c r="B47" s="223" t="s">
        <v>150</v>
      </c>
      <c r="C47" s="112">
        <v>3</v>
      </c>
      <c r="D47" s="110">
        <v>3</v>
      </c>
      <c r="E47" s="110">
        <v>3</v>
      </c>
      <c r="F47" s="107">
        <v>3</v>
      </c>
      <c r="G47" s="112">
        <v>3</v>
      </c>
      <c r="H47" s="110">
        <v>3</v>
      </c>
      <c r="I47" s="110">
        <v>3</v>
      </c>
      <c r="J47" s="107">
        <v>3</v>
      </c>
      <c r="K47" s="112">
        <v>3</v>
      </c>
      <c r="L47" s="110">
        <v>3</v>
      </c>
      <c r="M47" s="110">
        <v>3</v>
      </c>
      <c r="N47" s="107">
        <v>3</v>
      </c>
      <c r="O47" s="112">
        <v>3</v>
      </c>
      <c r="P47" s="110">
        <v>3</v>
      </c>
      <c r="Q47" s="110">
        <v>4</v>
      </c>
      <c r="R47" s="107">
        <v>4</v>
      </c>
      <c r="S47" s="112">
        <v>4</v>
      </c>
      <c r="T47" s="110"/>
      <c r="U47" s="110"/>
      <c r="V47" s="107"/>
    </row>
    <row r="48" spans="1:22">
      <c r="A48" s="214"/>
      <c r="B48" s="224"/>
      <c r="C48" s="116"/>
      <c r="D48" s="114"/>
      <c r="E48" s="114"/>
      <c r="F48" s="108"/>
      <c r="G48" s="116"/>
      <c r="H48" s="114"/>
      <c r="I48" s="114"/>
      <c r="J48" s="108"/>
      <c r="K48" s="116"/>
      <c r="L48" s="114"/>
      <c r="M48" s="114"/>
      <c r="N48" s="108"/>
      <c r="O48" s="116"/>
      <c r="P48" s="114"/>
      <c r="Q48" s="114"/>
      <c r="R48" s="108"/>
      <c r="S48" s="116"/>
      <c r="T48" s="114"/>
      <c r="U48" s="114"/>
      <c r="V48" s="108"/>
    </row>
    <row r="49" spans="1:22">
      <c r="A49" s="214"/>
      <c r="B49" s="221" t="s">
        <v>151</v>
      </c>
      <c r="C49" s="94">
        <v>2</v>
      </c>
      <c r="D49" s="96">
        <v>2</v>
      </c>
      <c r="E49" s="96">
        <v>2</v>
      </c>
      <c r="F49" s="105">
        <v>2</v>
      </c>
      <c r="G49" s="94">
        <v>2</v>
      </c>
      <c r="H49" s="96">
        <v>2</v>
      </c>
      <c r="I49" s="96">
        <v>2</v>
      </c>
      <c r="J49" s="105">
        <v>2</v>
      </c>
      <c r="K49" s="94">
        <v>2</v>
      </c>
      <c r="L49" s="96">
        <v>2</v>
      </c>
      <c r="M49" s="96">
        <v>2</v>
      </c>
      <c r="N49" s="105">
        <v>2</v>
      </c>
      <c r="O49" s="94">
        <v>2</v>
      </c>
      <c r="P49" s="96">
        <v>2</v>
      </c>
      <c r="Q49" s="96">
        <v>2</v>
      </c>
      <c r="R49" s="105">
        <v>3</v>
      </c>
      <c r="S49" s="94">
        <v>3</v>
      </c>
      <c r="T49" s="96"/>
      <c r="U49" s="96"/>
      <c r="V49" s="105"/>
    </row>
    <row r="50" spans="1:22">
      <c r="A50" s="214"/>
      <c r="B50" s="222"/>
      <c r="C50" s="95"/>
      <c r="D50" s="97"/>
      <c r="E50" s="97"/>
      <c r="F50" s="106"/>
      <c r="G50" s="95"/>
      <c r="H50" s="97"/>
      <c r="I50" s="97"/>
      <c r="J50" s="106"/>
      <c r="K50" s="95"/>
      <c r="L50" s="97"/>
      <c r="M50" s="97"/>
      <c r="N50" s="106"/>
      <c r="O50" s="95"/>
      <c r="P50" s="97"/>
      <c r="Q50" s="97"/>
      <c r="R50" s="106"/>
      <c r="S50" s="95"/>
      <c r="T50" s="97"/>
      <c r="U50" s="97"/>
      <c r="V50" s="106"/>
    </row>
    <row r="51" spans="1:22">
      <c r="A51" s="214"/>
      <c r="B51" s="225" t="s">
        <v>163</v>
      </c>
      <c r="C51" s="112">
        <v>2</v>
      </c>
      <c r="D51" s="110">
        <v>2</v>
      </c>
      <c r="E51" s="110">
        <v>2</v>
      </c>
      <c r="F51" s="107">
        <v>2</v>
      </c>
      <c r="G51" s="112">
        <v>2</v>
      </c>
      <c r="H51" s="110">
        <v>2</v>
      </c>
      <c r="I51" s="110">
        <v>2</v>
      </c>
      <c r="J51" s="107">
        <v>2</v>
      </c>
      <c r="K51" s="112">
        <v>2</v>
      </c>
      <c r="L51" s="110">
        <v>2</v>
      </c>
      <c r="M51" s="110">
        <v>2</v>
      </c>
      <c r="N51" s="107">
        <v>2</v>
      </c>
      <c r="O51" s="112">
        <v>2</v>
      </c>
      <c r="P51" s="110">
        <v>2</v>
      </c>
      <c r="Q51" s="110">
        <v>3</v>
      </c>
      <c r="R51" s="107">
        <v>3</v>
      </c>
      <c r="S51" s="112">
        <v>3</v>
      </c>
      <c r="T51" s="110"/>
      <c r="U51" s="110"/>
      <c r="V51" s="107"/>
    </row>
    <row r="52" spans="1:22">
      <c r="A52" s="214"/>
      <c r="B52" s="226"/>
      <c r="C52" s="116"/>
      <c r="D52" s="114"/>
      <c r="E52" s="114"/>
      <c r="F52" s="108"/>
      <c r="G52" s="116"/>
      <c r="H52" s="114"/>
      <c r="I52" s="114"/>
      <c r="J52" s="108"/>
      <c r="K52" s="116"/>
      <c r="L52" s="114"/>
      <c r="M52" s="114"/>
      <c r="N52" s="108"/>
      <c r="O52" s="116"/>
      <c r="P52" s="114"/>
      <c r="Q52" s="114"/>
      <c r="R52" s="108"/>
      <c r="S52" s="116"/>
      <c r="T52" s="114"/>
      <c r="U52" s="114"/>
      <c r="V52" s="108"/>
    </row>
    <row r="53" spans="1:22">
      <c r="A53" s="214"/>
      <c r="B53" s="221" t="s">
        <v>152</v>
      </c>
      <c r="C53" s="94">
        <v>4</v>
      </c>
      <c r="D53" s="96">
        <v>4</v>
      </c>
      <c r="E53" s="96">
        <v>4</v>
      </c>
      <c r="F53" s="105">
        <v>4</v>
      </c>
      <c r="G53" s="94">
        <v>4</v>
      </c>
      <c r="H53" s="96">
        <v>4</v>
      </c>
      <c r="I53" s="96">
        <v>4</v>
      </c>
      <c r="J53" s="105">
        <v>4</v>
      </c>
      <c r="K53" s="94">
        <v>4</v>
      </c>
      <c r="L53" s="96">
        <v>4</v>
      </c>
      <c r="M53" s="96">
        <v>4</v>
      </c>
      <c r="N53" s="105">
        <v>4</v>
      </c>
      <c r="O53" s="94">
        <v>4</v>
      </c>
      <c r="P53" s="96">
        <v>4</v>
      </c>
      <c r="Q53" s="96">
        <v>4</v>
      </c>
      <c r="R53" s="105">
        <v>4</v>
      </c>
      <c r="S53" s="94">
        <v>4</v>
      </c>
      <c r="T53" s="96"/>
      <c r="U53" s="96"/>
      <c r="V53" s="105"/>
    </row>
    <row r="54" spans="1:22">
      <c r="A54" s="214"/>
      <c r="B54" s="222"/>
      <c r="C54" s="95"/>
      <c r="D54" s="97"/>
      <c r="E54" s="97"/>
      <c r="F54" s="106"/>
      <c r="G54" s="95"/>
      <c r="H54" s="97"/>
      <c r="I54" s="97"/>
      <c r="J54" s="106"/>
      <c r="K54" s="95"/>
      <c r="L54" s="97"/>
      <c r="M54" s="97"/>
      <c r="N54" s="106"/>
      <c r="O54" s="95"/>
      <c r="P54" s="97"/>
      <c r="Q54" s="97"/>
      <c r="R54" s="106"/>
      <c r="S54" s="95"/>
      <c r="T54" s="97"/>
      <c r="U54" s="97"/>
      <c r="V54" s="106"/>
    </row>
    <row r="55" spans="1:22">
      <c r="A55" s="214"/>
      <c r="B55" s="223" t="s">
        <v>164</v>
      </c>
      <c r="C55" s="112">
        <v>3</v>
      </c>
      <c r="D55" s="110">
        <v>3</v>
      </c>
      <c r="E55" s="110">
        <v>3</v>
      </c>
      <c r="F55" s="107">
        <v>3</v>
      </c>
      <c r="G55" s="112">
        <v>3</v>
      </c>
      <c r="H55" s="110">
        <v>3</v>
      </c>
      <c r="I55" s="110">
        <v>3</v>
      </c>
      <c r="J55" s="107">
        <v>3</v>
      </c>
      <c r="K55" s="112">
        <v>3</v>
      </c>
      <c r="L55" s="110">
        <v>3</v>
      </c>
      <c r="M55" s="110">
        <v>3</v>
      </c>
      <c r="N55" s="107">
        <v>3</v>
      </c>
      <c r="O55" s="112">
        <v>3</v>
      </c>
      <c r="P55" s="110">
        <v>2</v>
      </c>
      <c r="Q55" s="110">
        <v>2</v>
      </c>
      <c r="R55" s="107">
        <v>3</v>
      </c>
      <c r="S55" s="112">
        <v>3</v>
      </c>
      <c r="T55" s="110"/>
      <c r="U55" s="110"/>
      <c r="V55" s="107"/>
    </row>
    <row r="56" spans="1:22" ht="15.75" thickBot="1">
      <c r="A56" s="215"/>
      <c r="B56" s="224"/>
      <c r="C56" s="117"/>
      <c r="D56" s="111"/>
      <c r="E56" s="111"/>
      <c r="F56" s="98"/>
      <c r="G56" s="117"/>
      <c r="H56" s="111"/>
      <c r="I56" s="111"/>
      <c r="J56" s="98"/>
      <c r="K56" s="117"/>
      <c r="L56" s="111"/>
      <c r="M56" s="111"/>
      <c r="N56" s="98"/>
      <c r="O56" s="117"/>
      <c r="P56" s="111"/>
      <c r="Q56" s="111"/>
      <c r="R56" s="98"/>
      <c r="S56" s="117"/>
      <c r="T56" s="111"/>
      <c r="U56" s="111"/>
      <c r="V56" s="98"/>
    </row>
    <row r="57" spans="1:22" ht="14.25" customHeight="1">
      <c r="A57" s="227" t="s">
        <v>131</v>
      </c>
      <c r="B57" s="230" t="s">
        <v>137</v>
      </c>
      <c r="C57" s="115">
        <v>0</v>
      </c>
      <c r="D57" s="113">
        <v>0</v>
      </c>
      <c r="E57" s="113">
        <v>0</v>
      </c>
      <c r="F57" s="109">
        <v>0</v>
      </c>
      <c r="G57" s="115">
        <v>0</v>
      </c>
      <c r="H57" s="113">
        <v>0</v>
      </c>
      <c r="I57" s="113">
        <v>0</v>
      </c>
      <c r="J57" s="109">
        <v>0</v>
      </c>
      <c r="K57" s="115">
        <v>0</v>
      </c>
      <c r="L57" s="113">
        <v>0</v>
      </c>
      <c r="M57" s="113">
        <v>0</v>
      </c>
      <c r="N57" s="109">
        <v>0</v>
      </c>
      <c r="O57" s="115">
        <v>0</v>
      </c>
      <c r="P57" s="113">
        <v>0</v>
      </c>
      <c r="Q57" s="113">
        <v>0</v>
      </c>
      <c r="R57" s="109">
        <v>0</v>
      </c>
      <c r="S57" s="115">
        <v>0</v>
      </c>
      <c r="T57" s="113"/>
      <c r="U57" s="113"/>
      <c r="V57" s="109"/>
    </row>
    <row r="58" spans="1:22">
      <c r="A58" s="228"/>
      <c r="B58" s="231"/>
      <c r="C58" s="116"/>
      <c r="D58" s="114"/>
      <c r="E58" s="114"/>
      <c r="F58" s="108"/>
      <c r="G58" s="116"/>
      <c r="H58" s="114"/>
      <c r="I58" s="114"/>
      <c r="J58" s="108"/>
      <c r="K58" s="116"/>
      <c r="L58" s="114"/>
      <c r="M58" s="114"/>
      <c r="N58" s="108"/>
      <c r="O58" s="116"/>
      <c r="P58" s="114"/>
      <c r="Q58" s="114"/>
      <c r="R58" s="108"/>
      <c r="S58" s="116"/>
      <c r="T58" s="114"/>
      <c r="U58" s="114"/>
      <c r="V58" s="108"/>
    </row>
    <row r="59" spans="1:22">
      <c r="A59" s="228"/>
      <c r="B59" s="232" t="s">
        <v>132</v>
      </c>
      <c r="C59" s="94">
        <v>0</v>
      </c>
      <c r="D59" s="96">
        <v>0</v>
      </c>
      <c r="E59" s="96">
        <v>0</v>
      </c>
      <c r="F59" s="105">
        <v>0</v>
      </c>
      <c r="G59" s="94">
        <v>0</v>
      </c>
      <c r="H59" s="96">
        <v>0</v>
      </c>
      <c r="I59" s="96">
        <v>0</v>
      </c>
      <c r="J59" s="105">
        <v>0</v>
      </c>
      <c r="K59" s="94">
        <v>0</v>
      </c>
      <c r="L59" s="96">
        <v>0</v>
      </c>
      <c r="M59" s="96">
        <v>0</v>
      </c>
      <c r="N59" s="105">
        <v>0</v>
      </c>
      <c r="O59" s="94">
        <v>0</v>
      </c>
      <c r="P59" s="96">
        <v>0</v>
      </c>
      <c r="Q59" s="96">
        <v>0</v>
      </c>
      <c r="R59" s="105">
        <v>0</v>
      </c>
      <c r="S59" s="94">
        <v>0</v>
      </c>
      <c r="T59" s="96"/>
      <c r="U59" s="96"/>
      <c r="V59" s="105"/>
    </row>
    <row r="60" spans="1:22">
      <c r="A60" s="228"/>
      <c r="B60" s="233"/>
      <c r="C60" s="95"/>
      <c r="D60" s="97"/>
      <c r="E60" s="97"/>
      <c r="F60" s="106"/>
      <c r="G60" s="95"/>
      <c r="H60" s="97"/>
      <c r="I60" s="97"/>
      <c r="J60" s="106"/>
      <c r="K60" s="95"/>
      <c r="L60" s="97"/>
      <c r="M60" s="97"/>
      <c r="N60" s="106"/>
      <c r="O60" s="95"/>
      <c r="P60" s="97"/>
      <c r="Q60" s="97"/>
      <c r="R60" s="106"/>
      <c r="S60" s="95"/>
      <c r="T60" s="97"/>
      <c r="U60" s="97"/>
      <c r="V60" s="106"/>
    </row>
    <row r="61" spans="1:22">
      <c r="A61" s="228"/>
      <c r="B61" s="234" t="s">
        <v>136</v>
      </c>
      <c r="C61" s="112">
        <v>0</v>
      </c>
      <c r="D61" s="110">
        <v>0</v>
      </c>
      <c r="E61" s="110">
        <v>0</v>
      </c>
      <c r="F61" s="107">
        <v>0</v>
      </c>
      <c r="G61" s="112">
        <v>0</v>
      </c>
      <c r="H61" s="110">
        <v>0</v>
      </c>
      <c r="I61" s="110">
        <v>0</v>
      </c>
      <c r="J61" s="107">
        <v>0</v>
      </c>
      <c r="K61" s="112">
        <v>0</v>
      </c>
      <c r="L61" s="110">
        <v>0</v>
      </c>
      <c r="M61" s="110">
        <v>0</v>
      </c>
      <c r="N61" s="107">
        <v>0</v>
      </c>
      <c r="O61" s="112">
        <v>0</v>
      </c>
      <c r="P61" s="110">
        <v>0</v>
      </c>
      <c r="Q61" s="110">
        <v>0</v>
      </c>
      <c r="R61" s="107">
        <v>0</v>
      </c>
      <c r="S61" s="112">
        <v>0</v>
      </c>
      <c r="T61" s="110"/>
      <c r="U61" s="110"/>
      <c r="V61" s="107"/>
    </row>
    <row r="62" spans="1:22">
      <c r="A62" s="228"/>
      <c r="B62" s="231"/>
      <c r="C62" s="116"/>
      <c r="D62" s="114"/>
      <c r="E62" s="114"/>
      <c r="F62" s="108"/>
      <c r="G62" s="116"/>
      <c r="H62" s="114"/>
      <c r="I62" s="114"/>
      <c r="J62" s="108"/>
      <c r="K62" s="116"/>
      <c r="L62" s="114"/>
      <c r="M62" s="114"/>
      <c r="N62" s="108"/>
      <c r="O62" s="116"/>
      <c r="P62" s="114"/>
      <c r="Q62" s="114"/>
      <c r="R62" s="108"/>
      <c r="S62" s="116"/>
      <c r="T62" s="114"/>
      <c r="U62" s="114"/>
      <c r="V62" s="108"/>
    </row>
    <row r="63" spans="1:22">
      <c r="A63" s="228"/>
      <c r="B63" s="232" t="s">
        <v>133</v>
      </c>
      <c r="C63" s="94">
        <v>0</v>
      </c>
      <c r="D63" s="96">
        <v>0</v>
      </c>
      <c r="E63" s="96">
        <v>0</v>
      </c>
      <c r="F63" s="105">
        <v>0</v>
      </c>
      <c r="G63" s="94">
        <v>0</v>
      </c>
      <c r="H63" s="96">
        <v>0</v>
      </c>
      <c r="I63" s="96">
        <v>0</v>
      </c>
      <c r="J63" s="105">
        <v>0</v>
      </c>
      <c r="K63" s="94">
        <v>0</v>
      </c>
      <c r="L63" s="96">
        <v>0</v>
      </c>
      <c r="M63" s="96">
        <v>0</v>
      </c>
      <c r="N63" s="105">
        <v>0</v>
      </c>
      <c r="O63" s="94">
        <v>0</v>
      </c>
      <c r="P63" s="96">
        <v>0</v>
      </c>
      <c r="Q63" s="96">
        <v>0</v>
      </c>
      <c r="R63" s="105">
        <v>0</v>
      </c>
      <c r="S63" s="94">
        <v>0</v>
      </c>
      <c r="T63" s="96"/>
      <c r="U63" s="96"/>
      <c r="V63" s="105"/>
    </row>
    <row r="64" spans="1:22">
      <c r="A64" s="228"/>
      <c r="B64" s="233"/>
      <c r="C64" s="95"/>
      <c r="D64" s="97"/>
      <c r="E64" s="97"/>
      <c r="F64" s="106"/>
      <c r="G64" s="95"/>
      <c r="H64" s="97"/>
      <c r="I64" s="97"/>
      <c r="J64" s="106"/>
      <c r="K64" s="95"/>
      <c r="L64" s="97"/>
      <c r="M64" s="97"/>
      <c r="N64" s="106"/>
      <c r="O64" s="95"/>
      <c r="P64" s="97"/>
      <c r="Q64" s="97"/>
      <c r="R64" s="106"/>
      <c r="S64" s="95"/>
      <c r="T64" s="97"/>
      <c r="U64" s="97"/>
      <c r="V64" s="106"/>
    </row>
    <row r="65" spans="1:22">
      <c r="A65" s="228"/>
      <c r="B65" s="234" t="s">
        <v>134</v>
      </c>
      <c r="C65" s="112">
        <v>0</v>
      </c>
      <c r="D65" s="110">
        <v>0</v>
      </c>
      <c r="E65" s="110">
        <v>0</v>
      </c>
      <c r="F65" s="107">
        <v>0</v>
      </c>
      <c r="G65" s="112">
        <v>0</v>
      </c>
      <c r="H65" s="110">
        <v>0</v>
      </c>
      <c r="I65" s="110">
        <v>0</v>
      </c>
      <c r="J65" s="107">
        <v>0</v>
      </c>
      <c r="K65" s="112">
        <v>0</v>
      </c>
      <c r="L65" s="110">
        <v>0</v>
      </c>
      <c r="M65" s="110">
        <v>0</v>
      </c>
      <c r="N65" s="107">
        <v>0</v>
      </c>
      <c r="O65" s="112">
        <v>0</v>
      </c>
      <c r="P65" s="110">
        <v>0</v>
      </c>
      <c r="Q65" s="110">
        <v>0</v>
      </c>
      <c r="R65" s="107">
        <v>0</v>
      </c>
      <c r="S65" s="112">
        <v>0</v>
      </c>
      <c r="T65" s="110"/>
      <c r="U65" s="110"/>
      <c r="V65" s="107"/>
    </row>
    <row r="66" spans="1:22">
      <c r="A66" s="228"/>
      <c r="B66" s="231"/>
      <c r="C66" s="116"/>
      <c r="D66" s="114"/>
      <c r="E66" s="114"/>
      <c r="F66" s="108"/>
      <c r="G66" s="116"/>
      <c r="H66" s="114"/>
      <c r="I66" s="114"/>
      <c r="J66" s="108"/>
      <c r="K66" s="116"/>
      <c r="L66" s="114"/>
      <c r="M66" s="114"/>
      <c r="N66" s="108"/>
      <c r="O66" s="116"/>
      <c r="P66" s="114"/>
      <c r="Q66" s="114"/>
      <c r="R66" s="108"/>
      <c r="S66" s="116"/>
      <c r="T66" s="114"/>
      <c r="U66" s="114"/>
      <c r="V66" s="108"/>
    </row>
    <row r="67" spans="1:22">
      <c r="A67" s="228"/>
      <c r="B67" s="235" t="s">
        <v>140</v>
      </c>
      <c r="C67" s="94">
        <v>0</v>
      </c>
      <c r="D67" s="96">
        <v>0</v>
      </c>
      <c r="E67" s="96">
        <v>0</v>
      </c>
      <c r="F67" s="105">
        <v>0</v>
      </c>
      <c r="G67" s="94">
        <v>0</v>
      </c>
      <c r="H67" s="96">
        <v>0</v>
      </c>
      <c r="I67" s="96">
        <v>0</v>
      </c>
      <c r="J67" s="105">
        <v>0</v>
      </c>
      <c r="K67" s="94">
        <v>0</v>
      </c>
      <c r="L67" s="96">
        <v>0</v>
      </c>
      <c r="M67" s="96">
        <v>0</v>
      </c>
      <c r="N67" s="105">
        <v>0</v>
      </c>
      <c r="O67" s="94">
        <v>0</v>
      </c>
      <c r="P67" s="96">
        <v>0</v>
      </c>
      <c r="Q67" s="96">
        <v>0</v>
      </c>
      <c r="R67" s="105">
        <v>0</v>
      </c>
      <c r="S67" s="94">
        <v>0</v>
      </c>
      <c r="T67" s="96"/>
      <c r="U67" s="96"/>
      <c r="V67" s="105"/>
    </row>
    <row r="68" spans="1:22">
      <c r="A68" s="228"/>
      <c r="B68" s="236"/>
      <c r="C68" s="95"/>
      <c r="D68" s="97"/>
      <c r="E68" s="97"/>
      <c r="F68" s="106"/>
      <c r="G68" s="95"/>
      <c r="H68" s="97"/>
      <c r="I68" s="97"/>
      <c r="J68" s="106"/>
      <c r="K68" s="95"/>
      <c r="L68" s="97"/>
      <c r="M68" s="97"/>
      <c r="N68" s="106"/>
      <c r="O68" s="95"/>
      <c r="P68" s="97"/>
      <c r="Q68" s="97"/>
      <c r="R68" s="106"/>
      <c r="S68" s="95"/>
      <c r="T68" s="97"/>
      <c r="U68" s="97"/>
      <c r="V68" s="106"/>
    </row>
    <row r="69" spans="1:22">
      <c r="A69" s="228"/>
      <c r="B69" s="237" t="s">
        <v>135</v>
      </c>
      <c r="C69" s="112">
        <v>0</v>
      </c>
      <c r="D69" s="110">
        <v>0</v>
      </c>
      <c r="E69" s="110">
        <v>0</v>
      </c>
      <c r="F69" s="107">
        <v>0</v>
      </c>
      <c r="G69" s="112">
        <v>0</v>
      </c>
      <c r="H69" s="110">
        <v>0</v>
      </c>
      <c r="I69" s="110">
        <v>0</v>
      </c>
      <c r="J69" s="107">
        <v>0</v>
      </c>
      <c r="K69" s="112">
        <v>0</v>
      </c>
      <c r="L69" s="110">
        <v>0</v>
      </c>
      <c r="M69" s="110">
        <v>0</v>
      </c>
      <c r="N69" s="107">
        <v>0</v>
      </c>
      <c r="O69" s="112">
        <v>0</v>
      </c>
      <c r="P69" s="110">
        <v>0</v>
      </c>
      <c r="Q69" s="110">
        <v>0</v>
      </c>
      <c r="R69" s="107">
        <v>0</v>
      </c>
      <c r="S69" s="112">
        <v>0</v>
      </c>
      <c r="T69" s="110"/>
      <c r="U69" s="110"/>
      <c r="V69" s="107"/>
    </row>
    <row r="70" spans="1:22">
      <c r="A70" s="228"/>
      <c r="B70" s="238"/>
      <c r="C70" s="116"/>
      <c r="D70" s="114"/>
      <c r="E70" s="114"/>
      <c r="F70" s="108"/>
      <c r="G70" s="116"/>
      <c r="H70" s="114"/>
      <c r="I70" s="114"/>
      <c r="J70" s="108"/>
      <c r="K70" s="116"/>
      <c r="L70" s="114"/>
      <c r="M70" s="114"/>
      <c r="N70" s="108"/>
      <c r="O70" s="116"/>
      <c r="P70" s="114"/>
      <c r="Q70" s="114"/>
      <c r="R70" s="108"/>
      <c r="S70" s="116"/>
      <c r="T70" s="114"/>
      <c r="U70" s="114"/>
      <c r="V70" s="108"/>
    </row>
    <row r="71" spans="1:22">
      <c r="A71" s="228"/>
      <c r="B71" s="235" t="s">
        <v>138</v>
      </c>
      <c r="C71" s="94">
        <v>0</v>
      </c>
      <c r="D71" s="96">
        <v>0</v>
      </c>
      <c r="E71" s="96">
        <v>0</v>
      </c>
      <c r="F71" s="105">
        <v>0</v>
      </c>
      <c r="G71" s="94">
        <v>0</v>
      </c>
      <c r="H71" s="96">
        <v>0</v>
      </c>
      <c r="I71" s="96">
        <v>0</v>
      </c>
      <c r="J71" s="105">
        <v>0</v>
      </c>
      <c r="K71" s="94">
        <v>0</v>
      </c>
      <c r="L71" s="96">
        <v>0</v>
      </c>
      <c r="M71" s="96">
        <v>0</v>
      </c>
      <c r="N71" s="105">
        <v>0</v>
      </c>
      <c r="O71" s="94">
        <v>0</v>
      </c>
      <c r="P71" s="96">
        <v>0</v>
      </c>
      <c r="Q71" s="96">
        <v>0</v>
      </c>
      <c r="R71" s="105">
        <v>0</v>
      </c>
      <c r="S71" s="94">
        <v>0</v>
      </c>
      <c r="T71" s="96"/>
      <c r="U71" s="96"/>
      <c r="V71" s="105"/>
    </row>
    <row r="72" spans="1:22">
      <c r="A72" s="228"/>
      <c r="B72" s="236"/>
      <c r="C72" s="95"/>
      <c r="D72" s="97"/>
      <c r="E72" s="97"/>
      <c r="F72" s="106"/>
      <c r="G72" s="95"/>
      <c r="H72" s="97"/>
      <c r="I72" s="97"/>
      <c r="J72" s="106"/>
      <c r="K72" s="95"/>
      <c r="L72" s="97"/>
      <c r="M72" s="97"/>
      <c r="N72" s="106"/>
      <c r="O72" s="95"/>
      <c r="P72" s="97"/>
      <c r="Q72" s="97"/>
      <c r="R72" s="106"/>
      <c r="S72" s="95"/>
      <c r="T72" s="97"/>
      <c r="U72" s="97"/>
      <c r="V72" s="106"/>
    </row>
    <row r="73" spans="1:22">
      <c r="A73" s="228"/>
      <c r="B73" s="234" t="s">
        <v>139</v>
      </c>
      <c r="C73" s="112">
        <v>0</v>
      </c>
      <c r="D73" s="110">
        <v>0</v>
      </c>
      <c r="E73" s="110">
        <v>0</v>
      </c>
      <c r="F73" s="107">
        <v>0</v>
      </c>
      <c r="G73" s="112">
        <v>0</v>
      </c>
      <c r="H73" s="110">
        <v>0</v>
      </c>
      <c r="I73" s="110">
        <v>0</v>
      </c>
      <c r="J73" s="107">
        <v>0</v>
      </c>
      <c r="K73" s="112">
        <v>0</v>
      </c>
      <c r="L73" s="110">
        <v>0</v>
      </c>
      <c r="M73" s="110">
        <v>0</v>
      </c>
      <c r="N73" s="107">
        <v>0</v>
      </c>
      <c r="O73" s="112">
        <v>0</v>
      </c>
      <c r="P73" s="110">
        <v>0</v>
      </c>
      <c r="Q73" s="110">
        <v>0</v>
      </c>
      <c r="R73" s="107">
        <v>0</v>
      </c>
      <c r="S73" s="112">
        <v>0</v>
      </c>
      <c r="T73" s="110"/>
      <c r="U73" s="110"/>
      <c r="V73" s="107"/>
    </row>
    <row r="74" spans="1:22">
      <c r="A74" s="228"/>
      <c r="B74" s="231"/>
      <c r="C74" s="116"/>
      <c r="D74" s="114"/>
      <c r="E74" s="114"/>
      <c r="F74" s="108"/>
      <c r="G74" s="116"/>
      <c r="H74" s="114"/>
      <c r="I74" s="114"/>
      <c r="J74" s="108"/>
      <c r="K74" s="116"/>
      <c r="L74" s="114"/>
      <c r="M74" s="114"/>
      <c r="N74" s="108"/>
      <c r="O74" s="116"/>
      <c r="P74" s="114"/>
      <c r="Q74" s="114"/>
      <c r="R74" s="108"/>
      <c r="S74" s="116"/>
      <c r="T74" s="114"/>
      <c r="U74" s="114"/>
      <c r="V74" s="108"/>
    </row>
    <row r="75" spans="1:22">
      <c r="A75" s="228"/>
      <c r="B75" s="232" t="s">
        <v>141</v>
      </c>
      <c r="C75" s="94">
        <v>0</v>
      </c>
      <c r="D75" s="96">
        <v>0</v>
      </c>
      <c r="E75" s="96">
        <v>0</v>
      </c>
      <c r="F75" s="105">
        <v>0</v>
      </c>
      <c r="G75" s="94">
        <v>0</v>
      </c>
      <c r="H75" s="96">
        <v>0</v>
      </c>
      <c r="I75" s="96">
        <v>0</v>
      </c>
      <c r="J75" s="105">
        <v>0</v>
      </c>
      <c r="K75" s="94">
        <v>0</v>
      </c>
      <c r="L75" s="96">
        <v>0</v>
      </c>
      <c r="M75" s="96">
        <v>0</v>
      </c>
      <c r="N75" s="105">
        <v>0</v>
      </c>
      <c r="O75" s="94">
        <v>0</v>
      </c>
      <c r="P75" s="96">
        <v>0</v>
      </c>
      <c r="Q75" s="96">
        <v>0</v>
      </c>
      <c r="R75" s="105">
        <v>0</v>
      </c>
      <c r="S75" s="94">
        <v>0</v>
      </c>
      <c r="T75" s="96"/>
      <c r="U75" s="96"/>
      <c r="V75" s="105"/>
    </row>
    <row r="76" spans="1:22">
      <c r="A76" s="228"/>
      <c r="B76" s="233"/>
      <c r="C76" s="95"/>
      <c r="D76" s="97"/>
      <c r="E76" s="97"/>
      <c r="F76" s="106"/>
      <c r="G76" s="95"/>
      <c r="H76" s="97"/>
      <c r="I76" s="97"/>
      <c r="J76" s="106"/>
      <c r="K76" s="95"/>
      <c r="L76" s="97"/>
      <c r="M76" s="97"/>
      <c r="N76" s="106"/>
      <c r="O76" s="95"/>
      <c r="P76" s="97"/>
      <c r="Q76" s="97"/>
      <c r="R76" s="106"/>
      <c r="S76" s="95"/>
      <c r="T76" s="97"/>
      <c r="U76" s="97"/>
      <c r="V76" s="106"/>
    </row>
    <row r="77" spans="1:22">
      <c r="A77" s="228"/>
      <c r="B77" s="237" t="s">
        <v>142</v>
      </c>
      <c r="C77" s="112">
        <v>0</v>
      </c>
      <c r="D77" s="110">
        <v>0</v>
      </c>
      <c r="E77" s="110">
        <v>0</v>
      </c>
      <c r="F77" s="107">
        <v>0</v>
      </c>
      <c r="G77" s="112">
        <v>0</v>
      </c>
      <c r="H77" s="110">
        <v>0</v>
      </c>
      <c r="I77" s="110">
        <v>0</v>
      </c>
      <c r="J77" s="107">
        <v>0</v>
      </c>
      <c r="K77" s="112">
        <v>0</v>
      </c>
      <c r="L77" s="110">
        <v>0</v>
      </c>
      <c r="M77" s="110">
        <v>0</v>
      </c>
      <c r="N77" s="107">
        <v>0</v>
      </c>
      <c r="O77" s="112">
        <v>0</v>
      </c>
      <c r="P77" s="110">
        <v>0</v>
      </c>
      <c r="Q77" s="110">
        <v>0</v>
      </c>
      <c r="R77" s="107">
        <v>0</v>
      </c>
      <c r="S77" s="112">
        <v>0</v>
      </c>
      <c r="T77" s="110"/>
      <c r="U77" s="110"/>
      <c r="V77" s="107"/>
    </row>
    <row r="78" spans="1:22" ht="15.75" thickBot="1">
      <c r="A78" s="229"/>
      <c r="B78" s="238"/>
      <c r="C78" s="117"/>
      <c r="D78" s="111"/>
      <c r="E78" s="111"/>
      <c r="F78" s="98"/>
      <c r="G78" s="117"/>
      <c r="H78" s="111"/>
      <c r="I78" s="111"/>
      <c r="J78" s="98"/>
      <c r="K78" s="117"/>
      <c r="L78" s="111"/>
      <c r="M78" s="111"/>
      <c r="N78" s="98"/>
      <c r="O78" s="117"/>
      <c r="P78" s="111"/>
      <c r="Q78" s="111"/>
      <c r="R78" s="98"/>
      <c r="S78" s="117"/>
      <c r="T78" s="111"/>
      <c r="U78" s="111"/>
      <c r="V78" s="98"/>
    </row>
    <row r="81" spans="1:14" ht="17.25">
      <c r="A81" s="39" t="s">
        <v>111</v>
      </c>
      <c r="B81" s="35" t="s">
        <v>90</v>
      </c>
      <c r="C81" s="34"/>
      <c r="D81" s="34"/>
      <c r="E81" s="34"/>
      <c r="F81" s="34"/>
    </row>
    <row r="82" spans="1:14" ht="17.25">
      <c r="A82" s="39" t="s">
        <v>91</v>
      </c>
      <c r="B82" s="35" t="s">
        <v>92</v>
      </c>
      <c r="C82" s="34"/>
      <c r="D82" s="34"/>
      <c r="E82" s="34"/>
      <c r="F82" s="34"/>
    </row>
    <row r="83" spans="1:14" ht="17.25">
      <c r="A83" s="39" t="s">
        <v>93</v>
      </c>
      <c r="B83" s="35" t="s">
        <v>94</v>
      </c>
      <c r="C83" s="34"/>
      <c r="D83" s="34"/>
      <c r="E83" s="34"/>
      <c r="F83" s="34"/>
    </row>
    <row r="84" spans="1:14" ht="17.25">
      <c r="A84" s="39" t="s">
        <v>95</v>
      </c>
      <c r="B84" s="35" t="s">
        <v>96</v>
      </c>
      <c r="C84" s="34"/>
      <c r="D84" s="34"/>
      <c r="E84" s="34"/>
      <c r="F84" s="34"/>
      <c r="G84" s="29"/>
      <c r="H84" s="29"/>
      <c r="I84" s="29"/>
      <c r="J84" s="29"/>
      <c r="K84" s="29"/>
      <c r="L84" s="29"/>
      <c r="M84" s="29"/>
      <c r="N84" s="29"/>
    </row>
    <row r="85" spans="1:14" ht="17.25">
      <c r="A85" s="40" t="s">
        <v>97</v>
      </c>
      <c r="B85" s="37" t="s">
        <v>98</v>
      </c>
      <c r="C85" s="36"/>
      <c r="D85" s="36"/>
      <c r="E85" s="36"/>
      <c r="F85" s="36"/>
    </row>
  </sheetData>
  <mergeCells count="45">
    <mergeCell ref="S10:V10"/>
    <mergeCell ref="O10:R10"/>
    <mergeCell ref="M2:N8"/>
    <mergeCell ref="I3:L3"/>
    <mergeCell ref="A10:B12"/>
    <mergeCell ref="C10:F10"/>
    <mergeCell ref="G10:J10"/>
    <mergeCell ref="K10:N10"/>
    <mergeCell ref="B13:B14"/>
    <mergeCell ref="B33:B34"/>
    <mergeCell ref="B21:B22"/>
    <mergeCell ref="A13:A34"/>
    <mergeCell ref="I2:L2"/>
    <mergeCell ref="B19:B20"/>
    <mergeCell ref="B23:B24"/>
    <mergeCell ref="B25:B26"/>
    <mergeCell ref="B27:B28"/>
    <mergeCell ref="B29:B30"/>
    <mergeCell ref="B31:B32"/>
    <mergeCell ref="B15:B16"/>
    <mergeCell ref="B17:B18"/>
    <mergeCell ref="A35:A56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A57:A78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J85"/>
  <sheetViews>
    <sheetView zoomScale="70" zoomScaleNormal="70" workbookViewId="0">
      <selection activeCell="X69" sqref="X69"/>
    </sheetView>
  </sheetViews>
  <sheetFormatPr defaultRowHeight="15"/>
  <cols>
    <col min="1" max="1" width="11.140625" customWidth="1"/>
    <col min="2" max="2" width="46.140625" customWidth="1"/>
    <col min="3" max="3" width="14" style="15" customWidth="1"/>
  </cols>
  <sheetData>
    <row r="1" spans="1:10" ht="15.75" thickBot="1"/>
    <row r="2" spans="1:10">
      <c r="A2" s="22" t="s">
        <v>112</v>
      </c>
      <c r="B2" s="23" t="s">
        <v>171</v>
      </c>
      <c r="C2" s="100" t="s">
        <v>50</v>
      </c>
      <c r="D2" s="249" t="s">
        <v>180</v>
      </c>
      <c r="E2" s="249"/>
      <c r="F2" s="249"/>
      <c r="G2" s="250"/>
      <c r="H2" s="251"/>
      <c r="I2" s="252"/>
      <c r="J2" s="15"/>
    </row>
    <row r="3" spans="1:10" ht="15.75" thickBot="1">
      <c r="A3" s="24" t="s">
        <v>113</v>
      </c>
      <c r="B3" s="25" t="s">
        <v>166</v>
      </c>
      <c r="C3" s="101" t="s">
        <v>89</v>
      </c>
      <c r="D3" s="257" t="s">
        <v>183</v>
      </c>
      <c r="E3" s="257"/>
      <c r="F3" s="257"/>
      <c r="G3" s="258"/>
      <c r="H3" s="253"/>
      <c r="I3" s="254"/>
      <c r="J3" s="15"/>
    </row>
    <row r="4" spans="1:10">
      <c r="D4" s="15"/>
      <c r="E4" s="15"/>
      <c r="F4" s="15"/>
      <c r="G4" s="15"/>
      <c r="H4" s="253"/>
      <c r="I4" s="254"/>
      <c r="J4" s="15"/>
    </row>
    <row r="5" spans="1:10">
      <c r="D5" s="15"/>
      <c r="E5" s="15"/>
      <c r="F5" s="15"/>
      <c r="G5" s="15"/>
      <c r="H5" s="253"/>
      <c r="I5" s="254"/>
      <c r="J5" s="15"/>
    </row>
    <row r="6" spans="1:10">
      <c r="D6" s="15"/>
      <c r="E6" s="15"/>
      <c r="F6" s="15"/>
      <c r="G6" s="15"/>
      <c r="H6" s="253"/>
      <c r="I6" s="254"/>
      <c r="J6" s="15"/>
    </row>
    <row r="7" spans="1:10">
      <c r="D7" s="15"/>
      <c r="E7" s="15"/>
      <c r="F7" s="15"/>
      <c r="G7" s="15"/>
      <c r="H7" s="253"/>
      <c r="I7" s="254"/>
      <c r="J7" s="15"/>
    </row>
    <row r="8" spans="1:10" ht="15.75" thickBot="1">
      <c r="D8" s="15"/>
      <c r="E8" s="15"/>
      <c r="F8" s="15"/>
      <c r="G8" s="15"/>
      <c r="H8" s="255"/>
      <c r="I8" s="256"/>
      <c r="J8" s="15"/>
    </row>
    <row r="9" spans="1:10" ht="15.75" thickBot="1"/>
    <row r="10" spans="1:10">
      <c r="A10" s="240" t="s">
        <v>99</v>
      </c>
      <c r="B10" s="241"/>
      <c r="C10" s="246" t="s">
        <v>178</v>
      </c>
      <c r="D10" s="247"/>
      <c r="E10" s="247"/>
      <c r="F10" s="248"/>
      <c r="G10" s="247" t="s">
        <v>184</v>
      </c>
      <c r="H10" s="247"/>
      <c r="I10" s="247"/>
      <c r="J10" s="248"/>
    </row>
    <row r="11" spans="1:10">
      <c r="A11" s="242"/>
      <c r="B11" s="243"/>
      <c r="C11" s="42" t="s">
        <v>100</v>
      </c>
      <c r="D11" s="123" t="s">
        <v>101</v>
      </c>
      <c r="E11" s="123" t="s">
        <v>102</v>
      </c>
      <c r="F11" s="41" t="s">
        <v>103</v>
      </c>
      <c r="G11" s="132" t="s">
        <v>100</v>
      </c>
      <c r="H11" s="129" t="s">
        <v>101</v>
      </c>
      <c r="I11" s="129" t="s">
        <v>102</v>
      </c>
      <c r="J11" s="41" t="s">
        <v>103</v>
      </c>
    </row>
    <row r="12" spans="1:10" ht="15.75" thickBot="1">
      <c r="A12" s="244"/>
      <c r="B12" s="245"/>
      <c r="C12" s="43" t="s">
        <v>105</v>
      </c>
      <c r="D12" s="124" t="s">
        <v>106</v>
      </c>
      <c r="E12" s="124" t="s">
        <v>107</v>
      </c>
      <c r="F12" s="125" t="s">
        <v>104</v>
      </c>
      <c r="G12" s="133" t="s">
        <v>105</v>
      </c>
      <c r="H12" s="130" t="s">
        <v>106</v>
      </c>
      <c r="I12" s="130" t="s">
        <v>107</v>
      </c>
      <c r="J12" s="131" t="s">
        <v>104</v>
      </c>
    </row>
    <row r="13" spans="1:10" ht="14.25" customHeight="1">
      <c r="A13" s="213" t="s">
        <v>143</v>
      </c>
      <c r="B13" s="239" t="s">
        <v>154</v>
      </c>
      <c r="C13" s="269"/>
      <c r="D13" s="270"/>
      <c r="E13" s="109">
        <v>0</v>
      </c>
      <c r="F13" s="109">
        <v>0</v>
      </c>
      <c r="G13" s="115">
        <v>0</v>
      </c>
      <c r="H13" s="113"/>
      <c r="I13" s="113"/>
      <c r="J13" s="109"/>
    </row>
    <row r="14" spans="1:10">
      <c r="A14" s="214"/>
      <c r="B14" s="224"/>
      <c r="C14" s="268"/>
      <c r="D14" s="260"/>
      <c r="E14" s="108"/>
      <c r="F14" s="108"/>
      <c r="G14" s="116"/>
      <c r="H14" s="114"/>
      <c r="I14" s="114"/>
      <c r="J14" s="108"/>
    </row>
    <row r="15" spans="1:10">
      <c r="A15" s="214"/>
      <c r="B15" s="221" t="s">
        <v>173</v>
      </c>
      <c r="C15" s="261"/>
      <c r="D15" s="263"/>
      <c r="E15" s="105">
        <v>0</v>
      </c>
      <c r="F15" s="105">
        <v>0</v>
      </c>
      <c r="G15" s="94">
        <v>0</v>
      </c>
      <c r="H15" s="96"/>
      <c r="I15" s="96"/>
      <c r="J15" s="105"/>
    </row>
    <row r="16" spans="1:10">
      <c r="A16" s="214"/>
      <c r="B16" s="222"/>
      <c r="C16" s="262"/>
      <c r="D16" s="264"/>
      <c r="E16" s="106"/>
      <c r="F16" s="106"/>
      <c r="G16" s="95"/>
      <c r="H16" s="97"/>
      <c r="I16" s="97"/>
      <c r="J16" s="106"/>
    </row>
    <row r="17" spans="1:10">
      <c r="A17" s="214"/>
      <c r="B17" s="223" t="s">
        <v>155</v>
      </c>
      <c r="C17" s="265"/>
      <c r="D17" s="259"/>
      <c r="E17" s="107">
        <v>0</v>
      </c>
      <c r="F17" s="107">
        <v>0</v>
      </c>
      <c r="G17" s="112">
        <v>0</v>
      </c>
      <c r="H17" s="110"/>
      <c r="I17" s="110"/>
      <c r="J17" s="107"/>
    </row>
    <row r="18" spans="1:10">
      <c r="A18" s="214"/>
      <c r="B18" s="224"/>
      <c r="C18" s="268"/>
      <c r="D18" s="260"/>
      <c r="E18" s="108"/>
      <c r="F18" s="108"/>
      <c r="G18" s="116"/>
      <c r="H18" s="114"/>
      <c r="I18" s="114"/>
      <c r="J18" s="108"/>
    </row>
    <row r="19" spans="1:10">
      <c r="A19" s="214"/>
      <c r="B19" s="221" t="s">
        <v>156</v>
      </c>
      <c r="C19" s="261"/>
      <c r="D19" s="263"/>
      <c r="E19" s="105">
        <v>0</v>
      </c>
      <c r="F19" s="105">
        <v>0</v>
      </c>
      <c r="G19" s="94">
        <v>0</v>
      </c>
      <c r="H19" s="96"/>
      <c r="I19" s="96"/>
      <c r="J19" s="105"/>
    </row>
    <row r="20" spans="1:10">
      <c r="A20" s="214"/>
      <c r="B20" s="222"/>
      <c r="C20" s="262"/>
      <c r="D20" s="264"/>
      <c r="E20" s="106"/>
      <c r="F20" s="106"/>
      <c r="G20" s="95"/>
      <c r="H20" s="97"/>
      <c r="I20" s="97"/>
      <c r="J20" s="106"/>
    </row>
    <row r="21" spans="1:10">
      <c r="A21" s="214"/>
      <c r="B21" s="220" t="s">
        <v>157</v>
      </c>
      <c r="C21" s="265"/>
      <c r="D21" s="259"/>
      <c r="E21" s="107">
        <v>0</v>
      </c>
      <c r="F21" s="107">
        <v>0</v>
      </c>
      <c r="G21" s="112">
        <v>0</v>
      </c>
      <c r="H21" s="110"/>
      <c r="I21" s="110"/>
      <c r="J21" s="107"/>
    </row>
    <row r="22" spans="1:10">
      <c r="A22" s="214"/>
      <c r="B22" s="217"/>
      <c r="C22" s="268"/>
      <c r="D22" s="260"/>
      <c r="E22" s="108"/>
      <c r="F22" s="108"/>
      <c r="G22" s="116"/>
      <c r="H22" s="114"/>
      <c r="I22" s="114"/>
      <c r="J22" s="108"/>
    </row>
    <row r="23" spans="1:10">
      <c r="A23" s="214"/>
      <c r="B23" s="221" t="s">
        <v>158</v>
      </c>
      <c r="C23" s="261"/>
      <c r="D23" s="263"/>
      <c r="E23" s="105">
        <v>0</v>
      </c>
      <c r="F23" s="105">
        <v>0</v>
      </c>
      <c r="G23" s="94">
        <v>0</v>
      </c>
      <c r="H23" s="96"/>
      <c r="I23" s="96"/>
      <c r="J23" s="105"/>
    </row>
    <row r="24" spans="1:10">
      <c r="A24" s="214"/>
      <c r="B24" s="222"/>
      <c r="C24" s="262"/>
      <c r="D24" s="264"/>
      <c r="E24" s="106"/>
      <c r="F24" s="106"/>
      <c r="G24" s="95"/>
      <c r="H24" s="97"/>
      <c r="I24" s="97"/>
      <c r="J24" s="106"/>
    </row>
    <row r="25" spans="1:10">
      <c r="A25" s="214"/>
      <c r="B25" s="223" t="s">
        <v>159</v>
      </c>
      <c r="C25" s="265"/>
      <c r="D25" s="259"/>
      <c r="E25" s="107">
        <v>0</v>
      </c>
      <c r="F25" s="107">
        <v>0</v>
      </c>
      <c r="G25" s="112">
        <v>0</v>
      </c>
      <c r="H25" s="110"/>
      <c r="I25" s="110"/>
      <c r="J25" s="107"/>
    </row>
    <row r="26" spans="1:10">
      <c r="A26" s="214"/>
      <c r="B26" s="224"/>
      <c r="C26" s="268"/>
      <c r="D26" s="260"/>
      <c r="E26" s="108"/>
      <c r="F26" s="108"/>
      <c r="G26" s="116"/>
      <c r="H26" s="114"/>
      <c r="I26" s="114"/>
      <c r="J26" s="108"/>
    </row>
    <row r="27" spans="1:10">
      <c r="A27" s="214"/>
      <c r="B27" s="221" t="s">
        <v>160</v>
      </c>
      <c r="C27" s="261"/>
      <c r="D27" s="263"/>
      <c r="E27" s="105">
        <v>0</v>
      </c>
      <c r="F27" s="105">
        <v>0</v>
      </c>
      <c r="G27" s="94">
        <v>0</v>
      </c>
      <c r="H27" s="96"/>
      <c r="I27" s="96"/>
      <c r="J27" s="105"/>
    </row>
    <row r="28" spans="1:10">
      <c r="A28" s="214"/>
      <c r="B28" s="222"/>
      <c r="C28" s="262"/>
      <c r="D28" s="264"/>
      <c r="E28" s="106"/>
      <c r="F28" s="106"/>
      <c r="G28" s="95"/>
      <c r="H28" s="97"/>
      <c r="I28" s="97"/>
      <c r="J28" s="106"/>
    </row>
    <row r="29" spans="1:10">
      <c r="A29" s="214"/>
      <c r="B29" s="225" t="s">
        <v>161</v>
      </c>
      <c r="C29" s="265"/>
      <c r="D29" s="259"/>
      <c r="E29" s="107">
        <v>0</v>
      </c>
      <c r="F29" s="107">
        <v>0</v>
      </c>
      <c r="G29" s="112">
        <v>0</v>
      </c>
      <c r="H29" s="110"/>
      <c r="I29" s="110"/>
      <c r="J29" s="107"/>
    </row>
    <row r="30" spans="1:10">
      <c r="A30" s="214"/>
      <c r="B30" s="226"/>
      <c r="C30" s="268"/>
      <c r="D30" s="260"/>
      <c r="E30" s="108"/>
      <c r="F30" s="108"/>
      <c r="G30" s="116"/>
      <c r="H30" s="114"/>
      <c r="I30" s="114"/>
      <c r="J30" s="108"/>
    </row>
    <row r="31" spans="1:10">
      <c r="A31" s="214"/>
      <c r="B31" s="221" t="s">
        <v>165</v>
      </c>
      <c r="C31" s="261"/>
      <c r="D31" s="263"/>
      <c r="E31" s="105">
        <v>0</v>
      </c>
      <c r="F31" s="105">
        <v>0</v>
      </c>
      <c r="G31" s="94">
        <v>0</v>
      </c>
      <c r="H31" s="96"/>
      <c r="I31" s="96"/>
      <c r="J31" s="105"/>
    </row>
    <row r="32" spans="1:10">
      <c r="A32" s="214"/>
      <c r="B32" s="222"/>
      <c r="C32" s="262"/>
      <c r="D32" s="264"/>
      <c r="E32" s="106"/>
      <c r="F32" s="106"/>
      <c r="G32" s="95"/>
      <c r="H32" s="97"/>
      <c r="I32" s="97"/>
      <c r="J32" s="106"/>
    </row>
    <row r="33" spans="1:10">
      <c r="A33" s="214"/>
      <c r="B33" s="223" t="s">
        <v>162</v>
      </c>
      <c r="C33" s="265"/>
      <c r="D33" s="259"/>
      <c r="E33" s="107">
        <v>0</v>
      </c>
      <c r="F33" s="107">
        <v>0</v>
      </c>
      <c r="G33" s="112">
        <v>0</v>
      </c>
      <c r="H33" s="110"/>
      <c r="I33" s="110"/>
      <c r="J33" s="107"/>
    </row>
    <row r="34" spans="1:10" ht="15.75" thickBot="1">
      <c r="A34" s="215"/>
      <c r="B34" s="224"/>
      <c r="C34" s="266"/>
      <c r="D34" s="267"/>
      <c r="E34" s="98"/>
      <c r="F34" s="98"/>
      <c r="G34" s="117"/>
      <c r="H34" s="111"/>
      <c r="I34" s="111"/>
      <c r="J34" s="98"/>
    </row>
    <row r="35" spans="1:10" ht="14.25" customHeight="1">
      <c r="A35" s="213" t="s">
        <v>144</v>
      </c>
      <c r="B35" s="216" t="s">
        <v>145</v>
      </c>
      <c r="C35" s="269"/>
      <c r="D35" s="270"/>
      <c r="E35" s="109">
        <v>0</v>
      </c>
      <c r="F35" s="109">
        <v>0</v>
      </c>
      <c r="G35" s="115">
        <v>0</v>
      </c>
      <c r="H35" s="113"/>
      <c r="I35" s="113"/>
      <c r="J35" s="109"/>
    </row>
    <row r="36" spans="1:10">
      <c r="A36" s="214"/>
      <c r="B36" s="217"/>
      <c r="C36" s="268"/>
      <c r="D36" s="260"/>
      <c r="E36" s="108"/>
      <c r="F36" s="108"/>
      <c r="G36" s="116"/>
      <c r="H36" s="114"/>
      <c r="I36" s="114"/>
      <c r="J36" s="108"/>
    </row>
    <row r="37" spans="1:10">
      <c r="A37" s="214"/>
      <c r="B37" s="218" t="s">
        <v>146</v>
      </c>
      <c r="C37" s="261"/>
      <c r="D37" s="263"/>
      <c r="E37" s="105">
        <v>0</v>
      </c>
      <c r="F37" s="105">
        <v>0</v>
      </c>
      <c r="G37" s="94">
        <v>0</v>
      </c>
      <c r="H37" s="96"/>
      <c r="I37" s="96"/>
      <c r="J37" s="105"/>
    </row>
    <row r="38" spans="1:10">
      <c r="A38" s="214"/>
      <c r="B38" s="219"/>
      <c r="C38" s="262"/>
      <c r="D38" s="264"/>
      <c r="E38" s="106"/>
      <c r="F38" s="106"/>
      <c r="G38" s="95"/>
      <c r="H38" s="97"/>
      <c r="I38" s="97"/>
      <c r="J38" s="106"/>
    </row>
    <row r="39" spans="1:10">
      <c r="A39" s="214"/>
      <c r="B39" s="220" t="s">
        <v>147</v>
      </c>
      <c r="C39" s="265"/>
      <c r="D39" s="259"/>
      <c r="E39" s="107">
        <v>0</v>
      </c>
      <c r="F39" s="107">
        <v>0</v>
      </c>
      <c r="G39" s="112">
        <v>0</v>
      </c>
      <c r="H39" s="110"/>
      <c r="I39" s="110"/>
      <c r="J39" s="107"/>
    </row>
    <row r="40" spans="1:10">
      <c r="A40" s="214"/>
      <c r="B40" s="217"/>
      <c r="C40" s="268"/>
      <c r="D40" s="260"/>
      <c r="E40" s="108"/>
      <c r="F40" s="108"/>
      <c r="G40" s="116"/>
      <c r="H40" s="114"/>
      <c r="I40" s="114"/>
      <c r="J40" s="108"/>
    </row>
    <row r="41" spans="1:10">
      <c r="A41" s="214"/>
      <c r="B41" s="221" t="s">
        <v>153</v>
      </c>
      <c r="C41" s="261"/>
      <c r="D41" s="263"/>
      <c r="E41" s="105">
        <v>1</v>
      </c>
      <c r="F41" s="105">
        <v>1</v>
      </c>
      <c r="G41" s="94">
        <v>1</v>
      </c>
      <c r="H41" s="96"/>
      <c r="I41" s="96"/>
      <c r="J41" s="105"/>
    </row>
    <row r="42" spans="1:10">
      <c r="A42" s="214"/>
      <c r="B42" s="222"/>
      <c r="C42" s="262"/>
      <c r="D42" s="264"/>
      <c r="E42" s="106"/>
      <c r="F42" s="106"/>
      <c r="G42" s="95"/>
      <c r="H42" s="97"/>
      <c r="I42" s="97"/>
      <c r="J42" s="106"/>
    </row>
    <row r="43" spans="1:10">
      <c r="A43" s="214"/>
      <c r="B43" s="220" t="s">
        <v>148</v>
      </c>
      <c r="C43" s="265"/>
      <c r="D43" s="259"/>
      <c r="E43" s="107">
        <v>0</v>
      </c>
      <c r="F43" s="107">
        <v>0</v>
      </c>
      <c r="G43" s="112">
        <v>0</v>
      </c>
      <c r="H43" s="110"/>
      <c r="I43" s="110"/>
      <c r="J43" s="107"/>
    </row>
    <row r="44" spans="1:10">
      <c r="A44" s="214"/>
      <c r="B44" s="217"/>
      <c r="C44" s="268"/>
      <c r="D44" s="260"/>
      <c r="E44" s="108"/>
      <c r="F44" s="108"/>
      <c r="G44" s="116"/>
      <c r="H44" s="114"/>
      <c r="I44" s="114"/>
      <c r="J44" s="108"/>
    </row>
    <row r="45" spans="1:10">
      <c r="A45" s="214"/>
      <c r="B45" s="221" t="s">
        <v>149</v>
      </c>
      <c r="C45" s="261"/>
      <c r="D45" s="263"/>
      <c r="E45" s="105">
        <v>0</v>
      </c>
      <c r="F45" s="105">
        <v>0</v>
      </c>
      <c r="G45" s="94">
        <v>0</v>
      </c>
      <c r="H45" s="96"/>
      <c r="I45" s="96"/>
      <c r="J45" s="105"/>
    </row>
    <row r="46" spans="1:10">
      <c r="A46" s="214"/>
      <c r="B46" s="222"/>
      <c r="C46" s="262"/>
      <c r="D46" s="264"/>
      <c r="E46" s="106"/>
      <c r="F46" s="106"/>
      <c r="G46" s="95"/>
      <c r="H46" s="97"/>
      <c r="I46" s="97"/>
      <c r="J46" s="106"/>
    </row>
    <row r="47" spans="1:10">
      <c r="A47" s="214"/>
      <c r="B47" s="223" t="s">
        <v>150</v>
      </c>
      <c r="C47" s="265"/>
      <c r="D47" s="259"/>
      <c r="E47" s="107">
        <v>0</v>
      </c>
      <c r="F47" s="107">
        <v>0</v>
      </c>
      <c r="G47" s="112">
        <v>0</v>
      </c>
      <c r="H47" s="110"/>
      <c r="I47" s="110"/>
      <c r="J47" s="107"/>
    </row>
    <row r="48" spans="1:10">
      <c r="A48" s="214"/>
      <c r="B48" s="224"/>
      <c r="C48" s="268"/>
      <c r="D48" s="260"/>
      <c r="E48" s="108"/>
      <c r="F48" s="108"/>
      <c r="G48" s="116"/>
      <c r="H48" s="114"/>
      <c r="I48" s="114"/>
      <c r="J48" s="108"/>
    </row>
    <row r="49" spans="1:10">
      <c r="A49" s="214"/>
      <c r="B49" s="221" t="s">
        <v>151</v>
      </c>
      <c r="C49" s="261"/>
      <c r="D49" s="263"/>
      <c r="E49" s="105">
        <v>0</v>
      </c>
      <c r="F49" s="105">
        <v>0</v>
      </c>
      <c r="G49" s="94">
        <v>0</v>
      </c>
      <c r="H49" s="96"/>
      <c r="I49" s="96"/>
      <c r="J49" s="105"/>
    </row>
    <row r="50" spans="1:10">
      <c r="A50" s="214"/>
      <c r="B50" s="222"/>
      <c r="C50" s="262"/>
      <c r="D50" s="264"/>
      <c r="E50" s="106"/>
      <c r="F50" s="106"/>
      <c r="G50" s="95"/>
      <c r="H50" s="97"/>
      <c r="I50" s="97"/>
      <c r="J50" s="106"/>
    </row>
    <row r="51" spans="1:10">
      <c r="A51" s="214"/>
      <c r="B51" s="225" t="s">
        <v>163</v>
      </c>
      <c r="C51" s="265"/>
      <c r="D51" s="259"/>
      <c r="E51" s="107">
        <v>0</v>
      </c>
      <c r="F51" s="107">
        <v>0</v>
      </c>
      <c r="G51" s="112">
        <v>0</v>
      </c>
      <c r="H51" s="110"/>
      <c r="I51" s="110"/>
      <c r="J51" s="107"/>
    </row>
    <row r="52" spans="1:10">
      <c r="A52" s="214"/>
      <c r="B52" s="226"/>
      <c r="C52" s="268"/>
      <c r="D52" s="260"/>
      <c r="E52" s="108"/>
      <c r="F52" s="108"/>
      <c r="G52" s="116"/>
      <c r="H52" s="114"/>
      <c r="I52" s="114"/>
      <c r="J52" s="108"/>
    </row>
    <row r="53" spans="1:10">
      <c r="A53" s="214"/>
      <c r="B53" s="221" t="s">
        <v>152</v>
      </c>
      <c r="C53" s="261"/>
      <c r="D53" s="263"/>
      <c r="E53" s="105">
        <v>0</v>
      </c>
      <c r="F53" s="105">
        <v>0</v>
      </c>
      <c r="G53" s="94">
        <v>0</v>
      </c>
      <c r="H53" s="96"/>
      <c r="I53" s="96"/>
      <c r="J53" s="105"/>
    </row>
    <row r="54" spans="1:10">
      <c r="A54" s="214"/>
      <c r="B54" s="222"/>
      <c r="C54" s="262"/>
      <c r="D54" s="264"/>
      <c r="E54" s="106"/>
      <c r="F54" s="106"/>
      <c r="G54" s="95"/>
      <c r="H54" s="97"/>
      <c r="I54" s="97"/>
      <c r="J54" s="106"/>
    </row>
    <row r="55" spans="1:10">
      <c r="A55" s="214"/>
      <c r="B55" s="223" t="s">
        <v>164</v>
      </c>
      <c r="C55" s="265"/>
      <c r="D55" s="259"/>
      <c r="E55" s="107">
        <v>0</v>
      </c>
      <c r="F55" s="107">
        <v>0</v>
      </c>
      <c r="G55" s="112">
        <v>0</v>
      </c>
      <c r="H55" s="110"/>
      <c r="I55" s="110"/>
      <c r="J55" s="107"/>
    </row>
    <row r="56" spans="1:10" ht="15.75" thickBot="1">
      <c r="A56" s="215"/>
      <c r="B56" s="224"/>
      <c r="C56" s="266"/>
      <c r="D56" s="267"/>
      <c r="E56" s="98"/>
      <c r="F56" s="98"/>
      <c r="G56" s="117"/>
      <c r="H56" s="111"/>
      <c r="I56" s="111"/>
      <c r="J56" s="98"/>
    </row>
    <row r="57" spans="1:10" ht="14.25" customHeight="1">
      <c r="A57" s="227" t="s">
        <v>131</v>
      </c>
      <c r="B57" s="230" t="s">
        <v>137</v>
      </c>
      <c r="C57" s="269"/>
      <c r="D57" s="270"/>
      <c r="E57" s="109">
        <v>3</v>
      </c>
      <c r="F57" s="109">
        <v>3</v>
      </c>
      <c r="G57" s="115">
        <v>3</v>
      </c>
      <c r="H57" s="113"/>
      <c r="I57" s="113"/>
      <c r="J57" s="109"/>
    </row>
    <row r="58" spans="1:10">
      <c r="A58" s="228"/>
      <c r="B58" s="231"/>
      <c r="C58" s="268"/>
      <c r="D58" s="260"/>
      <c r="E58" s="108"/>
      <c r="F58" s="108"/>
      <c r="G58" s="116"/>
      <c r="H58" s="114"/>
      <c r="I58" s="114"/>
      <c r="J58" s="108"/>
    </row>
    <row r="59" spans="1:10">
      <c r="A59" s="228"/>
      <c r="B59" s="232" t="s">
        <v>132</v>
      </c>
      <c r="C59" s="261"/>
      <c r="D59" s="263"/>
      <c r="E59" s="105">
        <v>3</v>
      </c>
      <c r="F59" s="105">
        <v>4</v>
      </c>
      <c r="G59" s="94">
        <v>4</v>
      </c>
      <c r="H59" s="96"/>
      <c r="I59" s="96"/>
      <c r="J59" s="105"/>
    </row>
    <row r="60" spans="1:10">
      <c r="A60" s="228"/>
      <c r="B60" s="233"/>
      <c r="C60" s="262"/>
      <c r="D60" s="264"/>
      <c r="E60" s="106"/>
      <c r="F60" s="106"/>
      <c r="G60" s="95"/>
      <c r="H60" s="97"/>
      <c r="I60" s="97"/>
      <c r="J60" s="106"/>
    </row>
    <row r="61" spans="1:10">
      <c r="A61" s="228"/>
      <c r="B61" s="234" t="s">
        <v>136</v>
      </c>
      <c r="C61" s="265"/>
      <c r="D61" s="259"/>
      <c r="E61" s="107">
        <v>2</v>
      </c>
      <c r="F61" s="107">
        <v>3</v>
      </c>
      <c r="G61" s="112">
        <v>3</v>
      </c>
      <c r="H61" s="110"/>
      <c r="I61" s="110"/>
      <c r="J61" s="107"/>
    </row>
    <row r="62" spans="1:10">
      <c r="A62" s="228"/>
      <c r="B62" s="231"/>
      <c r="C62" s="268"/>
      <c r="D62" s="260"/>
      <c r="E62" s="108"/>
      <c r="F62" s="108"/>
      <c r="G62" s="116"/>
      <c r="H62" s="114"/>
      <c r="I62" s="114"/>
      <c r="J62" s="108"/>
    </row>
    <row r="63" spans="1:10">
      <c r="A63" s="228"/>
      <c r="B63" s="232" t="s">
        <v>133</v>
      </c>
      <c r="C63" s="261"/>
      <c r="D63" s="263"/>
      <c r="E63" s="105">
        <v>2</v>
      </c>
      <c r="F63" s="105">
        <v>2</v>
      </c>
      <c r="G63" s="94">
        <v>2</v>
      </c>
      <c r="H63" s="96"/>
      <c r="I63" s="96"/>
      <c r="J63" s="105"/>
    </row>
    <row r="64" spans="1:10">
      <c r="A64" s="228"/>
      <c r="B64" s="233"/>
      <c r="C64" s="262"/>
      <c r="D64" s="264"/>
      <c r="E64" s="106"/>
      <c r="F64" s="106"/>
      <c r="G64" s="95"/>
      <c r="H64" s="97"/>
      <c r="I64" s="97"/>
      <c r="J64" s="106"/>
    </row>
    <row r="65" spans="1:10">
      <c r="A65" s="228"/>
      <c r="B65" s="234" t="s">
        <v>134</v>
      </c>
      <c r="C65" s="265"/>
      <c r="D65" s="259"/>
      <c r="E65" s="107">
        <v>3</v>
      </c>
      <c r="F65" s="107">
        <v>4</v>
      </c>
      <c r="G65" s="112">
        <v>4</v>
      </c>
      <c r="H65" s="110"/>
      <c r="I65" s="110"/>
      <c r="J65" s="107"/>
    </row>
    <row r="66" spans="1:10">
      <c r="A66" s="228"/>
      <c r="B66" s="231"/>
      <c r="C66" s="268"/>
      <c r="D66" s="260"/>
      <c r="E66" s="108"/>
      <c r="F66" s="108"/>
      <c r="G66" s="116"/>
      <c r="H66" s="114"/>
      <c r="I66" s="114"/>
      <c r="J66" s="108"/>
    </row>
    <row r="67" spans="1:10">
      <c r="A67" s="228"/>
      <c r="B67" s="235" t="s">
        <v>140</v>
      </c>
      <c r="C67" s="261"/>
      <c r="D67" s="263"/>
      <c r="E67" s="105">
        <v>4</v>
      </c>
      <c r="F67" s="105">
        <v>4</v>
      </c>
      <c r="G67" s="94">
        <v>4</v>
      </c>
      <c r="H67" s="96"/>
      <c r="I67" s="96"/>
      <c r="J67" s="105"/>
    </row>
    <row r="68" spans="1:10">
      <c r="A68" s="228"/>
      <c r="B68" s="236"/>
      <c r="C68" s="262"/>
      <c r="D68" s="264"/>
      <c r="E68" s="106"/>
      <c r="F68" s="106"/>
      <c r="G68" s="95"/>
      <c r="H68" s="97"/>
      <c r="I68" s="97"/>
      <c r="J68" s="106"/>
    </row>
    <row r="69" spans="1:10">
      <c r="A69" s="228"/>
      <c r="B69" s="237" t="s">
        <v>135</v>
      </c>
      <c r="C69" s="265"/>
      <c r="D69" s="259"/>
      <c r="E69" s="107">
        <v>3</v>
      </c>
      <c r="F69" s="107">
        <v>3</v>
      </c>
      <c r="G69" s="112">
        <v>3</v>
      </c>
      <c r="H69" s="110"/>
      <c r="I69" s="110"/>
      <c r="J69" s="107"/>
    </row>
    <row r="70" spans="1:10">
      <c r="A70" s="228"/>
      <c r="B70" s="238"/>
      <c r="C70" s="268"/>
      <c r="D70" s="260"/>
      <c r="E70" s="108"/>
      <c r="F70" s="108"/>
      <c r="G70" s="116"/>
      <c r="H70" s="114"/>
      <c r="I70" s="114"/>
      <c r="J70" s="108"/>
    </row>
    <row r="71" spans="1:10">
      <c r="A71" s="228"/>
      <c r="B71" s="235" t="s">
        <v>138</v>
      </c>
      <c r="C71" s="261"/>
      <c r="D71" s="263"/>
      <c r="E71" s="105">
        <v>2</v>
      </c>
      <c r="F71" s="105">
        <v>2</v>
      </c>
      <c r="G71" s="94">
        <v>2</v>
      </c>
      <c r="H71" s="96"/>
      <c r="I71" s="96"/>
      <c r="J71" s="105"/>
    </row>
    <row r="72" spans="1:10">
      <c r="A72" s="228"/>
      <c r="B72" s="236"/>
      <c r="C72" s="262"/>
      <c r="D72" s="264"/>
      <c r="E72" s="106"/>
      <c r="F72" s="106"/>
      <c r="G72" s="95"/>
      <c r="H72" s="97"/>
      <c r="I72" s="97"/>
      <c r="J72" s="106"/>
    </row>
    <row r="73" spans="1:10">
      <c r="A73" s="228"/>
      <c r="B73" s="234" t="s">
        <v>139</v>
      </c>
      <c r="C73" s="265"/>
      <c r="D73" s="259"/>
      <c r="E73" s="107">
        <v>4</v>
      </c>
      <c r="F73" s="107">
        <v>4</v>
      </c>
      <c r="G73" s="112">
        <v>4</v>
      </c>
      <c r="H73" s="110"/>
      <c r="I73" s="110"/>
      <c r="J73" s="107"/>
    </row>
    <row r="74" spans="1:10">
      <c r="A74" s="228"/>
      <c r="B74" s="231"/>
      <c r="C74" s="268"/>
      <c r="D74" s="260"/>
      <c r="E74" s="108"/>
      <c r="F74" s="108"/>
      <c r="G74" s="116"/>
      <c r="H74" s="114"/>
      <c r="I74" s="114"/>
      <c r="J74" s="108"/>
    </row>
    <row r="75" spans="1:10">
      <c r="A75" s="228"/>
      <c r="B75" s="232" t="s">
        <v>141</v>
      </c>
      <c r="C75" s="261"/>
      <c r="D75" s="263"/>
      <c r="E75" s="105">
        <v>2</v>
      </c>
      <c r="F75" s="105">
        <v>2</v>
      </c>
      <c r="G75" s="94">
        <v>2</v>
      </c>
      <c r="H75" s="96"/>
      <c r="I75" s="96"/>
      <c r="J75" s="105"/>
    </row>
    <row r="76" spans="1:10">
      <c r="A76" s="228"/>
      <c r="B76" s="233"/>
      <c r="C76" s="262"/>
      <c r="D76" s="264"/>
      <c r="E76" s="106"/>
      <c r="F76" s="106"/>
      <c r="G76" s="95"/>
      <c r="H76" s="97"/>
      <c r="I76" s="97"/>
      <c r="J76" s="106"/>
    </row>
    <row r="77" spans="1:10">
      <c r="A77" s="228"/>
      <c r="B77" s="237" t="s">
        <v>142</v>
      </c>
      <c r="C77" s="265"/>
      <c r="D77" s="259"/>
      <c r="E77" s="107">
        <v>4</v>
      </c>
      <c r="F77" s="107">
        <v>4</v>
      </c>
      <c r="G77" s="112">
        <v>4</v>
      </c>
      <c r="H77" s="110"/>
      <c r="I77" s="110"/>
      <c r="J77" s="107"/>
    </row>
    <row r="78" spans="1:10" ht="15.75" thickBot="1">
      <c r="A78" s="229"/>
      <c r="B78" s="238"/>
      <c r="C78" s="266"/>
      <c r="D78" s="267"/>
      <c r="E78" s="98"/>
      <c r="F78" s="98"/>
      <c r="G78" s="117"/>
      <c r="H78" s="111"/>
      <c r="I78" s="111"/>
      <c r="J78" s="98"/>
    </row>
    <row r="80" spans="1:10">
      <c r="E80" s="128"/>
    </row>
    <row r="81" spans="1:2" ht="17.25">
      <c r="A81" s="39" t="s">
        <v>111</v>
      </c>
      <c r="B81" s="35" t="s">
        <v>90</v>
      </c>
    </row>
    <row r="82" spans="1:2" ht="17.25">
      <c r="A82" s="39" t="s">
        <v>91</v>
      </c>
      <c r="B82" s="35" t="s">
        <v>92</v>
      </c>
    </row>
    <row r="83" spans="1:2" ht="17.25">
      <c r="A83" s="39" t="s">
        <v>93</v>
      </c>
      <c r="B83" s="35" t="s">
        <v>94</v>
      </c>
    </row>
    <row r="84" spans="1:2" ht="17.25">
      <c r="A84" s="39" t="s">
        <v>95</v>
      </c>
      <c r="B84" s="35" t="s">
        <v>96</v>
      </c>
    </row>
    <row r="85" spans="1:2" ht="17.25">
      <c r="A85" s="40" t="s">
        <v>97</v>
      </c>
      <c r="B85" s="37" t="s">
        <v>98</v>
      </c>
    </row>
  </sheetData>
  <mergeCells count="108">
    <mergeCell ref="D2:G2"/>
    <mergeCell ref="H2:I8"/>
    <mergeCell ref="D3:G3"/>
    <mergeCell ref="A10:B12"/>
    <mergeCell ref="C10:F10"/>
    <mergeCell ref="A13:A34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13:C14"/>
    <mergeCell ref="D13:D14"/>
    <mergeCell ref="D29:D30"/>
    <mergeCell ref="D31:D32"/>
    <mergeCell ref="D33:D34"/>
    <mergeCell ref="G10:J10"/>
    <mergeCell ref="A35:A56"/>
    <mergeCell ref="B35:B36"/>
    <mergeCell ref="B37:B38"/>
    <mergeCell ref="B39:B40"/>
    <mergeCell ref="B41:B42"/>
    <mergeCell ref="B43:B44"/>
    <mergeCell ref="B45:B46"/>
    <mergeCell ref="B49:B50"/>
    <mergeCell ref="B51:B52"/>
    <mergeCell ref="B53:B54"/>
    <mergeCell ref="B55:B56"/>
    <mergeCell ref="A57:A78"/>
    <mergeCell ref="B57:B58"/>
    <mergeCell ref="B59:B60"/>
    <mergeCell ref="B61:B62"/>
    <mergeCell ref="B63:B64"/>
    <mergeCell ref="D15:D16"/>
    <mergeCell ref="D17:D18"/>
    <mergeCell ref="D19:D20"/>
    <mergeCell ref="D21:D22"/>
    <mergeCell ref="D23:D24"/>
    <mergeCell ref="D25:D26"/>
    <mergeCell ref="D27:D28"/>
    <mergeCell ref="B77:B78"/>
    <mergeCell ref="C15:C16"/>
    <mergeCell ref="C17:C18"/>
    <mergeCell ref="C19:C20"/>
    <mergeCell ref="C21:C22"/>
    <mergeCell ref="C23:C24"/>
    <mergeCell ref="C25:C26"/>
    <mergeCell ref="C27:C28"/>
    <mergeCell ref="B65:B66"/>
    <mergeCell ref="B67:B68"/>
    <mergeCell ref="B69:B70"/>
    <mergeCell ref="B71:B72"/>
    <mergeCell ref="B73:B74"/>
    <mergeCell ref="B75:B76"/>
    <mergeCell ref="B47:B48"/>
    <mergeCell ref="C39:C40"/>
    <mergeCell ref="D39:D40"/>
    <mergeCell ref="C41:C42"/>
    <mergeCell ref="D41:D42"/>
    <mergeCell ref="C43:C44"/>
    <mergeCell ref="D43:D44"/>
    <mergeCell ref="C53:C54"/>
    <mergeCell ref="D53:D54"/>
    <mergeCell ref="C55:C56"/>
    <mergeCell ref="D55:D56"/>
    <mergeCell ref="C63:C64"/>
    <mergeCell ref="D63:D64"/>
    <mergeCell ref="C65:C66"/>
    <mergeCell ref="D65:D66"/>
    <mergeCell ref="C67:C68"/>
    <mergeCell ref="D67:D68"/>
    <mergeCell ref="C57:C58"/>
    <mergeCell ref="D57:D58"/>
    <mergeCell ref="C59:C60"/>
    <mergeCell ref="D59:D60"/>
    <mergeCell ref="C61:C62"/>
    <mergeCell ref="C35:C36"/>
    <mergeCell ref="D35:D36"/>
    <mergeCell ref="C37:C38"/>
    <mergeCell ref="D37:D38"/>
    <mergeCell ref="C29:C30"/>
    <mergeCell ref="C31:C32"/>
    <mergeCell ref="C33:C34"/>
    <mergeCell ref="C51:C52"/>
    <mergeCell ref="D51:D52"/>
    <mergeCell ref="C45:C46"/>
    <mergeCell ref="D45:D46"/>
    <mergeCell ref="C47:C48"/>
    <mergeCell ref="D47:D48"/>
    <mergeCell ref="C49:C50"/>
    <mergeCell ref="D49:D50"/>
    <mergeCell ref="D61:D62"/>
    <mergeCell ref="C75:C76"/>
    <mergeCell ref="D75:D76"/>
    <mergeCell ref="C77:C78"/>
    <mergeCell ref="D77:D78"/>
    <mergeCell ref="C69:C70"/>
    <mergeCell ref="D69:D70"/>
    <mergeCell ref="C71:C72"/>
    <mergeCell ref="D71:D72"/>
    <mergeCell ref="C73:C74"/>
    <mergeCell ref="D73:D74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00B050"/>
  </sheetPr>
  <dimension ref="A1:O41"/>
  <sheetViews>
    <sheetView zoomScale="70" zoomScaleNormal="70" workbookViewId="0">
      <selection activeCell="M2" sqref="M2:N8"/>
    </sheetView>
  </sheetViews>
  <sheetFormatPr defaultRowHeight="15"/>
  <cols>
    <col min="1" max="1" width="11.140625" customWidth="1"/>
    <col min="2" max="2" width="46.140625" customWidth="1"/>
    <col min="3" max="14" width="8.5703125" style="15" customWidth="1"/>
    <col min="15" max="15" width="14" style="15" customWidth="1"/>
  </cols>
  <sheetData>
    <row r="1" spans="1:14" ht="15.75" thickBot="1"/>
    <row r="2" spans="1:14">
      <c r="A2" s="22" t="s">
        <v>112</v>
      </c>
      <c r="B2" s="23"/>
      <c r="H2" s="26" t="s">
        <v>50</v>
      </c>
      <c r="I2" s="249"/>
      <c r="J2" s="249"/>
      <c r="K2" s="249"/>
      <c r="L2" s="250"/>
      <c r="M2" s="251"/>
      <c r="N2" s="252"/>
    </row>
    <row r="3" spans="1:14" ht="15.75" thickBot="1">
      <c r="A3" s="24" t="s">
        <v>113</v>
      </c>
      <c r="B3" s="25"/>
      <c r="H3" s="27" t="s">
        <v>89</v>
      </c>
      <c r="I3" s="257"/>
      <c r="J3" s="257"/>
      <c r="K3" s="257"/>
      <c r="L3" s="258"/>
      <c r="M3" s="253"/>
      <c r="N3" s="254"/>
    </row>
    <row r="4" spans="1:14">
      <c r="M4" s="253"/>
      <c r="N4" s="254"/>
    </row>
    <row r="5" spans="1:14">
      <c r="M5" s="253"/>
      <c r="N5" s="254"/>
    </row>
    <row r="6" spans="1:14">
      <c r="M6" s="253"/>
      <c r="N6" s="254"/>
    </row>
    <row r="7" spans="1:14">
      <c r="M7" s="253"/>
      <c r="N7" s="254"/>
    </row>
    <row r="8" spans="1:14" ht="15.75" thickBot="1">
      <c r="M8" s="255"/>
      <c r="N8" s="256"/>
    </row>
    <row r="9" spans="1:14" ht="15.75" thickBot="1">
      <c r="M9" s="29"/>
      <c r="N9" s="29"/>
    </row>
    <row r="10" spans="1:14">
      <c r="A10" s="240" t="s">
        <v>99</v>
      </c>
      <c r="B10" s="241"/>
      <c r="C10" s="246" t="s">
        <v>108</v>
      </c>
      <c r="D10" s="247"/>
      <c r="E10" s="247"/>
      <c r="F10" s="248"/>
      <c r="G10" s="246" t="s">
        <v>109</v>
      </c>
      <c r="H10" s="247"/>
      <c r="I10" s="247"/>
      <c r="J10" s="248"/>
      <c r="K10" s="247" t="s">
        <v>110</v>
      </c>
      <c r="L10" s="247"/>
      <c r="M10" s="247"/>
      <c r="N10" s="248"/>
    </row>
    <row r="11" spans="1:14">
      <c r="A11" s="242"/>
      <c r="B11" s="243"/>
      <c r="C11" s="42" t="s">
        <v>100</v>
      </c>
      <c r="D11" s="28" t="s">
        <v>101</v>
      </c>
      <c r="E11" s="28" t="s">
        <v>102</v>
      </c>
      <c r="F11" s="41" t="s">
        <v>103</v>
      </c>
      <c r="G11" s="42" t="s">
        <v>100</v>
      </c>
      <c r="H11" s="28" t="s">
        <v>101</v>
      </c>
      <c r="I11" s="28" t="s">
        <v>102</v>
      </c>
      <c r="J11" s="41" t="s">
        <v>103</v>
      </c>
      <c r="K11" s="32" t="s">
        <v>100</v>
      </c>
      <c r="L11" s="28" t="s">
        <v>101</v>
      </c>
      <c r="M11" s="28" t="s">
        <v>102</v>
      </c>
      <c r="N11" s="41" t="s">
        <v>103</v>
      </c>
    </row>
    <row r="12" spans="1:14" ht="15.75" thickBot="1">
      <c r="A12" s="244"/>
      <c r="B12" s="245"/>
      <c r="C12" s="43" t="s">
        <v>105</v>
      </c>
      <c r="D12" s="30" t="s">
        <v>106</v>
      </c>
      <c r="E12" s="30" t="s">
        <v>107</v>
      </c>
      <c r="F12" s="31" t="s">
        <v>104</v>
      </c>
      <c r="G12" s="43" t="s">
        <v>105</v>
      </c>
      <c r="H12" s="30" t="s">
        <v>106</v>
      </c>
      <c r="I12" s="30" t="s">
        <v>107</v>
      </c>
      <c r="J12" s="31" t="s">
        <v>104</v>
      </c>
      <c r="K12" s="44" t="s">
        <v>105</v>
      </c>
      <c r="L12" s="30" t="s">
        <v>106</v>
      </c>
      <c r="M12" s="30" t="s">
        <v>107</v>
      </c>
      <c r="N12" s="31" t="s">
        <v>104</v>
      </c>
    </row>
    <row r="13" spans="1:14" ht="14.25" customHeight="1">
      <c r="A13" s="213" t="s">
        <v>77</v>
      </c>
      <c r="B13" s="45" t="s">
        <v>78</v>
      </c>
      <c r="C13" s="55"/>
      <c r="D13" s="56"/>
      <c r="E13" s="56"/>
      <c r="F13" s="57"/>
      <c r="G13" s="55"/>
      <c r="H13" s="56"/>
      <c r="I13" s="56"/>
      <c r="J13" s="57"/>
      <c r="K13" s="55"/>
      <c r="L13" s="56"/>
      <c r="M13" s="56"/>
      <c r="N13" s="57"/>
    </row>
    <row r="14" spans="1:14">
      <c r="A14" s="214"/>
      <c r="B14" s="46"/>
      <c r="C14" s="53"/>
      <c r="D14" s="52"/>
      <c r="E14" s="52"/>
      <c r="F14" s="54"/>
      <c r="G14" s="53"/>
      <c r="H14" s="52"/>
      <c r="I14" s="52"/>
      <c r="J14" s="54"/>
      <c r="K14" s="53"/>
      <c r="L14" s="52"/>
      <c r="M14" s="52"/>
      <c r="N14" s="54"/>
    </row>
    <row r="15" spans="1:14">
      <c r="A15" s="214"/>
      <c r="B15" s="47" t="s">
        <v>79</v>
      </c>
      <c r="C15" s="60"/>
      <c r="D15" s="58"/>
      <c r="E15" s="58"/>
      <c r="F15" s="59"/>
      <c r="G15" s="60"/>
      <c r="H15" s="58"/>
      <c r="I15" s="58"/>
      <c r="J15" s="59"/>
      <c r="K15" s="60"/>
      <c r="L15" s="58"/>
      <c r="M15" s="58"/>
      <c r="N15" s="59"/>
    </row>
    <row r="16" spans="1:14">
      <c r="A16" s="214"/>
      <c r="B16" s="48"/>
      <c r="C16" s="63"/>
      <c r="D16" s="61"/>
      <c r="E16" s="61"/>
      <c r="F16" s="62"/>
      <c r="G16" s="63"/>
      <c r="H16" s="61"/>
      <c r="I16" s="61"/>
      <c r="J16" s="62"/>
      <c r="K16" s="63"/>
      <c r="L16" s="61"/>
      <c r="M16" s="61"/>
      <c r="N16" s="62"/>
    </row>
    <row r="17" spans="1:14">
      <c r="A17" s="214"/>
      <c r="B17" s="49" t="s">
        <v>87</v>
      </c>
      <c r="C17" s="64"/>
      <c r="D17" s="65"/>
      <c r="E17" s="65"/>
      <c r="F17" s="66"/>
      <c r="G17" s="64"/>
      <c r="H17" s="65"/>
      <c r="I17" s="65"/>
      <c r="J17" s="66"/>
      <c r="K17" s="64"/>
      <c r="L17" s="65"/>
      <c r="M17" s="65"/>
      <c r="N17" s="66"/>
    </row>
    <row r="18" spans="1:14">
      <c r="A18" s="214"/>
      <c r="B18" s="46"/>
      <c r="C18" s="53"/>
      <c r="D18" s="52"/>
      <c r="E18" s="52"/>
      <c r="F18" s="54"/>
      <c r="G18" s="53"/>
      <c r="H18" s="52"/>
      <c r="I18" s="52"/>
      <c r="J18" s="54"/>
      <c r="K18" s="53"/>
      <c r="L18" s="52"/>
      <c r="M18" s="52"/>
      <c r="N18" s="54"/>
    </row>
    <row r="19" spans="1:14">
      <c r="A19" s="214"/>
      <c r="B19" s="47" t="s">
        <v>80</v>
      </c>
      <c r="C19" s="60"/>
      <c r="D19" s="58"/>
      <c r="E19" s="58"/>
      <c r="F19" s="59"/>
      <c r="G19" s="60"/>
      <c r="H19" s="58"/>
      <c r="I19" s="58"/>
      <c r="J19" s="59"/>
      <c r="K19" s="60"/>
      <c r="L19" s="58"/>
      <c r="M19" s="58"/>
      <c r="N19" s="59"/>
    </row>
    <row r="20" spans="1:14">
      <c r="A20" s="214"/>
      <c r="B20" s="48"/>
      <c r="C20" s="63"/>
      <c r="D20" s="61"/>
      <c r="E20" s="61"/>
      <c r="F20" s="62"/>
      <c r="G20" s="63"/>
      <c r="H20" s="61"/>
      <c r="I20" s="61"/>
      <c r="J20" s="62"/>
      <c r="K20" s="63"/>
      <c r="L20" s="61"/>
      <c r="M20" s="61"/>
      <c r="N20" s="62"/>
    </row>
    <row r="21" spans="1:14">
      <c r="A21" s="214"/>
      <c r="B21" s="49" t="s">
        <v>88</v>
      </c>
      <c r="C21" s="64"/>
      <c r="D21" s="65"/>
      <c r="E21" s="65"/>
      <c r="F21" s="66"/>
      <c r="G21" s="64"/>
      <c r="H21" s="65"/>
      <c r="I21" s="65"/>
      <c r="J21" s="66"/>
      <c r="K21" s="64"/>
      <c r="L21" s="65"/>
      <c r="M21" s="65"/>
      <c r="N21" s="66"/>
    </row>
    <row r="22" spans="1:14">
      <c r="A22" s="214"/>
      <c r="B22" s="46"/>
      <c r="C22" s="53"/>
      <c r="D22" s="52"/>
      <c r="E22" s="52"/>
      <c r="F22" s="54"/>
      <c r="G22" s="53"/>
      <c r="H22" s="52"/>
      <c r="I22" s="52"/>
      <c r="J22" s="54"/>
      <c r="K22" s="53"/>
      <c r="L22" s="52"/>
      <c r="M22" s="52"/>
      <c r="N22" s="54"/>
    </row>
    <row r="23" spans="1:14">
      <c r="A23" s="214"/>
      <c r="B23" s="47" t="s">
        <v>81</v>
      </c>
      <c r="C23" s="60"/>
      <c r="D23" s="58"/>
      <c r="E23" s="58"/>
      <c r="F23" s="59"/>
      <c r="G23" s="60"/>
      <c r="H23" s="58"/>
      <c r="I23" s="58"/>
      <c r="J23" s="59"/>
      <c r="K23" s="60"/>
      <c r="L23" s="58"/>
      <c r="M23" s="58"/>
      <c r="N23" s="59"/>
    </row>
    <row r="24" spans="1:14">
      <c r="A24" s="214"/>
      <c r="B24" s="48"/>
      <c r="C24" s="63"/>
      <c r="D24" s="61"/>
      <c r="E24" s="61"/>
      <c r="F24" s="62"/>
      <c r="G24" s="63"/>
      <c r="H24" s="61"/>
      <c r="I24" s="61"/>
      <c r="J24" s="62"/>
      <c r="K24" s="63"/>
      <c r="L24" s="61"/>
      <c r="M24" s="61"/>
      <c r="N24" s="62"/>
    </row>
    <row r="25" spans="1:14">
      <c r="A25" s="214"/>
      <c r="B25" s="49" t="s">
        <v>82</v>
      </c>
      <c r="C25" s="64"/>
      <c r="D25" s="65"/>
      <c r="E25" s="65"/>
      <c r="F25" s="66"/>
      <c r="G25" s="64"/>
      <c r="H25" s="65"/>
      <c r="I25" s="65"/>
      <c r="J25" s="66"/>
      <c r="K25" s="64"/>
      <c r="L25" s="65"/>
      <c r="M25" s="65"/>
      <c r="N25" s="66"/>
    </row>
    <row r="26" spans="1:14">
      <c r="A26" s="214"/>
      <c r="B26" s="46"/>
      <c r="C26" s="53"/>
      <c r="D26" s="52"/>
      <c r="E26" s="52"/>
      <c r="F26" s="54"/>
      <c r="G26" s="53"/>
      <c r="H26" s="52"/>
      <c r="I26" s="52"/>
      <c r="J26" s="54"/>
      <c r="K26" s="53"/>
      <c r="L26" s="52"/>
      <c r="M26" s="52"/>
      <c r="N26" s="54"/>
    </row>
    <row r="27" spans="1:14">
      <c r="A27" s="214"/>
      <c r="B27" s="47" t="s">
        <v>83</v>
      </c>
      <c r="C27" s="60"/>
      <c r="D27" s="58"/>
      <c r="E27" s="58"/>
      <c r="F27" s="59"/>
      <c r="G27" s="60"/>
      <c r="H27" s="58"/>
      <c r="I27" s="58"/>
      <c r="J27" s="59"/>
      <c r="K27" s="60"/>
      <c r="L27" s="58"/>
      <c r="M27" s="58"/>
      <c r="N27" s="59"/>
    </row>
    <row r="28" spans="1:14">
      <c r="A28" s="214"/>
      <c r="B28" s="48"/>
      <c r="C28" s="63"/>
      <c r="D28" s="61"/>
      <c r="E28" s="61"/>
      <c r="F28" s="62"/>
      <c r="G28" s="63"/>
      <c r="H28" s="61"/>
      <c r="I28" s="61"/>
      <c r="J28" s="62"/>
      <c r="K28" s="63"/>
      <c r="L28" s="61"/>
      <c r="M28" s="61"/>
      <c r="N28" s="62"/>
    </row>
    <row r="29" spans="1:14">
      <c r="A29" s="214"/>
      <c r="B29" s="49" t="s">
        <v>86</v>
      </c>
      <c r="C29" s="64"/>
      <c r="D29" s="65"/>
      <c r="E29" s="65"/>
      <c r="F29" s="66"/>
      <c r="G29" s="64"/>
      <c r="H29" s="65"/>
      <c r="I29" s="65"/>
      <c r="J29" s="66"/>
      <c r="K29" s="64"/>
      <c r="L29" s="65"/>
      <c r="M29" s="65"/>
      <c r="N29" s="66"/>
    </row>
    <row r="30" spans="1:14">
      <c r="A30" s="214"/>
      <c r="B30" s="46"/>
      <c r="C30" s="53"/>
      <c r="D30" s="52"/>
      <c r="E30" s="52"/>
      <c r="F30" s="54"/>
      <c r="G30" s="53"/>
      <c r="H30" s="52"/>
      <c r="I30" s="52"/>
      <c r="J30" s="54"/>
      <c r="K30" s="53"/>
      <c r="L30" s="52"/>
      <c r="M30" s="52"/>
      <c r="N30" s="54"/>
    </row>
    <row r="31" spans="1:14">
      <c r="A31" s="214"/>
      <c r="B31" s="47" t="s">
        <v>84</v>
      </c>
      <c r="C31" s="60"/>
      <c r="D31" s="58"/>
      <c r="E31" s="58"/>
      <c r="F31" s="59"/>
      <c r="G31" s="60"/>
      <c r="H31" s="58"/>
      <c r="I31" s="58"/>
      <c r="J31" s="59"/>
      <c r="K31" s="60"/>
      <c r="L31" s="58"/>
      <c r="M31" s="58"/>
      <c r="N31" s="59"/>
    </row>
    <row r="32" spans="1:14">
      <c r="A32" s="214"/>
      <c r="B32" s="48"/>
      <c r="C32" s="63"/>
      <c r="D32" s="61"/>
      <c r="E32" s="61"/>
      <c r="F32" s="62"/>
      <c r="G32" s="63"/>
      <c r="H32" s="61"/>
      <c r="I32" s="61"/>
      <c r="J32" s="62"/>
      <c r="K32" s="63"/>
      <c r="L32" s="61"/>
      <c r="M32" s="61"/>
      <c r="N32" s="62"/>
    </row>
    <row r="33" spans="1:14">
      <c r="A33" s="214"/>
      <c r="B33" s="49" t="s">
        <v>85</v>
      </c>
      <c r="C33" s="64"/>
      <c r="D33" s="65"/>
      <c r="E33" s="65"/>
      <c r="F33" s="66"/>
      <c r="G33" s="64"/>
      <c r="H33" s="65"/>
      <c r="I33" s="65"/>
      <c r="J33" s="66"/>
      <c r="K33" s="64"/>
      <c r="L33" s="65"/>
      <c r="M33" s="65"/>
      <c r="N33" s="66"/>
    </row>
    <row r="34" spans="1:14" ht="15.75" thickBot="1">
      <c r="A34" s="215"/>
      <c r="B34" s="50"/>
      <c r="C34" s="67"/>
      <c r="D34" s="68"/>
      <c r="E34" s="68"/>
      <c r="F34" s="69"/>
      <c r="G34" s="67"/>
      <c r="H34" s="68"/>
      <c r="I34" s="68"/>
      <c r="J34" s="69"/>
      <c r="K34" s="67"/>
      <c r="L34" s="68"/>
      <c r="M34" s="68"/>
      <c r="N34" s="69"/>
    </row>
    <row r="37" spans="1:14" ht="17.25">
      <c r="A37" s="39" t="s">
        <v>111</v>
      </c>
      <c r="B37" s="35" t="s">
        <v>90</v>
      </c>
      <c r="C37" s="34"/>
      <c r="D37" s="34"/>
      <c r="E37" s="34"/>
      <c r="F37" s="34"/>
    </row>
    <row r="38" spans="1:14" ht="17.25">
      <c r="A38" s="39" t="s">
        <v>91</v>
      </c>
      <c r="B38" s="35" t="s">
        <v>92</v>
      </c>
      <c r="C38" s="34"/>
      <c r="D38" s="34"/>
      <c r="E38" s="34"/>
      <c r="F38" s="34"/>
    </row>
    <row r="39" spans="1:14" ht="17.25">
      <c r="A39" s="39" t="s">
        <v>93</v>
      </c>
      <c r="B39" s="35" t="s">
        <v>94</v>
      </c>
      <c r="C39" s="34"/>
      <c r="D39" s="34"/>
      <c r="E39" s="34"/>
      <c r="F39" s="34"/>
    </row>
    <row r="40" spans="1:14" ht="17.25">
      <c r="A40" s="39" t="s">
        <v>95</v>
      </c>
      <c r="B40" s="35" t="s">
        <v>96</v>
      </c>
      <c r="C40" s="34"/>
      <c r="D40" s="34"/>
      <c r="E40" s="34"/>
      <c r="F40" s="34"/>
      <c r="G40" s="29"/>
      <c r="H40" s="29"/>
      <c r="I40" s="29"/>
      <c r="J40" s="29"/>
      <c r="K40" s="29"/>
      <c r="L40" s="29"/>
      <c r="M40" s="29"/>
      <c r="N40" s="29"/>
    </row>
    <row r="41" spans="1:14" ht="17.25">
      <c r="A41" s="40" t="s">
        <v>97</v>
      </c>
      <c r="B41" s="37" t="s">
        <v>98</v>
      </c>
      <c r="C41" s="36"/>
      <c r="D41" s="36"/>
      <c r="E41" s="36"/>
      <c r="F41" s="36"/>
    </row>
  </sheetData>
  <mergeCells count="8">
    <mergeCell ref="A10:B12"/>
    <mergeCell ref="A13:A34"/>
    <mergeCell ref="I2:L2"/>
    <mergeCell ref="I3:L3"/>
    <mergeCell ref="C10:F10"/>
    <mergeCell ref="G10:J10"/>
    <mergeCell ref="K10:N10"/>
    <mergeCell ref="M2:N8"/>
  </mergeCells>
  <pageMargins left="0.70866141732283472" right="0.70866141732283472" top="0.74803149606299213" bottom="0.74803149606299213" header="0.31496062992125984" footer="0.31496062992125984"/>
  <pageSetup paperSize="9" scale="7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format manao</vt:lpstr>
      <vt:lpstr>SECTION OVERALL</vt:lpstr>
      <vt:lpstr>trash</vt:lpstr>
      <vt:lpstr>L6121</vt:lpstr>
      <vt:lpstr>F1754</vt:lpstr>
      <vt:lpstr>LE216</vt:lpstr>
      <vt:lpstr>LE511</vt:lpstr>
      <vt:lpstr>FORMAT</vt:lpstr>
      <vt:lpstr>'format manao'!Print_Area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lbl7274</dc:creator>
  <cp:lastModifiedBy>Siriwan Pukdeesirivong</cp:lastModifiedBy>
  <cp:lastPrinted>2015-06-10T05:08:13Z</cp:lastPrinted>
  <dcterms:created xsi:type="dcterms:W3CDTF">2012-11-27T09:51:54Z</dcterms:created>
  <dcterms:modified xsi:type="dcterms:W3CDTF">2026-07-02T06:07:22Z</dcterms:modified>
</cp:coreProperties>
</file>