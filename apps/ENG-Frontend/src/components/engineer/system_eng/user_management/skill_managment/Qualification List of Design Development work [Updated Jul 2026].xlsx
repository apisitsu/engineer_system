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Z:\Competency\Engineering\"/>
    </mc:Choice>
  </mc:AlternateContent>
  <xr:revisionPtr revIDLastSave="0" documentId="13_ncr:1_{A4FD1129-93CA-4470-8129-1FBD9C2FFED9}" xr6:coauthVersionLast="36" xr6:coauthVersionMax="36" xr10:uidLastSave="{00000000-0000-0000-0000-000000000000}"/>
  <bookViews>
    <workbookView xWindow="0" yWindow="0" windowWidth="23040" windowHeight="8904" firstSheet="1" activeTab="1" xr2:uid="{00000000-000D-0000-FFFF-FFFF00000000}"/>
  </bookViews>
  <sheets>
    <sheet name="Qualified person (Form)" sheetId="7" r:id="rId1"/>
    <sheet name="Qualified person" sheetId="2" r:id="rId2"/>
    <sheet name="Ver 1" sheetId="8" state="hidden" r:id="rId3"/>
    <sheet name="Skill Require" sheetId="9" r:id="rId4"/>
    <sheet name="Skill" sheetId="4" r:id="rId5"/>
    <sheet name="Job descript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2" l="1"/>
  <c r="G17" i="2"/>
  <c r="I22" i="2"/>
  <c r="I21" i="2"/>
  <c r="I20" i="2"/>
  <c r="I19" i="2"/>
  <c r="I17" i="2"/>
  <c r="I16" i="2"/>
  <c r="I15" i="2"/>
  <c r="I14" i="2"/>
  <c r="I13" i="2"/>
  <c r="I12" i="2"/>
  <c r="I10" i="2"/>
  <c r="I9" i="2"/>
  <c r="I8" i="2"/>
  <c r="I7" i="2"/>
  <c r="I5" i="2"/>
  <c r="G22" i="2"/>
  <c r="G21" i="2"/>
  <c r="G20" i="2"/>
  <c r="G19" i="2"/>
  <c r="G16" i="2"/>
  <c r="G15" i="2"/>
  <c r="G14" i="2"/>
  <c r="G13" i="2"/>
  <c r="G12" i="2"/>
  <c r="G10" i="2"/>
  <c r="G9" i="2"/>
  <c r="G8" i="2"/>
  <c r="G7" i="2"/>
  <c r="G5" i="2"/>
  <c r="O24" i="2" l="1"/>
  <c r="AF9" i="2"/>
  <c r="O9" i="2"/>
  <c r="N9" i="2"/>
  <c r="F9" i="2"/>
  <c r="E9" i="2"/>
  <c r="F17" i="2"/>
  <c r="H17" i="2"/>
  <c r="N17" i="2"/>
  <c r="O17" i="2"/>
  <c r="E17" i="2"/>
  <c r="F22" i="2" l="1"/>
  <c r="H22" i="2"/>
  <c r="N22" i="2"/>
  <c r="O22" i="2"/>
  <c r="E22" i="2"/>
  <c r="E27" i="2"/>
  <c r="J27" i="2"/>
  <c r="K27" i="2"/>
  <c r="L27" i="2"/>
  <c r="M27" i="2"/>
  <c r="N27" i="2"/>
  <c r="O27" i="2"/>
  <c r="AF27" i="2"/>
  <c r="L26" i="2" l="1"/>
  <c r="N5" i="2" l="1"/>
  <c r="M25" i="2"/>
  <c r="K25" i="2"/>
  <c r="K24" i="2" l="1"/>
  <c r="L25" i="2"/>
  <c r="H7" i="2"/>
  <c r="H8" i="2"/>
  <c r="H10" i="2"/>
  <c r="H12" i="2"/>
  <c r="H13" i="2"/>
  <c r="H14" i="2"/>
  <c r="H15" i="2"/>
  <c r="H16" i="2"/>
  <c r="H19" i="2"/>
  <c r="H20" i="2"/>
  <c r="H21" i="2"/>
  <c r="L24" i="2"/>
  <c r="J24" i="2"/>
  <c r="H5" i="2"/>
  <c r="F5" i="2"/>
  <c r="N7" i="2" l="1"/>
  <c r="N8" i="2"/>
  <c r="N10" i="2"/>
  <c r="N12" i="2"/>
  <c r="N13" i="2"/>
  <c r="N14" i="2"/>
  <c r="N15" i="2"/>
  <c r="N16" i="2"/>
  <c r="N19" i="2"/>
  <c r="N20" i="2"/>
  <c r="N21" i="2"/>
  <c r="N24" i="2"/>
  <c r="N25" i="2"/>
  <c r="N26" i="2"/>
  <c r="F7" i="2"/>
  <c r="O7" i="2"/>
  <c r="F8" i="2"/>
  <c r="O8" i="2"/>
  <c r="F10" i="2"/>
  <c r="O10" i="2"/>
  <c r="F12" i="2"/>
  <c r="O12" i="2"/>
  <c r="F13" i="2"/>
  <c r="O13" i="2"/>
  <c r="F14" i="2"/>
  <c r="O14" i="2"/>
  <c r="F15" i="2"/>
  <c r="O15" i="2"/>
  <c r="F16" i="2"/>
  <c r="O16" i="2"/>
  <c r="F19" i="2"/>
  <c r="O19" i="2"/>
  <c r="F20" i="2"/>
  <c r="O20" i="2"/>
  <c r="F21" i="2"/>
  <c r="O21" i="2"/>
  <c r="M24" i="2"/>
  <c r="J25" i="2"/>
  <c r="O25" i="2"/>
  <c r="J26" i="2"/>
  <c r="K26" i="2"/>
  <c r="M26" i="2"/>
  <c r="O26" i="2"/>
  <c r="E7" i="2"/>
  <c r="E8" i="2"/>
  <c r="E10" i="2"/>
  <c r="E12" i="2"/>
  <c r="E13" i="2"/>
  <c r="E14" i="2"/>
  <c r="E15" i="2"/>
  <c r="E16" i="2"/>
  <c r="E19" i="2"/>
  <c r="E20" i="2"/>
  <c r="E21" i="2"/>
  <c r="E24" i="2"/>
  <c r="E25" i="2"/>
  <c r="E26" i="2"/>
  <c r="E5" i="2"/>
  <c r="H28" i="2"/>
  <c r="H29" i="2"/>
  <c r="H30" i="2"/>
  <c r="H31" i="2"/>
  <c r="H32" i="2"/>
  <c r="H33" i="2"/>
  <c r="H34" i="2"/>
  <c r="H35" i="2"/>
  <c r="AF25" i="2"/>
  <c r="AF26" i="2"/>
  <c r="AF20" i="2" l="1"/>
  <c r="AF21" i="2"/>
  <c r="AF24" i="2"/>
  <c r="O5" i="2" l="1"/>
  <c r="L5" i="2"/>
  <c r="J5" i="2"/>
  <c r="AF14" i="2" l="1"/>
  <c r="AF19" i="2"/>
  <c r="AF13" i="2"/>
  <c r="AF8" i="2"/>
  <c r="AF7" i="2"/>
  <c r="AF12" i="2"/>
  <c r="AF5" i="2"/>
</calcChain>
</file>

<file path=xl/sharedStrings.xml><?xml version="1.0" encoding="utf-8"?>
<sst xmlns="http://schemas.openxmlformats.org/spreadsheetml/2006/main" count="650" uniqueCount="267">
  <si>
    <t>Name</t>
  </si>
  <si>
    <t>ID</t>
  </si>
  <si>
    <t>NEW MODEL</t>
  </si>
  <si>
    <t>REVISE</t>
  </si>
  <si>
    <t>DRAW</t>
  </si>
  <si>
    <t>CHECK</t>
  </si>
  <si>
    <t>TOOLING</t>
  </si>
  <si>
    <t>TYPE OF PARTS AT RODEND DIVISION</t>
  </si>
  <si>
    <t>LB371</t>
  </si>
  <si>
    <t>A5342</t>
  </si>
  <si>
    <t>NEW</t>
  </si>
  <si>
    <t>INDUSTRY SKILL</t>
  </si>
  <si>
    <t>COMPUTOR</t>
  </si>
  <si>
    <t>PROBLEM SOLVING</t>
  </si>
  <si>
    <t>GENERAL</t>
  </si>
  <si>
    <t>NECESSARY SKILL</t>
  </si>
  <si>
    <t>Inspection</t>
  </si>
  <si>
    <t>M/C setup</t>
  </si>
  <si>
    <t>M/C operation</t>
  </si>
  <si>
    <t>CAD</t>
  </si>
  <si>
    <t>Microsoft</t>
  </si>
  <si>
    <t>Detail oriented</t>
  </si>
  <si>
    <t>Process comprehension</t>
  </si>
  <si>
    <t>Collaboration</t>
  </si>
  <si>
    <t>Critical Thinking</t>
  </si>
  <si>
    <t>Leadership</t>
  </si>
  <si>
    <t>Time management</t>
  </si>
  <si>
    <t>Programming</t>
  </si>
  <si>
    <t>Industry skill</t>
  </si>
  <si>
    <t>Computor</t>
  </si>
  <si>
    <t>Problem Solving</t>
  </si>
  <si>
    <t>General</t>
  </si>
  <si>
    <t>Major</t>
  </si>
  <si>
    <t>Minor</t>
  </si>
  <si>
    <t>M/C Operation</t>
  </si>
  <si>
    <t>Level</t>
  </si>
  <si>
    <t>Daily Job</t>
  </si>
  <si>
    <t>Change (ECN)</t>
  </si>
  <si>
    <t>New Model
Project</t>
  </si>
  <si>
    <t>เข้าใจหลักการ setup M/C แต่ไม่สามารถทำด้วยตัวเองได้</t>
  </si>
  <si>
    <t>Set โปรแกรมได้ แต่ไม่สามารถ set tooling ได้</t>
  </si>
  <si>
    <t>สามารถ setup เองได้ set โปรแกรมเองได้ รันเองได้จนจบกระบวนการ</t>
  </si>
  <si>
    <t>สามารถใช้เครื่องมือวัดได้บางชนิด +Countour, Projector</t>
  </si>
  <si>
    <t>สามารถใช้เครื่องมือวัดได้น้อยชนิด Micrometer, Caliper</t>
  </si>
  <si>
    <t>สามารถใช้เครื่องมือวัดได้ทุกชนิด +CMM, IDM</t>
  </si>
  <si>
    <t>เข้าใจว่า M/C ทำอะไรยังไง</t>
  </si>
  <si>
    <t>เข้าใจการทำงานของ M/C ที่สัมพันธ์กับ Tooling</t>
  </si>
  <si>
    <t>เข้าใจการทำงานของ M/C ทั้งหมดที่สัมพันธ์กับ Tooling ทั้งหมด</t>
  </si>
  <si>
    <t>ใช้ ME10 เบื้องต้นได้ ใช้ Function พื้นฐานได้</t>
  </si>
  <si>
    <t>สามารถเขียน DWG ที่ไม่ซับซ้อนมากได้ Tooling, Spare part</t>
  </si>
  <si>
    <t>สามารถเขียน DWG งานได้และตรวจเช็คให้คนอื่นได้</t>
  </si>
  <si>
    <t>มีแนวคิด ไอเดียในการทำ auto แบบ Logic</t>
  </si>
  <si>
    <t>สามารถเขียนโค้ดเองได้ทั้งหมด, คิดแทน User, debug ต่างๆ</t>
  </si>
  <si>
    <t>ใช้โปรแกรมเพื่อทำรายงานพื้นฐานได้</t>
  </si>
  <si>
    <t>สามารถใช้คำสั่งต่างๆได้ เข้าใจสูตรที่ต้องใช้</t>
  </si>
  <si>
    <t>เข้าใจคำสั่งทั้งหมดของโปรแกรมและความเหมาะสมในการใช้งานในแต่ละกรณี</t>
  </si>
  <si>
    <t>เข้าใจปัญหาว่าเป็นแบบไหน แต่ไม่รู้แน่ชัดว่าเกิดจากอะไร</t>
  </si>
  <si>
    <t>เข้าใจปัญหาว่าเป็นแบบไหนและเกิดจากอะไร</t>
  </si>
  <si>
    <t>เข้าใจและสามารถมองเห็นที่มาของปัญหา, วิธีแก้ไขและผลกระทบในทุกๆมิติ</t>
  </si>
  <si>
    <t>เข้าใจลำดับ process ว่าต้องทำอะไรก่อนและหลัง</t>
  </si>
  <si>
    <t>เข้าใจว่าแต่ละ process ทำอะไร เพื่ออะไร</t>
  </si>
  <si>
    <t>เข้าใจว่าแต่ละ process ทำอะไร เพื่ออะไร และ standards ที่เกี่ยวข้อง</t>
  </si>
  <si>
    <t>ระบุกรอบเวลาทำงานได้ แต่ไม่เป็นไปตามแผนบ้าง</t>
  </si>
  <si>
    <t>ระบุกรอบเวลาทำงานได้ และเสร็จตรงเวลา</t>
  </si>
  <si>
    <t>ระบุกรอบเวลาทำงานได้ และเสร็จก่อนเวลากำหนดเสมอ</t>
  </si>
  <si>
    <t>สามารถทำงานได้เฉพาะในส่วนงานตัวเอง</t>
  </si>
  <si>
    <t>สามารถทำงานร่วมได้กับทุกส่วนงาน</t>
  </si>
  <si>
    <t>สามารถทำงานร่วมได้กับบางส่วนงาน</t>
  </si>
  <si>
    <t>นำทีมได้กับบางคน</t>
  </si>
  <si>
    <t>สามารถนำทีมได้และสื่อสารให้ลูกทีมเข้าใจสิ่งที่ต้องทำได้</t>
  </si>
  <si>
    <t>สามารถนำทีมได้และสื่อสารให้ลูกทีมเข้าใจสิ่งที่ต้องทำได้ และช่วยเป็นที่ปรึกษา วางแผน แก้ไขปัญหา ให้ได้</t>
  </si>
  <si>
    <t>สามารถเขียนโปรแกรมได้บ้างโดยใช้ record macro และแก้ไข</t>
  </si>
  <si>
    <t>จับใจความได้ทั้งหมด มีผิดบ้าง ต้องใช้คนระดับสูงกว่าตรวจสอบ</t>
  </si>
  <si>
    <t>จับใจความได้ทั้งหมด ไม่ตกหล่น ระดับเดียวกันตรวจสอบ</t>
  </si>
  <si>
    <t>จับใจความได้บางส่วน มีผิดบ้าง ต้องใช้คนระดับสูงกว่าตรวจสอบ</t>
  </si>
  <si>
    <t>Required skill</t>
  </si>
  <si>
    <t>Description English version</t>
  </si>
  <si>
    <t>Understand the problem but don't know exactly where it came from.</t>
  </si>
  <si>
    <t>Understand the problem and where it came from.</t>
  </si>
  <si>
    <t>Understand completely of the problem and able to find the root cause and preventive action include consequence.</t>
  </si>
  <si>
    <t>Understand the process sequence of each parts.</t>
  </si>
  <si>
    <t>Understand the operation and purpose of each processes.</t>
  </si>
  <si>
    <t>Understand the operation and purpose of each processes include related standards.</t>
  </si>
  <si>
    <t>Description Thai version</t>
  </si>
  <si>
    <t xml:space="preserve">Can lead the team with some people. </t>
  </si>
  <si>
    <t xml:space="preserve">Able to lead the team and communicate with the team members to understand what needs to be done. </t>
  </si>
  <si>
    <t xml:space="preserve">Able to lead the team and communicate to the team members to understand what needs to be done. and helping to be a consultant, planning, and solving problems </t>
  </si>
  <si>
    <t xml:space="preserve">Able to work with all departments </t>
  </si>
  <si>
    <t xml:space="preserve">Able to work with some departments </t>
  </si>
  <si>
    <t xml:space="preserve">Specify the working time frame. and always finish before the scheduled time </t>
  </si>
  <si>
    <t>Specify the working time frame. and finished on time</t>
  </si>
  <si>
    <t xml:space="preserve">Specify the working time frame. But some did not go according to plan. </t>
  </si>
  <si>
    <t xml:space="preserve">Some parts are understandable, some are wrong, need someone at a higher level to check. </t>
  </si>
  <si>
    <t xml:space="preserve">able to understand everything,but there are some mistakes. need someone from a higher level to check. </t>
  </si>
  <si>
    <t xml:space="preserve">able to understand everything without mistake, the same level might check if necessary. </t>
  </si>
  <si>
    <t xml:space="preserve">Understand the full commands of the program and their suitability in each case. </t>
  </si>
  <si>
    <t xml:space="preserve">can use various commands and understand the formula to use </t>
  </si>
  <si>
    <t xml:space="preserve">Able to use the program to make basic reports </t>
  </si>
  <si>
    <t>Able to work with their department only.</t>
  </si>
  <si>
    <t>Able to write all the code by yourself, think on behalf of users, debug</t>
  </si>
  <si>
    <t>Able to write DWG jobs and check for others</t>
  </si>
  <si>
    <t>Able to write simple DWGs Tooling, Spare part</t>
  </si>
  <si>
    <t>Able to use ME10 basics, able to use basic functions</t>
  </si>
  <si>
    <t>able to Setup M/C but still need some help for special things.</t>
  </si>
  <si>
    <t>able to Setup M/C and produce the parts till finish.</t>
  </si>
  <si>
    <t>able to understand the M/C setup principle but can't do it by themselves.</t>
  </si>
  <si>
    <t>able to use basic inspection instrument ex.Micrometer, Caliper</t>
  </si>
  <si>
    <t>able to use basic inspection instrument and some special instrument ex. Contour, Projector</t>
  </si>
  <si>
    <t>able to use almost all inspection instrument and special instrument ex.CMM, IDM</t>
  </si>
  <si>
    <t>Understand how M/C work</t>
  </si>
  <si>
    <t>Understand how M/C work related with tooling that related to the parts</t>
  </si>
  <si>
    <t>Have an Idea for automation with logical thinking</t>
  </si>
  <si>
    <t>Able to create automatic program by recording macro and edit some parts of code.</t>
  </si>
  <si>
    <t>DOCUMENT</t>
  </si>
  <si>
    <t>Document</t>
  </si>
  <si>
    <t>Public STD</t>
  </si>
  <si>
    <t>Cust. Specification</t>
  </si>
  <si>
    <t>Internal Document</t>
  </si>
  <si>
    <t>Understood some requirement and purpose include related standards, Able to write and revise document.</t>
  </si>
  <si>
    <t>Understood all of requirement and purpose of each specified include related standards, Able to write, revise document and check for others</t>
  </si>
  <si>
    <t>Understood some requirement and purpose.</t>
  </si>
  <si>
    <t>Understood all of requirement and purpose of each specified include related standards, Able to write, revise Internal document and check for others</t>
  </si>
  <si>
    <t>Understood all of requirement and purpose of each specified include related standards, Able to write, revise Internal document and check for others.</t>
  </si>
  <si>
    <t>Understood some of requirement and purpose include related standards, Able to write, revise Internal document.</t>
  </si>
  <si>
    <t>Mr. Teerapol Kantapoom</t>
  </si>
  <si>
    <t>Mr. Phanuwach Thongpradab</t>
  </si>
  <si>
    <t>Mr. Nathaporn Yammanus</t>
  </si>
  <si>
    <t>Miss Kunpreaw Juntawee</t>
  </si>
  <si>
    <t>Mr. Thapanon Prasertsom</t>
  </si>
  <si>
    <t>Mr. Pattanapong Promyai</t>
  </si>
  <si>
    <t>Miss Somsuda Srisujja</t>
  </si>
  <si>
    <t>Mr. Nanthiwa Kulachan</t>
  </si>
  <si>
    <t>Miss Kanyarat Chokboriboon</t>
  </si>
  <si>
    <t>LC043</t>
  </si>
  <si>
    <t>LC919</t>
  </si>
  <si>
    <t>LE031</t>
  </si>
  <si>
    <t>T1460</t>
  </si>
  <si>
    <t>LE129</t>
  </si>
  <si>
    <t>LE131</t>
  </si>
  <si>
    <t>LE140</t>
  </si>
  <si>
    <t>Date of Entering Rodend</t>
  </si>
  <si>
    <t>TOTAL
SCORE</t>
  </si>
  <si>
    <t>Special Eng.</t>
  </si>
  <si>
    <t>Process Eng.</t>
  </si>
  <si>
    <t>Compliance Eng.</t>
  </si>
  <si>
    <t>Section</t>
  </si>
  <si>
    <t>Job description (content)</t>
  </si>
  <si>
    <t>Understand how M/C work related with all toolings (6 month)</t>
  </si>
  <si>
    <r>
      <t>•</t>
    </r>
    <r>
      <rPr>
        <b/>
        <sz val="11"/>
        <color theme="1"/>
        <rFont val="Tahoma"/>
        <family val="2"/>
        <scheme val="minor"/>
      </rPr>
      <t xml:space="preserve">Industry </t>
    </r>
    <r>
      <rPr>
        <sz val="11"/>
        <color theme="1"/>
        <rFont val="Tahoma"/>
        <family val="2"/>
        <scheme val="minor"/>
      </rPr>
      <t>Inspection 2, M/C operation 2
•</t>
    </r>
    <r>
      <rPr>
        <b/>
        <sz val="11"/>
        <color theme="1"/>
        <rFont val="Tahoma"/>
        <family val="2"/>
        <scheme val="minor"/>
      </rPr>
      <t>Computor</t>
    </r>
    <r>
      <rPr>
        <sz val="11"/>
        <color theme="1"/>
        <rFont val="Tahoma"/>
        <family val="2"/>
        <scheme val="minor"/>
      </rPr>
      <t xml:space="preserve"> CAD 1, Microsoft 2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Detail oriented 3, Critical thinking 3, Process comprehension 3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Time management 2, Collaboration 1, Leader ship 1</t>
    </r>
  </si>
  <si>
    <r>
      <t xml:space="preserve">•Industry </t>
    </r>
    <r>
      <rPr>
        <sz val="11"/>
        <color theme="1"/>
        <rFont val="Tahoma"/>
        <family val="2"/>
        <scheme val="minor"/>
      </rPr>
      <t>M/C operation 2
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CAD I, Programming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Detail oriented 2, Critical thinking 2, Process comprehension 2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Time management 2, Collaboration 2, Leader ship 2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</si>
  <si>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 xml:space="preserve">Microsoft 1
</t>
    </r>
    <r>
      <rPr>
        <b/>
        <sz val="11"/>
        <color theme="1"/>
        <rFont val="Tahoma"/>
        <family val="2"/>
        <scheme val="minor"/>
      </rPr>
      <t xml:space="preserve">•Problem Solving  </t>
    </r>
    <r>
      <rPr>
        <sz val="11"/>
        <color theme="1"/>
        <rFont val="Tahoma"/>
        <family val="2"/>
        <scheme val="minor"/>
      </rPr>
      <t>Detail oriented 3</t>
    </r>
  </si>
  <si>
    <r>
      <t>•</t>
    </r>
    <r>
      <rPr>
        <b/>
        <sz val="11"/>
        <color theme="1"/>
        <rFont val="Tahoma"/>
        <family val="2"/>
        <scheme val="minor"/>
      </rPr>
      <t xml:space="preserve">Industry </t>
    </r>
    <r>
      <rPr>
        <sz val="11"/>
        <color theme="1"/>
        <rFont val="Tahoma"/>
        <family val="2"/>
        <scheme val="minor"/>
      </rPr>
      <t>M/C setup 2, M/C operation 2
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CAD 2
•</t>
    </r>
    <r>
      <rPr>
        <b/>
        <sz val="11"/>
        <color theme="1"/>
        <rFont val="Tahoma"/>
        <family val="2"/>
        <scheme val="minor"/>
      </rPr>
      <t xml:space="preserve">Problem solving </t>
    </r>
    <r>
      <rPr>
        <sz val="11"/>
        <color theme="1"/>
        <rFont val="Tahoma"/>
        <family val="2"/>
        <scheme val="minor"/>
      </rPr>
      <t>Detail oriented I, Process comprehension 1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Time management 1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</si>
  <si>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Time management 1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</si>
  <si>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3, Critical Thinking 3, Process comprehension 3</t>
    </r>
  </si>
  <si>
    <r>
      <t xml:space="preserve">Document review (Public Standards, Customer Specifications)
 </t>
    </r>
    <r>
      <rPr>
        <sz val="11"/>
        <color theme="1"/>
        <rFont val="Tahoma"/>
        <family val="2"/>
        <scheme val="minor"/>
      </rPr>
      <t>- Verify revisions of public STDs, Customer specifications.
 - Issue CCB (If changed)</t>
    </r>
  </si>
  <si>
    <r>
      <t xml:space="preserve">Analysis and Problem solving (For Drawing, Design)
</t>
    </r>
    <r>
      <rPr>
        <sz val="11"/>
        <color theme="1"/>
        <rFont val="Tahoma"/>
        <family val="2"/>
        <scheme val="minor"/>
      </rPr>
      <t xml:space="preserve"> - On-site analysis and solving</t>
    </r>
    <r>
      <rPr>
        <b/>
        <sz val="11"/>
        <color theme="1"/>
        <rFont val="Tahoma"/>
        <family val="2"/>
        <scheme val="minor"/>
      </rPr>
      <t xml:space="preserve">
 </t>
    </r>
    <r>
      <rPr>
        <sz val="11"/>
        <color theme="1"/>
        <rFont val="Tahoma"/>
        <family val="2"/>
        <scheme val="minor"/>
      </rPr>
      <t>- Statistical analysis and solving
 - Data model analysis and solving
 - Solution Design</t>
    </r>
  </si>
  <si>
    <r>
      <t xml:space="preserve">Improvement and Developement (For Drawing, Design)
 </t>
    </r>
    <r>
      <rPr>
        <sz val="11"/>
        <color theme="1"/>
        <rFont val="Tahoma"/>
        <family val="2"/>
        <scheme val="minor"/>
      </rPr>
      <t>- Time consuming process
 - Cost reduction
 - Quality improvement</t>
    </r>
  </si>
  <si>
    <r>
      <t xml:space="preserve">Print Drawing and Confirm (FAI)
</t>
    </r>
    <r>
      <rPr>
        <sz val="11"/>
        <color theme="1"/>
        <rFont val="Tahoma"/>
        <family val="2"/>
        <scheme val="minor"/>
      </rPr>
      <t xml:space="preserve"> - Verify Drawing and Traveler sheet
 - Identify FAI lot</t>
    </r>
  </si>
  <si>
    <r>
      <t xml:space="preserve">General Drawing and Layout
</t>
    </r>
    <r>
      <rPr>
        <sz val="11"/>
        <color theme="1"/>
        <rFont val="Tahoma"/>
        <family val="2"/>
        <scheme val="minor"/>
      </rPr>
      <t xml:space="preserve"> - Tooling Drawing, etc
 - Machine layout</t>
    </r>
  </si>
  <si>
    <r>
      <t xml:space="preserve">Issue CCB / ECN
</t>
    </r>
    <r>
      <rPr>
        <sz val="11"/>
        <color theme="1"/>
        <rFont val="Tahoma"/>
        <family val="2"/>
        <scheme val="minor"/>
      </rPr>
      <t xml:space="preserve"> - Summary and Input details of change (FAI, CN to Customer, etc….)
 - Announce to Concern Department</t>
    </r>
  </si>
  <si>
    <r>
      <t xml:space="preserve">Revise Drawing
</t>
    </r>
    <r>
      <rPr>
        <sz val="11"/>
        <color theme="1"/>
        <rFont val="Tahoma"/>
        <family val="2"/>
        <scheme val="minor"/>
      </rPr>
      <t xml:space="preserve"> - Revise by hand or CAD (According to ECN)</t>
    </r>
  </si>
  <si>
    <r>
      <t xml:space="preserve">Revise Engineer Document
</t>
    </r>
    <r>
      <rPr>
        <sz val="11"/>
        <color theme="1"/>
        <rFont val="Tahoma"/>
        <family val="2"/>
        <scheme val="minor"/>
      </rPr>
      <t xml:space="preserve"> - Review and revise Engineer Document (Procrdure, WI, Reminder)</t>
    </r>
  </si>
  <si>
    <r>
      <t xml:space="preserve">M/C Condition
</t>
    </r>
    <r>
      <rPr>
        <sz val="11"/>
        <color theme="1"/>
        <rFont val="Tahoma"/>
        <family val="2"/>
        <scheme val="minor"/>
      </rPr>
      <t xml:space="preserve"> - Update program, M/C conditions</t>
    </r>
  </si>
  <si>
    <r>
      <t xml:space="preserve">Review Customer specification, Requirement
</t>
    </r>
    <r>
      <rPr>
        <sz val="11"/>
        <color theme="1"/>
        <rFont val="Tahoma"/>
        <family val="2"/>
        <scheme val="minor"/>
      </rPr>
      <t xml:space="preserve"> - Issue CCB
 - Consider requirement for accuracy, test, special process, applicable specifications, type of products, quantity, delivery, price, sample</t>
    </r>
  </si>
  <si>
    <r>
      <t xml:space="preserve">Contact sale member or Customer (If need)
</t>
    </r>
    <r>
      <rPr>
        <sz val="11"/>
        <color theme="1"/>
        <rFont val="Tahoma"/>
        <family val="2"/>
        <scheme val="minor"/>
      </rPr>
      <t xml:space="preserve"> - All information
 - Questions for certain requirements are unclear</t>
    </r>
  </si>
  <si>
    <r>
      <t xml:space="preserve">New model planning and Meeting
</t>
    </r>
    <r>
      <rPr>
        <sz val="11"/>
        <color theme="1"/>
        <rFont val="Tahoma"/>
        <family val="2"/>
        <scheme val="minor"/>
      </rPr>
      <t xml:space="preserve"> - Make schedule
 - Summary all requirement and Initial design 
 - Contract review and meeting (All concern)</t>
    </r>
  </si>
  <si>
    <r>
      <t xml:space="preserve">Design (Process flow, Drawing, Engineer Internal Document)
</t>
    </r>
    <r>
      <rPr>
        <sz val="11"/>
        <color theme="1"/>
        <rFont val="Tahoma"/>
        <family val="2"/>
        <scheme val="minor"/>
      </rPr>
      <t xml:space="preserve"> - Issue DPR (Design and process review), Specification Review
 - Sale Drawing approved by Customer (QTP if require)
 - Prepare Drawing and Process for test (incloud Tooling Drawing)
 - Simulate design,M/C program by Simulator
 - Prepare document (Internal document, PPAP, PFMEA, Process KCs, Process flow, etc…)</t>
    </r>
  </si>
  <si>
    <r>
      <t xml:space="preserve">Test design,M/C Condition and Make Drawing
</t>
    </r>
    <r>
      <rPr>
        <sz val="11"/>
        <color theme="1"/>
        <rFont val="Tahoma"/>
        <family val="2"/>
        <scheme val="minor"/>
      </rPr>
      <t xml:space="preserve"> - Perform Test design and M/C conditions
 - Review, improve Drawing/Process design and determine corrective actions
 - Summary final design</t>
    </r>
  </si>
  <si>
    <r>
      <t xml:space="preserve">Review the results of production process test and Summarize
</t>
    </r>
    <r>
      <rPr>
        <sz val="11"/>
        <color theme="1"/>
        <rFont val="Tahoma"/>
        <family val="2"/>
        <scheme val="minor"/>
      </rPr>
      <t xml:space="preserve"> - Summary and Make document (Internal document, PPAP, PFMEA, Process KCs, Process flow, etc…)</t>
    </r>
  </si>
  <si>
    <r>
      <t xml:space="preserve">Issue Drawing
</t>
    </r>
    <r>
      <rPr>
        <sz val="11"/>
        <color theme="1"/>
        <rFont val="Tahoma"/>
        <family val="2"/>
        <scheme val="minor"/>
      </rPr>
      <t xml:space="preserve"> - Drawing Finish (Enable condition)</t>
    </r>
    <r>
      <rPr>
        <b/>
        <sz val="11"/>
        <color theme="1"/>
        <rFont val="Tahoma"/>
        <family val="2"/>
        <scheme val="minor"/>
      </rPr>
      <t xml:space="preserve">
</t>
    </r>
    <r>
      <rPr>
        <sz val="11"/>
        <color theme="1"/>
        <rFont val="Tahoma"/>
        <family val="2"/>
        <scheme val="minor"/>
      </rPr>
      <t xml:space="preserve"> - Announce to Concern Department, Issue Drawing ,Document and machine program/Tooling (For Pre-mass production)
 - Summary result of Pre-Production/Qualification lot</t>
    </r>
  </si>
  <si>
    <r>
      <t xml:space="preserve">Customer submit
</t>
    </r>
    <r>
      <rPr>
        <sz val="11"/>
        <color theme="1"/>
        <rFont val="Tahoma"/>
        <family val="2"/>
        <scheme val="minor"/>
      </rPr>
      <t xml:space="preserve"> - PPAP, PCD, QTR, Special document(If require) Approved by Customer</t>
    </r>
  </si>
  <si>
    <r>
      <t>•</t>
    </r>
    <r>
      <rPr>
        <b/>
        <sz val="11"/>
        <color theme="1"/>
        <rFont val="Tahoma"/>
        <family val="2"/>
        <scheme val="minor"/>
      </rPr>
      <t xml:space="preserve">Industry </t>
    </r>
    <r>
      <rPr>
        <sz val="11"/>
        <color theme="1"/>
        <rFont val="Tahoma"/>
        <family val="2"/>
        <scheme val="minor"/>
      </rPr>
      <t>M/C setup 1, M/C Operation 3
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 xml:space="preserve"> CAD 3, Microsoft 3
•</t>
    </r>
    <r>
      <rPr>
        <b/>
        <sz val="11"/>
        <color theme="1"/>
        <rFont val="Tahoma"/>
        <family val="2"/>
        <scheme val="minor"/>
      </rPr>
      <t xml:space="preserve">Problem solving </t>
    </r>
    <r>
      <rPr>
        <sz val="11"/>
        <color theme="1"/>
        <rFont val="Tahoma"/>
        <family val="2"/>
        <scheme val="minor"/>
      </rPr>
      <t>Detail oriented 3, Critical Thinking 2, Process comprehension 3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Time management 3, Collaboration 1</t>
    </r>
  </si>
  <si>
    <r>
      <t>•</t>
    </r>
    <r>
      <rPr>
        <b/>
        <sz val="11"/>
        <color theme="1"/>
        <rFont val="Tahoma"/>
        <family val="2"/>
        <scheme val="minor"/>
      </rPr>
      <t xml:space="preserve">Industry </t>
    </r>
    <r>
      <rPr>
        <sz val="11"/>
        <color theme="1"/>
        <rFont val="Tahoma"/>
        <family val="2"/>
        <scheme val="minor"/>
      </rPr>
      <t>M/C setup 3, Inspection 2, M/C Operation 3
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CAD 1
•</t>
    </r>
    <r>
      <rPr>
        <b/>
        <sz val="11"/>
        <color theme="1"/>
        <rFont val="Tahoma"/>
        <family val="2"/>
        <scheme val="minor"/>
      </rPr>
      <t xml:space="preserve">Problem solving </t>
    </r>
    <r>
      <rPr>
        <sz val="11"/>
        <color theme="1"/>
        <rFont val="Tahoma"/>
        <family val="2"/>
        <scheme val="minor"/>
      </rPr>
      <t>Detial oriented 2, Critical thinking 3, Process comprehension 2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Timemangement 2, Collaboration 3, Leader ship 1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</si>
  <si>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3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3, Process comprehension 3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Time management 2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</si>
  <si>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Time management 2, Collaboration 2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</si>
  <si>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3
•</t>
    </r>
    <r>
      <rPr>
        <b/>
        <sz val="11"/>
        <color theme="1"/>
        <rFont val="Tahoma"/>
        <family val="2"/>
        <scheme val="minor"/>
      </rPr>
      <t xml:space="preserve">Problem Solving </t>
    </r>
    <r>
      <rPr>
        <sz val="11"/>
        <color theme="1"/>
        <rFont val="Tahoma"/>
        <family val="2"/>
        <scheme val="minor"/>
      </rPr>
      <t>Detail oriented 3, Process comprehension 2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Time management 2, Collaboration 2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</si>
  <si>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3, Process comprehension 3</t>
    </r>
    <r>
      <rPr>
        <b/>
        <sz val="11"/>
        <color theme="1"/>
        <rFont val="Tahoma"/>
        <family val="2"/>
        <scheme val="minor"/>
      </rPr>
      <t xml:space="preserve">
</t>
    </r>
  </si>
  <si>
    <r>
      <t>•Document</t>
    </r>
    <r>
      <rPr>
        <sz val="11"/>
        <color theme="1"/>
        <rFont val="Tahoma"/>
        <family val="2"/>
        <scheme val="minor"/>
      </rPr>
      <t xml:space="preserve"> Public STD 3</t>
    </r>
    <r>
      <rPr>
        <b/>
        <sz val="11"/>
        <color theme="1"/>
        <rFont val="Tahoma"/>
        <family val="2"/>
        <scheme val="minor"/>
      </rPr>
      <t xml:space="preserve">
•Document </t>
    </r>
    <r>
      <rPr>
        <sz val="11"/>
        <color theme="1"/>
        <rFont val="Tahoma"/>
        <family val="2"/>
        <scheme val="minor"/>
      </rPr>
      <t>Cust. Specification 3</t>
    </r>
    <r>
      <rPr>
        <b/>
        <sz val="11"/>
        <color theme="1"/>
        <rFont val="Tahoma"/>
        <family val="2"/>
        <scheme val="minor"/>
      </rPr>
      <t xml:space="preserve">
•Document </t>
    </r>
    <r>
      <rPr>
        <sz val="11"/>
        <color theme="1"/>
        <rFont val="Tahoma"/>
        <family val="2"/>
        <scheme val="minor"/>
      </rPr>
      <t>Internal Document 2</t>
    </r>
    <r>
      <rPr>
        <b/>
        <sz val="11"/>
        <color theme="1"/>
        <rFont val="Tahoma"/>
        <family val="2"/>
        <scheme val="minor"/>
      </rPr>
      <t xml:space="preserve">
•Computor </t>
    </r>
    <r>
      <rPr>
        <sz val="11"/>
        <color theme="1"/>
        <rFont val="Tahoma"/>
        <family val="2"/>
        <scheme val="minor"/>
      </rPr>
      <t>Microsoft 1</t>
    </r>
    <r>
      <rPr>
        <b/>
        <sz val="11"/>
        <color theme="1"/>
        <rFont val="Tahoma"/>
        <family val="2"/>
        <scheme val="minor"/>
      </rPr>
      <t xml:space="preserve">
•Problem Solving  </t>
    </r>
    <r>
      <rPr>
        <sz val="11"/>
        <color theme="1"/>
        <rFont val="Tahoma"/>
        <family val="2"/>
        <scheme val="minor"/>
      </rPr>
      <t>Detail oriented 3, Process comprehension 3</t>
    </r>
    <r>
      <rPr>
        <b/>
        <sz val="11"/>
        <color theme="1"/>
        <rFont val="Tahoma"/>
        <family val="2"/>
        <scheme val="minor"/>
      </rPr>
      <t xml:space="preserve">
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</si>
  <si>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Microsoft 1</t>
    </r>
    <r>
      <rPr>
        <b/>
        <sz val="11"/>
        <color theme="1"/>
        <rFont val="Tahoma"/>
        <family val="2"/>
        <scheme val="minor"/>
      </rPr>
      <t xml:space="preserve">
•Problem Solving </t>
    </r>
    <r>
      <rPr>
        <sz val="11"/>
        <color theme="1"/>
        <rFont val="Tahoma"/>
        <family val="2"/>
        <scheme val="minor"/>
      </rPr>
      <t xml:space="preserve"> Detail oriented 3, Process comprehension 3</t>
    </r>
    <r>
      <rPr>
        <b/>
        <sz val="11"/>
        <color theme="1"/>
        <rFont val="Tahoma"/>
        <family val="2"/>
        <scheme val="minor"/>
      </rPr>
      <t xml:space="preserve">
•General </t>
    </r>
    <r>
      <rPr>
        <sz val="11"/>
        <color theme="1"/>
        <rFont val="Tahoma"/>
        <family val="2"/>
        <scheme val="minor"/>
      </rPr>
      <t>Time management 3, Collaboration 3, Leader ship 2</t>
    </r>
  </si>
  <si>
    <r>
      <t>•</t>
    </r>
    <r>
      <rPr>
        <b/>
        <sz val="11"/>
        <color theme="1"/>
        <rFont val="Tahoma"/>
        <family val="2"/>
        <scheme val="minor"/>
      </rPr>
      <t>Computor</t>
    </r>
    <r>
      <rPr>
        <sz val="11"/>
        <color theme="1"/>
        <rFont val="Tahoma"/>
        <family val="2"/>
        <scheme val="minor"/>
      </rPr>
      <t xml:space="preserve"> Microsoft 3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 Detail oriented 3, Process comprehension 3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Collaboration 2</t>
    </r>
  </si>
  <si>
    <r>
      <t>•</t>
    </r>
    <r>
      <rPr>
        <b/>
        <sz val="11"/>
        <color theme="1"/>
        <rFont val="Tahoma"/>
        <family val="2"/>
        <scheme val="minor"/>
      </rPr>
      <t xml:space="preserve">Industry </t>
    </r>
    <r>
      <rPr>
        <sz val="11"/>
        <color theme="1"/>
        <rFont val="Tahoma"/>
        <family val="2"/>
        <scheme val="minor"/>
      </rPr>
      <t>M/C setup 3, M/C operation 3
•</t>
    </r>
    <r>
      <rPr>
        <b/>
        <sz val="11"/>
        <color theme="1"/>
        <rFont val="Tahoma"/>
        <family val="2"/>
        <scheme val="minor"/>
      </rPr>
      <t xml:space="preserve">General </t>
    </r>
    <r>
      <rPr>
        <sz val="11"/>
        <color theme="1"/>
        <rFont val="Tahoma"/>
        <family val="2"/>
        <scheme val="minor"/>
      </rPr>
      <t>Collaboration 2</t>
    </r>
  </si>
  <si>
    <r>
      <t>•</t>
    </r>
    <r>
      <rPr>
        <b/>
        <sz val="11"/>
        <color theme="1"/>
        <rFont val="Tahoma"/>
        <family val="2"/>
        <scheme val="minor"/>
      </rPr>
      <t xml:space="preserve">Computor </t>
    </r>
    <r>
      <rPr>
        <sz val="11"/>
        <color theme="1"/>
        <rFont val="Tahoma"/>
        <family val="2"/>
        <scheme val="minor"/>
      </rPr>
      <t>CAD 1
•</t>
    </r>
    <r>
      <rPr>
        <b/>
        <sz val="11"/>
        <color theme="1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 Detail oriented 1, Process comprehension 1
•</t>
    </r>
    <r>
      <rPr>
        <b/>
        <sz val="11"/>
        <color theme="1"/>
        <rFont val="Tahoma"/>
        <family val="2"/>
        <scheme val="minor"/>
      </rPr>
      <t>General</t>
    </r>
    <r>
      <rPr>
        <sz val="11"/>
        <color theme="1"/>
        <rFont val="Tahoma"/>
        <family val="2"/>
        <scheme val="minor"/>
      </rPr>
      <t xml:space="preserve"> Time management 1</t>
    </r>
  </si>
  <si>
    <t>เข้าใจข้อกำหนดและวัตถุประสงค์แต่ไม่ทั้งหมด</t>
  </si>
  <si>
    <t>เข้าใจข้อกำหนดและวัตถุประสงค์แต่ไม่ทั้งหมด แต่สามารถเขียน แก้ไขเอกสารภายในได้</t>
  </si>
  <si>
    <t>เข้าใจข้อกำหนดและวัตถุประสงค์ทั้งหมด และสามารถเขียน แก้ไขเอกสารภายในได้ และ สามารถ ตรวจสอบเอกสารของผู้อื่นได้</t>
  </si>
  <si>
    <t>Understood some of requirement and purpose include related standards, Able to write, revise Internal document/Drawing.</t>
  </si>
  <si>
    <t>เข้าใจข้อกำหนดและวัตถุประสงค์แต่ไม่ทั้งหมด แต่สามารถเขียน แก้ไขเอกสารภายในและ Drawing ได้</t>
  </si>
  <si>
    <t>None</t>
  </si>
  <si>
    <t>6 Month</t>
  </si>
  <si>
    <t>12 Month</t>
  </si>
  <si>
    <t>OTHERS</t>
  </si>
  <si>
    <t>REVIEW</t>
  </si>
  <si>
    <t>JUDGEMENT</t>
  </si>
  <si>
    <t>Experience or Job position</t>
  </si>
  <si>
    <t>SPECIFICATION</t>
  </si>
  <si>
    <t>APPROVAL</t>
  </si>
  <si>
    <t>★</t>
  </si>
  <si>
    <t>SKILL REQUIRE</t>
  </si>
  <si>
    <t>AEROSPACE &amp; COMMERCIAL</t>
  </si>
  <si>
    <t>SCOPE</t>
  </si>
  <si>
    <t>Minor(Level)</t>
  </si>
  <si>
    <t>TYPE OF PARTS 
AT RODEND DIVISION</t>
  </si>
  <si>
    <t>AEROSPACE 
&amp;
COMMERCIAL</t>
  </si>
  <si>
    <r>
      <t xml:space="preserve">INDUSTRY
</t>
    </r>
    <r>
      <rPr>
        <sz val="11"/>
        <color rgb="FF0033CC"/>
        <rFont val="Tahoma"/>
        <family val="2"/>
        <scheme val="minor"/>
      </rPr>
      <t>DOCUMENT</t>
    </r>
    <r>
      <rPr>
        <sz val="11"/>
        <color theme="1"/>
        <rFont val="Tahoma"/>
        <family val="2"/>
        <scheme val="minor"/>
      </rPr>
      <t xml:space="preserve">
COMPUTER
</t>
    </r>
    <r>
      <rPr>
        <sz val="11"/>
        <color rgb="FF0033CC"/>
        <rFont val="Tahoma"/>
        <family val="2"/>
        <scheme val="minor"/>
      </rPr>
      <t>PROBLEM SOLVING</t>
    </r>
    <r>
      <rPr>
        <sz val="11"/>
        <color theme="1"/>
        <rFont val="Tahoma"/>
        <family val="2"/>
        <scheme val="minor"/>
      </rPr>
      <t xml:space="preserve">
GENERAL</t>
    </r>
  </si>
  <si>
    <r>
      <t xml:space="preserve">M/C setup
Inspection
M/C operation
</t>
    </r>
    <r>
      <rPr>
        <sz val="11"/>
        <color rgb="FF0033CC"/>
        <rFont val="Tahoma"/>
        <family val="2"/>
        <scheme val="minor"/>
      </rPr>
      <t>Public STD
Cust. Specification
Internal Document</t>
    </r>
    <r>
      <rPr>
        <sz val="11"/>
        <color theme="1"/>
        <rFont val="Tahoma"/>
        <family val="2"/>
        <scheme val="minor"/>
      </rPr>
      <t xml:space="preserve">
CAD
</t>
    </r>
    <r>
      <rPr>
        <sz val="11"/>
        <color rgb="FF0033CC"/>
        <rFont val="Tahoma"/>
        <family val="2"/>
        <scheme val="minor"/>
      </rPr>
      <t>Detail oriented
Critical Thinking
Process comprehension</t>
    </r>
    <r>
      <rPr>
        <sz val="11"/>
        <color theme="1"/>
        <rFont val="Tahoma"/>
        <family val="2"/>
        <scheme val="minor"/>
      </rPr>
      <t xml:space="preserve">
Time management
Collaboration</t>
    </r>
  </si>
  <si>
    <r>
      <t xml:space="preserve">1
1
2
</t>
    </r>
    <r>
      <rPr>
        <sz val="11"/>
        <color rgb="FF0033CC"/>
        <rFont val="Tahoma"/>
        <family val="2"/>
        <scheme val="minor"/>
      </rPr>
      <t>3
3
3</t>
    </r>
    <r>
      <rPr>
        <sz val="11"/>
        <color theme="1"/>
        <rFont val="Tahoma"/>
        <family val="2"/>
        <scheme val="minor"/>
      </rPr>
      <t xml:space="preserve">
3
</t>
    </r>
    <r>
      <rPr>
        <sz val="11"/>
        <color rgb="FF0033CC"/>
        <rFont val="Tahoma"/>
        <family val="2"/>
        <scheme val="minor"/>
      </rPr>
      <t>3
3
3</t>
    </r>
    <r>
      <rPr>
        <sz val="11"/>
        <color theme="1"/>
        <rFont val="Tahoma"/>
        <family val="2"/>
        <scheme val="minor"/>
      </rPr>
      <t xml:space="preserve">
2
2</t>
    </r>
  </si>
  <si>
    <t>1
1
2
2
2
2
3
2
2
2
2
2</t>
  </si>
  <si>
    <r>
      <t>2
1
2
1</t>
    </r>
    <r>
      <rPr>
        <sz val="11"/>
        <color rgb="FF0033CC"/>
        <rFont val="Tahoma"/>
        <family val="2"/>
        <scheme val="minor"/>
      </rPr>
      <t xml:space="preserve">
2
2</t>
    </r>
    <r>
      <rPr>
        <sz val="11"/>
        <color theme="1"/>
        <rFont val="Tahoma"/>
        <family val="2"/>
        <scheme val="minor"/>
      </rPr>
      <t xml:space="preserve">
3
2</t>
    </r>
    <r>
      <rPr>
        <sz val="11"/>
        <color rgb="FF0033CC"/>
        <rFont val="Tahoma"/>
        <family val="2"/>
        <scheme val="minor"/>
      </rPr>
      <t xml:space="preserve">
3
2</t>
    </r>
    <r>
      <rPr>
        <sz val="11"/>
        <color theme="1"/>
        <rFont val="Tahoma"/>
        <family val="2"/>
        <scheme val="minor"/>
      </rPr>
      <t xml:space="preserve">
2
2</t>
    </r>
  </si>
  <si>
    <r>
      <t>3
1
2
1</t>
    </r>
    <r>
      <rPr>
        <sz val="11"/>
        <color rgb="FF0033CC"/>
        <rFont val="Tahoma"/>
        <family val="2"/>
        <scheme val="minor"/>
      </rPr>
      <t xml:space="preserve">
2
3</t>
    </r>
    <r>
      <rPr>
        <sz val="11"/>
        <color theme="1"/>
        <rFont val="Tahoma"/>
        <family val="2"/>
        <scheme val="minor"/>
      </rPr>
      <t xml:space="preserve">
3
3</t>
    </r>
    <r>
      <rPr>
        <sz val="11"/>
        <color rgb="FF0033CC"/>
        <rFont val="Tahoma"/>
        <family val="2"/>
        <scheme val="minor"/>
      </rPr>
      <t xml:space="preserve">
3
3</t>
    </r>
    <r>
      <rPr>
        <sz val="11"/>
        <color theme="1"/>
        <rFont val="Tahoma"/>
        <family val="2"/>
        <scheme val="minor"/>
      </rPr>
      <t xml:space="preserve">
2
2</t>
    </r>
  </si>
  <si>
    <r>
      <t>2
1
2
1</t>
    </r>
    <r>
      <rPr>
        <sz val="11"/>
        <color rgb="FF0033CC"/>
        <rFont val="Tahoma"/>
        <family val="2"/>
        <scheme val="minor"/>
      </rPr>
      <t xml:space="preserve">
2
2</t>
    </r>
    <r>
      <rPr>
        <sz val="11"/>
        <color theme="1"/>
        <rFont val="Tahoma"/>
        <family val="2"/>
        <scheme val="minor"/>
      </rPr>
      <t xml:space="preserve">
3
2</t>
    </r>
    <r>
      <rPr>
        <sz val="11"/>
        <color rgb="FF0033CC"/>
        <rFont val="Tahoma"/>
        <family val="2"/>
        <scheme val="minor"/>
      </rPr>
      <t xml:space="preserve">
2
2</t>
    </r>
    <r>
      <rPr>
        <sz val="11"/>
        <color theme="1"/>
        <rFont val="Tahoma"/>
        <family val="2"/>
        <scheme val="minor"/>
      </rPr>
      <t xml:space="preserve">
2
2</t>
    </r>
  </si>
  <si>
    <r>
      <t xml:space="preserve">INDUSTRY
</t>
    </r>
    <r>
      <rPr>
        <sz val="11"/>
        <color rgb="FF0033CC"/>
        <rFont val="Tahoma"/>
        <family val="2"/>
        <scheme val="minor"/>
      </rPr>
      <t>DOCUMENT</t>
    </r>
    <r>
      <rPr>
        <sz val="11"/>
        <color theme="1"/>
        <rFont val="Tahoma"/>
        <family val="2"/>
        <scheme val="minor"/>
      </rPr>
      <t xml:space="preserve">
COMPUTER
</t>
    </r>
    <r>
      <rPr>
        <sz val="11"/>
        <color rgb="FF0033CC"/>
        <rFont val="Tahoma"/>
        <family val="2"/>
        <scheme val="minor"/>
      </rPr>
      <t>GENERAL</t>
    </r>
  </si>
  <si>
    <r>
      <t xml:space="preserve">M/C setup
Inspection
M/C operation
</t>
    </r>
    <r>
      <rPr>
        <sz val="11"/>
        <color rgb="FF0033CC"/>
        <rFont val="Tahoma"/>
        <family val="2"/>
        <scheme val="minor"/>
      </rPr>
      <t>Public STD
Cust. Specification
Internal Document</t>
    </r>
    <r>
      <rPr>
        <sz val="11"/>
        <color theme="1"/>
        <rFont val="Tahoma"/>
        <family val="2"/>
        <scheme val="minor"/>
      </rPr>
      <t xml:space="preserve">
CAD
Microsoft
</t>
    </r>
    <r>
      <rPr>
        <sz val="11"/>
        <color rgb="FF0033CC"/>
        <rFont val="Tahoma"/>
        <family val="2"/>
        <scheme val="minor"/>
      </rPr>
      <t>Time management
Collaboration</t>
    </r>
  </si>
  <si>
    <r>
      <t xml:space="preserve">1
1
1
</t>
    </r>
    <r>
      <rPr>
        <sz val="11"/>
        <color rgb="FF0033CC"/>
        <rFont val="Tahoma"/>
        <family val="2"/>
        <scheme val="minor"/>
      </rPr>
      <t>3
3
3</t>
    </r>
    <r>
      <rPr>
        <sz val="11"/>
        <color theme="1"/>
        <rFont val="Tahoma"/>
        <family val="2"/>
        <scheme val="minor"/>
      </rPr>
      <t xml:space="preserve">
2
1</t>
    </r>
    <r>
      <rPr>
        <sz val="11"/>
        <color rgb="FF0033CC"/>
        <rFont val="Tahoma"/>
        <family val="2"/>
        <scheme val="minor"/>
      </rPr>
      <t xml:space="preserve">
2
2</t>
    </r>
  </si>
  <si>
    <t>Supervisor or higher (performed by Engineering manager)</t>
  </si>
  <si>
    <t>Experience</t>
  </si>
  <si>
    <t>INDUSTRY</t>
  </si>
  <si>
    <t>COMPUTER</t>
  </si>
  <si>
    <t>M/C setup(1), Inspection(1), M/C operation(2)</t>
  </si>
  <si>
    <t>Public STD(3), Cust. Specification(3), Internal Document(3)</t>
  </si>
  <si>
    <t>CAD(3)</t>
  </si>
  <si>
    <t>Detail oriented(3), Critical Thinking(3), Process comprehension(3)</t>
  </si>
  <si>
    <t>Time management(2), Collaboration(2)</t>
  </si>
  <si>
    <t>Public STD(2), Cust. Specification(2), Internal Document(2)</t>
  </si>
  <si>
    <t>M/C setup(2), Inspection(1), M/C operation(2)</t>
  </si>
  <si>
    <t>Public STD(1), Cust. Specification(2), Internal Document(2)</t>
  </si>
  <si>
    <t>Detail oriented(2), Critical Thinking(3), Process comprehension(2)</t>
  </si>
  <si>
    <t>M/C setup(3), Inspection(1), M/C operation(2)</t>
  </si>
  <si>
    <t>M/C setup(1), Inspection(1), M/C operation(1)</t>
  </si>
  <si>
    <t>CAD(2), Microsoft(1)</t>
  </si>
  <si>
    <t xml:space="preserve"> Employee</t>
  </si>
  <si>
    <t>Mr. Nathanon Sengsuk</t>
  </si>
  <si>
    <t>Mr. Jakkit Phangphan</t>
  </si>
  <si>
    <t>LE296</t>
  </si>
  <si>
    <t>LE299</t>
  </si>
  <si>
    <t>Miss Nutthaporn Boonwong</t>
  </si>
  <si>
    <t>Miss Pirawan Muen-Iem</t>
  </si>
  <si>
    <t>LE396</t>
  </si>
  <si>
    <t>LE945</t>
  </si>
  <si>
    <t>QT Engineer</t>
  </si>
  <si>
    <t>LE488</t>
  </si>
  <si>
    <t>Mr.Tawan Sawatdimongkhon</t>
  </si>
  <si>
    <t>Mr. Chairat Sripratueng</t>
  </si>
  <si>
    <t>LE403</t>
  </si>
  <si>
    <t>LE485</t>
  </si>
  <si>
    <t>Tooling &amp; Machine Program</t>
  </si>
  <si>
    <r>
      <t xml:space="preserve">Experience
</t>
    </r>
    <r>
      <rPr>
        <b/>
        <sz val="9"/>
        <color rgb="FF3F3F3F"/>
        <rFont val="Tahoma"/>
        <family val="2"/>
        <scheme val="minor"/>
      </rPr>
      <t>(Year&amp;Month)</t>
    </r>
  </si>
  <si>
    <t>CAD(2)</t>
  </si>
  <si>
    <t>Detail oriented(2), Process comprehension(3)</t>
  </si>
  <si>
    <t>Detail oriented(2), Process comprehension(2)</t>
  </si>
  <si>
    <t>Public STD(2), Cust. Specification(3), Internal Document(2)</t>
  </si>
  <si>
    <t>Head of New Product Engineer</t>
  </si>
  <si>
    <t>Head of Materials Engineer</t>
  </si>
  <si>
    <t>Head of Process Eng.</t>
  </si>
  <si>
    <t>Head of MTC Program</t>
  </si>
  <si>
    <t>Detail oriented(3), Critical Thinking(2), Process comprehension(2)</t>
  </si>
  <si>
    <t>New Product Engineer</t>
  </si>
  <si>
    <t>Fastener Eng.</t>
  </si>
  <si>
    <t>Ms. Jenjira  Phonprajak</t>
  </si>
  <si>
    <t>LE682</t>
  </si>
  <si>
    <t>Mr. Sataporn  Hadsai</t>
  </si>
  <si>
    <t>LE679</t>
  </si>
  <si>
    <t>Mr. Ittiwat  Jantarawongsa</t>
  </si>
  <si>
    <t>LE685</t>
  </si>
  <si>
    <t>Head of Engineer Department</t>
  </si>
  <si>
    <t>Mr. Apisit Suwannakate</t>
  </si>
  <si>
    <t>DRAW / PREPARE</t>
  </si>
  <si>
    <t>NEW MODEL / NEW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</si>
</sst>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/mmm/yyyy;@"/>
  </numFmts>
  <fonts count="12" x14ac:knownFonts="1">
    <font>
      <sz val="11"/>
      <color theme="1"/>
      <name val="Tahoma"/>
      <family val="2"/>
      <scheme val="minor"/>
    </font>
    <font>
      <b/>
      <sz val="11"/>
      <color rgb="FF3F3F3F"/>
      <name val="Tahoma"/>
      <family val="2"/>
      <scheme val="minor"/>
    </font>
    <font>
      <sz val="1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theme="1"/>
      <name val="Tahoma"/>
      <family val="2"/>
      <scheme val="major"/>
    </font>
    <font>
      <sz val="11"/>
      <color rgb="FF9C6500"/>
      <name val="Tahoma"/>
      <family val="2"/>
      <scheme val="minor"/>
    </font>
    <font>
      <sz val="10"/>
      <color theme="1"/>
      <name val="Tahoma"/>
      <family val="2"/>
      <scheme val="major"/>
    </font>
    <font>
      <sz val="10"/>
      <name val="Tahoma"/>
      <family val="2"/>
      <scheme val="major"/>
    </font>
    <font>
      <sz val="11"/>
      <color rgb="FF3F3F3F"/>
      <name val="Tahoma"/>
      <family val="2"/>
      <scheme val="minor"/>
    </font>
    <font>
      <sz val="11"/>
      <color rgb="FF0033CC"/>
      <name val="Tahoma"/>
      <family val="2"/>
      <scheme val="minor"/>
    </font>
    <font>
      <sz val="11"/>
      <name val="Tahoma"/>
      <family val="2"/>
      <scheme val="minor"/>
    </font>
    <font>
      <b/>
      <sz val="9"/>
      <color rgb="FF3F3F3F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indexed="64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/>
      <top/>
      <bottom style="thin">
        <color rgb="FF3F3F3F"/>
      </bottom>
      <diagonal/>
    </border>
    <border>
      <left/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4" borderId="0" applyNumberFormat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Fill="1"/>
    <xf numFmtId="0" fontId="5" fillId="0" borderId="0" xfId="2" applyFill="1"/>
    <xf numFmtId="0" fontId="0" fillId="0" borderId="8" xfId="0" applyBorder="1" applyAlignment="1">
      <alignment horizontal="center" vertical="center" wrapText="1"/>
    </xf>
    <xf numFmtId="187" fontId="0" fillId="0" borderId="2" xfId="0" applyNumberForma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/>
    </xf>
    <xf numFmtId="0" fontId="0" fillId="8" borderId="2" xfId="0" applyFont="1" applyFill="1" applyBorder="1" applyAlignment="1">
      <alignment horizontal="left" vertical="top" wrapText="1"/>
    </xf>
    <xf numFmtId="0" fontId="0" fillId="0" borderId="0" xfId="0" applyFont="1"/>
    <xf numFmtId="0" fontId="3" fillId="3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center" wrapText="1"/>
    </xf>
    <xf numFmtId="0" fontId="1" fillId="6" borderId="1" xfId="1" applyFill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1" fillId="9" borderId="2" xfId="1" applyFill="1" applyBorder="1" applyAlignment="1">
      <alignment horizontal="center" vertical="center" textRotation="90" wrapText="1"/>
    </xf>
    <xf numFmtId="0" fontId="1" fillId="6" borderId="6" xfId="1" applyFill="1" applyBorder="1" applyAlignment="1">
      <alignment horizontal="center" vertical="center" wrapText="1"/>
    </xf>
    <xf numFmtId="187" fontId="2" fillId="0" borderId="8" xfId="0" applyNumberFormat="1" applyFont="1" applyBorder="1" applyAlignment="1">
      <alignment horizontal="center" vertical="center"/>
    </xf>
    <xf numFmtId="187" fontId="0" fillId="0" borderId="8" xfId="0" applyNumberFormat="1" applyBorder="1" applyAlignment="1">
      <alignment horizontal="center" vertical="center" wrapText="1"/>
    </xf>
    <xf numFmtId="0" fontId="1" fillId="2" borderId="2" xfId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8" fillId="2" borderId="2" xfId="1" applyFont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8" fillId="9" borderId="8" xfId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0" fillId="0" borderId="19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187" fontId="10" fillId="0" borderId="8" xfId="0" applyNumberFormat="1" applyFont="1" applyBorder="1" applyAlignment="1">
      <alignment horizontal="center" vertical="center"/>
    </xf>
    <xf numFmtId="187" fontId="0" fillId="0" borderId="8" xfId="0" applyNumberFormat="1" applyFont="1" applyBorder="1" applyAlignment="1">
      <alignment horizontal="center" vertical="center" wrapText="1"/>
    </xf>
    <xf numFmtId="0" fontId="1" fillId="6" borderId="7" xfId="1" applyFill="1" applyBorder="1" applyAlignment="1">
      <alignment horizontal="center" vertical="center" wrapText="1"/>
    </xf>
    <xf numFmtId="0" fontId="1" fillId="6" borderId="35" xfId="1" applyFill="1" applyBorder="1" applyAlignment="1">
      <alignment horizontal="center" vertical="center" wrapText="1"/>
    </xf>
    <xf numFmtId="0" fontId="1" fillId="6" borderId="2" xfId="1" applyFill="1" applyBorder="1" applyAlignment="1">
      <alignment horizontal="center" vertical="center" wrapText="1"/>
    </xf>
    <xf numFmtId="1" fontId="0" fillId="0" borderId="8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" fillId="2" borderId="8" xfId="1" applyBorder="1" applyAlignment="1">
      <alignment horizontal="center" vertical="center" wrapText="1"/>
    </xf>
    <xf numFmtId="0" fontId="1" fillId="2" borderId="9" xfId="1" applyBorder="1" applyAlignment="1">
      <alignment horizontal="center" vertical="center" wrapText="1"/>
    </xf>
    <xf numFmtId="0" fontId="1" fillId="2" borderId="10" xfId="1" applyBorder="1" applyAlignment="1">
      <alignment horizontal="center" vertical="center" wrapText="1"/>
    </xf>
    <xf numFmtId="0" fontId="1" fillId="9" borderId="2" xfId="1" applyFill="1" applyBorder="1" applyAlignment="1">
      <alignment horizontal="center" vertical="center" wrapText="1"/>
    </xf>
    <xf numFmtId="0" fontId="1" fillId="6" borderId="29" xfId="1" applyFill="1" applyBorder="1" applyAlignment="1">
      <alignment horizontal="center" vertical="center" wrapText="1"/>
    </xf>
    <xf numFmtId="0" fontId="1" fillId="6" borderId="30" xfId="1" applyFill="1" applyBorder="1" applyAlignment="1">
      <alignment horizontal="center" vertical="center" wrapText="1"/>
    </xf>
    <xf numFmtId="0" fontId="1" fillId="6" borderId="31" xfId="1" applyFill="1" applyBorder="1" applyAlignment="1">
      <alignment horizontal="center" vertical="center" wrapText="1"/>
    </xf>
    <xf numFmtId="0" fontId="1" fillId="6" borderId="32" xfId="1" applyFill="1" applyBorder="1" applyAlignment="1">
      <alignment horizontal="center" vertical="center" wrapText="1"/>
    </xf>
    <xf numFmtId="0" fontId="1" fillId="6" borderId="0" xfId="1" applyFill="1" applyBorder="1" applyAlignment="1">
      <alignment horizontal="center" vertical="center" wrapText="1"/>
    </xf>
    <xf numFmtId="0" fontId="1" fillId="6" borderId="18" xfId="1" applyFill="1" applyBorder="1" applyAlignment="1">
      <alignment horizontal="center" vertical="center" wrapText="1"/>
    </xf>
    <xf numFmtId="0" fontId="1" fillId="6" borderId="7" xfId="1" applyFill="1" applyBorder="1" applyAlignment="1">
      <alignment horizontal="center" vertical="center" wrapText="1"/>
    </xf>
    <xf numFmtId="0" fontId="1" fillId="6" borderId="33" xfId="1" applyFill="1" applyBorder="1" applyAlignment="1">
      <alignment horizontal="center" vertical="center" wrapText="1"/>
    </xf>
    <xf numFmtId="0" fontId="1" fillId="6" borderId="34" xfId="1" applyFill="1" applyBorder="1" applyAlignment="1">
      <alignment horizontal="center" vertical="center" wrapText="1"/>
    </xf>
    <xf numFmtId="0" fontId="1" fillId="9" borderId="2" xfId="1" applyFill="1" applyBorder="1" applyAlignment="1">
      <alignment horizontal="center" vertical="center" textRotation="90" wrapText="1"/>
    </xf>
    <xf numFmtId="0" fontId="1" fillId="2" borderId="2" xfId="1" applyBorder="1" applyAlignment="1">
      <alignment horizontal="center" vertical="center" wrapText="1"/>
    </xf>
    <xf numFmtId="0" fontId="1" fillId="7" borderId="2" xfId="1" applyFill="1" applyBorder="1" applyAlignment="1">
      <alignment horizontal="center" vertical="center" wrapText="1"/>
    </xf>
    <xf numFmtId="0" fontId="1" fillId="7" borderId="2" xfId="1" applyFill="1" applyBorder="1" applyAlignment="1">
      <alignment horizontal="center" vertical="center" textRotation="90" wrapText="1"/>
    </xf>
    <xf numFmtId="0" fontId="1" fillId="7" borderId="8" xfId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0" fontId="1" fillId="6" borderId="36" xfId="1" applyFill="1" applyBorder="1" applyAlignment="1">
      <alignment horizontal="center" vertical="center" wrapText="1"/>
    </xf>
    <xf numFmtId="0" fontId="1" fillId="6" borderId="11" xfId="1" applyFill="1" applyBorder="1" applyAlignment="1">
      <alignment horizontal="center" vertical="center" wrapText="1"/>
    </xf>
    <xf numFmtId="0" fontId="1" fillId="6" borderId="16" xfId="1" applyFill="1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/>
    </xf>
    <xf numFmtId="0" fontId="8" fillId="2" borderId="2" xfId="1" applyFont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 wrapText="1"/>
    </xf>
    <xf numFmtId="0" fontId="8" fillId="9" borderId="8" xfId="1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top"/>
    </xf>
    <xf numFmtId="0" fontId="0" fillId="0" borderId="9" xfId="0" applyFont="1" applyBorder="1" applyAlignment="1">
      <alignment horizontal="center" vertical="top"/>
    </xf>
    <xf numFmtId="0" fontId="0" fillId="0" borderId="10" xfId="0" applyFont="1" applyBorder="1" applyAlignment="1">
      <alignment horizontal="center" vertical="top"/>
    </xf>
    <xf numFmtId="0" fontId="8" fillId="2" borderId="3" xfId="1" applyFont="1" applyBorder="1" applyAlignment="1">
      <alignment horizontal="center" vertical="center" wrapText="1"/>
    </xf>
    <xf numFmtId="0" fontId="8" fillId="2" borderId="4" xfId="1" applyFont="1" applyBorder="1" applyAlignment="1">
      <alignment horizontal="center" vertical="center" wrapText="1"/>
    </xf>
    <xf numFmtId="0" fontId="8" fillId="2" borderId="5" xfId="1" applyFont="1" applyBorder="1" applyAlignment="1">
      <alignment horizontal="center" vertical="center" wrapText="1"/>
    </xf>
    <xf numFmtId="0" fontId="8" fillId="9" borderId="3" xfId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10" xfId="1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6" borderId="18" xfId="0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0" fontId="8" fillId="9" borderId="12" xfId="1" applyFont="1" applyFill="1" applyBorder="1" applyAlignment="1">
      <alignment horizontal="center" vertical="center" wrapText="1"/>
    </xf>
    <xf numFmtId="0" fontId="8" fillId="9" borderId="14" xfId="1" applyFont="1" applyFill="1" applyBorder="1" applyAlignment="1">
      <alignment horizontal="center" vertical="center" wrapText="1"/>
    </xf>
    <xf numFmtId="0" fontId="8" fillId="9" borderId="17" xfId="1" applyFont="1" applyFill="1" applyBorder="1" applyAlignment="1">
      <alignment horizontal="center" vertical="center" wrapText="1"/>
    </xf>
    <xf numFmtId="0" fontId="8" fillId="9" borderId="18" xfId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15</xdr:row>
      <xdr:rowOff>134470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402210" y="47140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15</xdr:row>
      <xdr:rowOff>134470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02210" y="47140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14</xdr:row>
      <xdr:rowOff>134470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573000" y="382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14</xdr:row>
      <xdr:rowOff>134470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573000" y="382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24</xdr:row>
      <xdr:rowOff>134470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183906" y="37741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24</xdr:row>
      <xdr:rowOff>134470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596270" y="4363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25</xdr:row>
      <xdr:rowOff>134470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23EE0B-2BEF-43F0-ADF4-6CB66A77DD41}"/>
            </a:ext>
          </a:extLst>
        </xdr:cNvPr>
        <xdr:cNvSpPr txBox="1"/>
      </xdr:nvSpPr>
      <xdr:spPr>
        <a:xfrm>
          <a:off x="15165294" y="6165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25</xdr:row>
      <xdr:rowOff>134470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2D3F40-FD78-4F07-A2AF-8BCBF1ECECB3}"/>
            </a:ext>
          </a:extLst>
        </xdr:cNvPr>
        <xdr:cNvSpPr txBox="1"/>
      </xdr:nvSpPr>
      <xdr:spPr>
        <a:xfrm>
          <a:off x="15165294" y="6165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33"/>
  <sheetViews>
    <sheetView zoomScale="70" zoomScaleNormal="70" workbookViewId="0">
      <pane xSplit="4" topLeftCell="E1" activePane="topRight" state="frozen"/>
      <selection pane="topRight" activeCell="AH22" sqref="AH22"/>
    </sheetView>
  </sheetViews>
  <sheetFormatPr defaultColWidth="8.8984375" defaultRowHeight="13.8" x14ac:dyDescent="0.25"/>
  <cols>
    <col min="1" max="1" width="33" style="1" bestFit="1" customWidth="1"/>
    <col min="2" max="2" width="7.796875" style="1" customWidth="1"/>
    <col min="3" max="3" width="17.59765625" style="1" customWidth="1"/>
    <col min="4" max="4" width="15.796875" style="1" bestFit="1" customWidth="1"/>
    <col min="5" max="16" width="5" style="1" customWidth="1"/>
    <col min="17" max="31" width="5.796875" style="1" customWidth="1"/>
    <col min="32" max="32" width="7.296875" style="1" customWidth="1"/>
    <col min="33" max="16384" width="8.8984375" style="1"/>
  </cols>
  <sheetData>
    <row r="1" spans="1:41" ht="14.4" customHeight="1" x14ac:dyDescent="0.25">
      <c r="A1" s="69" t="s">
        <v>229</v>
      </c>
      <c r="B1" s="70"/>
      <c r="C1" s="70"/>
      <c r="D1" s="71"/>
      <c r="E1" s="65" t="s">
        <v>7</v>
      </c>
      <c r="F1" s="66"/>
      <c r="G1" s="66"/>
      <c r="H1" s="66"/>
      <c r="I1" s="66"/>
      <c r="J1" s="66"/>
      <c r="K1" s="66"/>
      <c r="L1" s="67"/>
      <c r="M1" s="68" t="s">
        <v>190</v>
      </c>
      <c r="N1" s="68"/>
      <c r="O1" s="68"/>
      <c r="P1" s="68"/>
      <c r="Q1" s="82" t="s">
        <v>15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4"/>
    </row>
    <row r="2" spans="1:41" ht="14.4" customHeight="1" x14ac:dyDescent="0.25">
      <c r="A2" s="72"/>
      <c r="B2" s="73"/>
      <c r="C2" s="73"/>
      <c r="D2" s="74"/>
      <c r="E2" s="79" t="s">
        <v>198</v>
      </c>
      <c r="F2" s="79"/>
      <c r="G2" s="79"/>
      <c r="H2" s="79"/>
      <c r="I2" s="79" t="s">
        <v>6</v>
      </c>
      <c r="J2" s="79"/>
      <c r="K2" s="79"/>
      <c r="L2" s="79"/>
      <c r="M2" s="68" t="s">
        <v>194</v>
      </c>
      <c r="N2" s="68"/>
      <c r="O2" s="78" t="s">
        <v>192</v>
      </c>
      <c r="P2" s="78" t="s">
        <v>195</v>
      </c>
      <c r="Q2" s="80" t="s">
        <v>11</v>
      </c>
      <c r="R2" s="80"/>
      <c r="S2" s="80"/>
      <c r="T2" s="80" t="s">
        <v>113</v>
      </c>
      <c r="U2" s="80"/>
      <c r="V2" s="80"/>
      <c r="W2" s="80" t="s">
        <v>12</v>
      </c>
      <c r="X2" s="80"/>
      <c r="Y2" s="80"/>
      <c r="Z2" s="80" t="s">
        <v>13</v>
      </c>
      <c r="AA2" s="80"/>
      <c r="AB2" s="80"/>
      <c r="AC2" s="80" t="s">
        <v>14</v>
      </c>
      <c r="AD2" s="80"/>
      <c r="AE2" s="80"/>
      <c r="AF2" s="80" t="s">
        <v>141</v>
      </c>
    </row>
    <row r="3" spans="1:41" ht="40.200000000000003" customHeight="1" x14ac:dyDescent="0.25">
      <c r="A3" s="75"/>
      <c r="B3" s="76"/>
      <c r="C3" s="76"/>
      <c r="D3" s="77"/>
      <c r="E3" s="79" t="s">
        <v>2</v>
      </c>
      <c r="F3" s="79"/>
      <c r="G3" s="79" t="s">
        <v>3</v>
      </c>
      <c r="H3" s="79"/>
      <c r="I3" s="79" t="s">
        <v>10</v>
      </c>
      <c r="J3" s="79"/>
      <c r="K3" s="79" t="s">
        <v>3</v>
      </c>
      <c r="L3" s="79"/>
      <c r="M3" s="68"/>
      <c r="N3" s="68"/>
      <c r="O3" s="78"/>
      <c r="P3" s="78"/>
      <c r="Q3" s="81" t="s">
        <v>17</v>
      </c>
      <c r="R3" s="81" t="s">
        <v>16</v>
      </c>
      <c r="S3" s="81" t="s">
        <v>18</v>
      </c>
      <c r="T3" s="81" t="s">
        <v>115</v>
      </c>
      <c r="U3" s="81" t="s">
        <v>116</v>
      </c>
      <c r="V3" s="81" t="s">
        <v>117</v>
      </c>
      <c r="W3" s="81" t="s">
        <v>19</v>
      </c>
      <c r="X3" s="81" t="s">
        <v>27</v>
      </c>
      <c r="Y3" s="81" t="s">
        <v>20</v>
      </c>
      <c r="Z3" s="81" t="s">
        <v>21</v>
      </c>
      <c r="AA3" s="81" t="s">
        <v>24</v>
      </c>
      <c r="AB3" s="81" t="s">
        <v>22</v>
      </c>
      <c r="AC3" s="81" t="s">
        <v>26</v>
      </c>
      <c r="AD3" s="81" t="s">
        <v>23</v>
      </c>
      <c r="AE3" s="81" t="s">
        <v>25</v>
      </c>
      <c r="AF3" s="80"/>
    </row>
    <row r="4" spans="1:41" ht="58.8" customHeight="1" x14ac:dyDescent="0.25">
      <c r="A4" s="26" t="s">
        <v>0</v>
      </c>
      <c r="B4" s="26" t="s">
        <v>1</v>
      </c>
      <c r="C4" s="26" t="s">
        <v>145</v>
      </c>
      <c r="D4" s="29" t="s">
        <v>140</v>
      </c>
      <c r="E4" s="32" t="s">
        <v>4</v>
      </c>
      <c r="F4" s="32" t="s">
        <v>5</v>
      </c>
      <c r="G4" s="32" t="s">
        <v>4</v>
      </c>
      <c r="H4" s="32" t="s">
        <v>5</v>
      </c>
      <c r="I4" s="32" t="s">
        <v>4</v>
      </c>
      <c r="J4" s="32" t="s">
        <v>5</v>
      </c>
      <c r="K4" s="32" t="s">
        <v>4</v>
      </c>
      <c r="L4" s="32" t="s">
        <v>5</v>
      </c>
      <c r="M4" s="28" t="s">
        <v>191</v>
      </c>
      <c r="N4" s="28" t="s">
        <v>5</v>
      </c>
      <c r="O4" s="78"/>
      <c r="P4" s="78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0"/>
    </row>
    <row r="5" spans="1:41" ht="18" customHeight="1" x14ac:dyDescent="0.25">
      <c r="A5" s="2"/>
      <c r="B5" s="6"/>
      <c r="C5" s="6"/>
      <c r="D5" s="3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2"/>
      <c r="AH5" s="52"/>
      <c r="AI5" s="52"/>
      <c r="AJ5" s="52"/>
      <c r="AK5" s="52"/>
      <c r="AL5" s="52"/>
      <c r="AM5" s="52"/>
      <c r="AN5" s="52"/>
      <c r="AO5" s="52"/>
    </row>
    <row r="6" spans="1:41" ht="18" customHeight="1" x14ac:dyDescent="0.25">
      <c r="A6" s="2"/>
      <c r="B6" s="6"/>
      <c r="C6" s="6"/>
      <c r="D6" s="31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2"/>
      <c r="AH6" s="52"/>
      <c r="AI6" s="52"/>
      <c r="AJ6" s="52"/>
      <c r="AK6" s="52"/>
      <c r="AL6" s="52"/>
      <c r="AM6" s="52"/>
      <c r="AN6" s="52"/>
      <c r="AO6" s="52"/>
    </row>
    <row r="7" spans="1:41" ht="18" customHeight="1" x14ac:dyDescent="0.25">
      <c r="A7" s="2"/>
      <c r="B7" s="6"/>
      <c r="C7" s="6"/>
      <c r="D7" s="31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2"/>
      <c r="AH7" s="52"/>
      <c r="AI7" s="52"/>
      <c r="AJ7" s="52"/>
      <c r="AK7" s="52"/>
      <c r="AL7" s="52"/>
      <c r="AM7" s="52"/>
      <c r="AN7" s="52"/>
      <c r="AO7" s="52"/>
    </row>
    <row r="8" spans="1:41" ht="18" customHeight="1" x14ac:dyDescent="0.25">
      <c r="A8" s="2"/>
      <c r="B8" s="6"/>
      <c r="C8" s="6"/>
      <c r="D8" s="3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2"/>
      <c r="AH8" s="52"/>
      <c r="AI8" s="52"/>
      <c r="AJ8" s="52"/>
      <c r="AK8" s="52"/>
      <c r="AL8" s="52"/>
      <c r="AM8" s="52"/>
      <c r="AN8" s="52"/>
      <c r="AO8" s="52"/>
    </row>
    <row r="9" spans="1:41" ht="18" customHeight="1" x14ac:dyDescent="0.25">
      <c r="A9" s="2"/>
      <c r="B9" s="6"/>
      <c r="C9" s="6"/>
      <c r="D9" s="31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2"/>
      <c r="AH9" s="52"/>
      <c r="AI9" s="52"/>
      <c r="AJ9" s="52"/>
      <c r="AK9" s="52"/>
      <c r="AL9" s="52"/>
      <c r="AM9" s="52"/>
      <c r="AN9" s="52"/>
      <c r="AO9" s="52"/>
    </row>
    <row r="10" spans="1:41" ht="18" customHeight="1" x14ac:dyDescent="0.25">
      <c r="A10" s="2"/>
      <c r="B10" s="6"/>
      <c r="C10" s="6"/>
      <c r="D10" s="3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2"/>
      <c r="AH10" s="52"/>
      <c r="AI10" s="52"/>
      <c r="AJ10" s="52"/>
      <c r="AK10" s="52"/>
      <c r="AL10" s="52"/>
      <c r="AM10" s="52"/>
      <c r="AN10" s="52"/>
      <c r="AO10" s="52"/>
    </row>
    <row r="11" spans="1:41" ht="18" customHeight="1" x14ac:dyDescent="0.25">
      <c r="A11" s="2"/>
      <c r="B11" s="6"/>
      <c r="C11" s="6"/>
      <c r="D11" s="3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2"/>
      <c r="AH11" s="52"/>
      <c r="AI11" s="52"/>
      <c r="AJ11" s="52"/>
      <c r="AK11" s="52"/>
      <c r="AL11" s="52"/>
      <c r="AM11" s="52"/>
      <c r="AN11" s="52"/>
      <c r="AO11" s="52"/>
    </row>
    <row r="12" spans="1:41" ht="18" customHeight="1" x14ac:dyDescent="0.25">
      <c r="A12" s="2"/>
      <c r="B12" s="6"/>
      <c r="C12" s="6"/>
      <c r="D12" s="31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2"/>
      <c r="AH12" s="52"/>
      <c r="AI12" s="52"/>
      <c r="AJ12" s="52"/>
      <c r="AK12" s="52"/>
      <c r="AL12" s="52"/>
      <c r="AM12" s="52"/>
      <c r="AN12" s="52"/>
      <c r="AO12" s="52"/>
    </row>
    <row r="13" spans="1:41" ht="18" customHeight="1" x14ac:dyDescent="0.25">
      <c r="A13" s="2"/>
      <c r="B13" s="6"/>
      <c r="C13" s="6"/>
      <c r="D13" s="31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2"/>
      <c r="AH13" s="52"/>
      <c r="AI13" s="52"/>
      <c r="AJ13" s="52"/>
      <c r="AK13" s="52"/>
      <c r="AL13" s="52"/>
      <c r="AM13" s="52"/>
      <c r="AN13" s="52"/>
      <c r="AO13" s="52"/>
    </row>
    <row r="14" spans="1:41" ht="18" customHeight="1" x14ac:dyDescent="0.25">
      <c r="A14" s="2"/>
      <c r="B14" s="6"/>
      <c r="C14" s="6"/>
      <c r="D14" s="31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2"/>
      <c r="AH14" s="52"/>
      <c r="AI14" s="52"/>
      <c r="AJ14" s="52"/>
      <c r="AK14" s="52"/>
      <c r="AL14" s="52"/>
      <c r="AM14" s="52"/>
      <c r="AN14" s="52"/>
      <c r="AO14" s="52"/>
    </row>
    <row r="15" spans="1:41" ht="18" customHeight="1" x14ac:dyDescent="0.25">
      <c r="A15" s="2"/>
      <c r="B15" s="6"/>
      <c r="C15" s="6"/>
      <c r="D15" s="3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2"/>
      <c r="AH15" s="52"/>
      <c r="AI15" s="52"/>
      <c r="AJ15" s="52"/>
      <c r="AK15" s="52"/>
      <c r="AL15" s="52"/>
      <c r="AM15" s="52"/>
      <c r="AN15" s="52"/>
      <c r="AO15" s="52"/>
    </row>
    <row r="16" spans="1:41" ht="18" customHeight="1" x14ac:dyDescent="0.25">
      <c r="A16" s="2"/>
      <c r="B16" s="6"/>
      <c r="C16" s="6"/>
      <c r="D16" s="1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3"/>
      <c r="AF16" s="51"/>
      <c r="AG16" s="52"/>
      <c r="AH16" s="52"/>
      <c r="AI16" s="52"/>
      <c r="AJ16" s="52"/>
      <c r="AK16" s="52"/>
      <c r="AL16" s="52"/>
      <c r="AM16" s="52"/>
      <c r="AN16" s="52"/>
      <c r="AO16" s="52"/>
    </row>
    <row r="17" spans="1:41" ht="18" customHeight="1" x14ac:dyDescent="0.25">
      <c r="A17" s="2"/>
      <c r="B17" s="6"/>
      <c r="C17" s="6"/>
      <c r="D17" s="10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3"/>
      <c r="AF17" s="51"/>
      <c r="AG17" s="52"/>
      <c r="AH17" s="52"/>
      <c r="AI17" s="52"/>
      <c r="AJ17" s="52"/>
      <c r="AK17" s="52"/>
      <c r="AL17" s="52"/>
      <c r="AM17" s="52"/>
      <c r="AN17" s="52"/>
      <c r="AO17" s="52"/>
    </row>
    <row r="18" spans="1:41" ht="18" customHeight="1" x14ac:dyDescent="0.25">
      <c r="A18" s="2"/>
      <c r="B18" s="6"/>
      <c r="C18" s="6"/>
      <c r="D18" s="10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3"/>
      <c r="AF18" s="51"/>
      <c r="AG18" s="52"/>
      <c r="AH18" s="52"/>
      <c r="AI18" s="52"/>
      <c r="AJ18" s="52"/>
      <c r="AK18" s="52"/>
      <c r="AL18" s="52"/>
      <c r="AM18" s="52"/>
      <c r="AN18" s="52"/>
      <c r="AO18" s="52"/>
    </row>
    <row r="19" spans="1:41" ht="18" customHeight="1" x14ac:dyDescent="0.25">
      <c r="A19" s="2"/>
      <c r="B19" s="6"/>
      <c r="C19" s="6"/>
      <c r="D19" s="10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3"/>
      <c r="AF19" s="51"/>
      <c r="AG19" s="52"/>
      <c r="AH19" s="52"/>
      <c r="AI19" s="52"/>
      <c r="AJ19" s="52"/>
      <c r="AK19" s="52"/>
      <c r="AL19" s="52"/>
      <c r="AM19" s="52"/>
      <c r="AN19" s="52"/>
      <c r="AO19" s="52"/>
    </row>
    <row r="20" spans="1:41" ht="18" customHeight="1" x14ac:dyDescent="0.25">
      <c r="A20" s="2"/>
      <c r="B20" s="6"/>
      <c r="C20" s="6"/>
      <c r="D20" s="10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3"/>
      <c r="AF20" s="51"/>
      <c r="AG20" s="52"/>
      <c r="AH20" s="52"/>
      <c r="AI20" s="52"/>
      <c r="AJ20" s="52"/>
      <c r="AK20" s="52"/>
      <c r="AL20" s="52"/>
      <c r="AM20" s="52"/>
      <c r="AN20" s="52"/>
      <c r="AO20" s="52"/>
    </row>
    <row r="21" spans="1:41" ht="18" customHeight="1" x14ac:dyDescent="0.25">
      <c r="A21" s="2"/>
      <c r="B21" s="6"/>
      <c r="C21" s="6"/>
      <c r="D21" s="10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3"/>
      <c r="AF21" s="51"/>
      <c r="AG21" s="52"/>
      <c r="AH21" s="52"/>
      <c r="AI21" s="52"/>
      <c r="AJ21" s="52"/>
      <c r="AK21" s="52"/>
      <c r="AL21" s="52"/>
      <c r="AM21" s="52"/>
      <c r="AN21" s="52"/>
      <c r="AO21" s="52"/>
    </row>
    <row r="22" spans="1:41" ht="18" customHeight="1" x14ac:dyDescent="0.25">
      <c r="A22" s="2"/>
      <c r="B22" s="6"/>
      <c r="C22" s="6"/>
      <c r="D22" s="1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3"/>
      <c r="AF22" s="51"/>
      <c r="AG22" s="52"/>
      <c r="AH22" s="52"/>
      <c r="AI22" s="52"/>
      <c r="AJ22" s="52"/>
      <c r="AK22" s="52"/>
      <c r="AL22" s="52"/>
      <c r="AM22" s="52"/>
      <c r="AN22" s="52"/>
      <c r="AO22" s="52"/>
    </row>
    <row r="23" spans="1:41" ht="18" customHeight="1" x14ac:dyDescent="0.25"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</row>
    <row r="24" spans="1:41" x14ac:dyDescent="0.25"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</row>
    <row r="25" spans="1:41" x14ac:dyDescent="0.25"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</row>
    <row r="26" spans="1:41" x14ac:dyDescent="0.25"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</row>
    <row r="27" spans="1:41" x14ac:dyDescent="0.25"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</row>
    <row r="28" spans="1:41" x14ac:dyDescent="0.25"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</row>
    <row r="29" spans="1:41" x14ac:dyDescent="0.25"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</row>
    <row r="30" spans="1:41" x14ac:dyDescent="0.25"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</row>
    <row r="31" spans="1:41" x14ac:dyDescent="0.25"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</row>
    <row r="32" spans="1:41" x14ac:dyDescent="0.25"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</row>
    <row r="33" spans="5:41" x14ac:dyDescent="0.25"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</row>
  </sheetData>
  <mergeCells count="34">
    <mergeCell ref="Q1:AF1"/>
    <mergeCell ref="E2:H2"/>
    <mergeCell ref="V3:V4"/>
    <mergeCell ref="Q3:Q4"/>
    <mergeCell ref="R3:R4"/>
    <mergeCell ref="S3:S4"/>
    <mergeCell ref="T3:T4"/>
    <mergeCell ref="U3:U4"/>
    <mergeCell ref="AC3:AC4"/>
    <mergeCell ref="AD3:AD4"/>
    <mergeCell ref="AE3:AE4"/>
    <mergeCell ref="W3:W4"/>
    <mergeCell ref="X3:X4"/>
    <mergeCell ref="Y3:Y4"/>
    <mergeCell ref="Z3:Z4"/>
    <mergeCell ref="AA3:AA4"/>
    <mergeCell ref="AF2:AF4"/>
    <mergeCell ref="E3:F3"/>
    <mergeCell ref="G3:H3"/>
    <mergeCell ref="I3:J3"/>
    <mergeCell ref="K3:L3"/>
    <mergeCell ref="AB3:AB4"/>
    <mergeCell ref="Q2:S2"/>
    <mergeCell ref="T2:V2"/>
    <mergeCell ref="W2:Y2"/>
    <mergeCell ref="Z2:AB2"/>
    <mergeCell ref="AC2:AE2"/>
    <mergeCell ref="E1:L1"/>
    <mergeCell ref="M1:P1"/>
    <mergeCell ref="A1:D3"/>
    <mergeCell ref="M2:N3"/>
    <mergeCell ref="O2:O4"/>
    <mergeCell ref="P2:P4"/>
    <mergeCell ref="I2:L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81"/>
  <sheetViews>
    <sheetView tabSelected="1" zoomScale="85" zoomScaleNormal="85" workbookViewId="0">
      <pane ySplit="28" topLeftCell="A29" activePane="bottomLeft" state="frozen"/>
      <selection pane="bottomLeft" activeCell="AC32" sqref="AC32"/>
    </sheetView>
  </sheetViews>
  <sheetFormatPr defaultColWidth="8.8984375" defaultRowHeight="13.8" x14ac:dyDescent="0.25"/>
  <cols>
    <col min="1" max="1" width="35.8984375" style="1" customWidth="1"/>
    <col min="2" max="2" width="19.3984375" style="1" bestFit="1" customWidth="1"/>
    <col min="3" max="3" width="28.59765625" style="1" customWidth="1"/>
    <col min="4" max="4" width="15.796875" style="1" bestFit="1" customWidth="1"/>
    <col min="5" max="5" width="13.5" style="1" bestFit="1" customWidth="1"/>
    <col min="6" max="22" width="7.8984375" style="1" customWidth="1"/>
    <col min="23" max="31" width="10.09765625" style="1" customWidth="1"/>
    <col min="32" max="38" width="7.8984375" style="1" customWidth="1"/>
    <col min="39" max="16384" width="8.8984375" style="1"/>
  </cols>
  <sheetData>
    <row r="1" spans="1:32" ht="14.4" customHeight="1" x14ac:dyDescent="0.25">
      <c r="A1" s="72" t="s">
        <v>229</v>
      </c>
      <c r="B1" s="73"/>
      <c r="C1" s="73"/>
      <c r="D1" s="73"/>
      <c r="E1" s="74"/>
      <c r="F1" s="65" t="s">
        <v>7</v>
      </c>
      <c r="G1" s="66"/>
      <c r="H1" s="66"/>
      <c r="I1" s="66"/>
      <c r="J1" s="66"/>
      <c r="K1" s="66"/>
      <c r="L1" s="66"/>
      <c r="M1" s="66"/>
      <c r="N1" s="68" t="s">
        <v>190</v>
      </c>
      <c r="O1" s="68"/>
      <c r="P1" s="68"/>
      <c r="Q1" s="82" t="s">
        <v>15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4"/>
    </row>
    <row r="2" spans="1:32" ht="14.4" customHeight="1" x14ac:dyDescent="0.25">
      <c r="A2" s="72"/>
      <c r="B2" s="73"/>
      <c r="C2" s="73"/>
      <c r="D2" s="73"/>
      <c r="E2" s="74"/>
      <c r="F2" s="79" t="s">
        <v>198</v>
      </c>
      <c r="G2" s="79"/>
      <c r="H2" s="79"/>
      <c r="I2" s="79"/>
      <c r="J2" s="79" t="s">
        <v>6</v>
      </c>
      <c r="K2" s="79"/>
      <c r="L2" s="79"/>
      <c r="M2" s="79"/>
      <c r="N2" s="68" t="s">
        <v>194</v>
      </c>
      <c r="O2" s="68"/>
      <c r="P2" s="78" t="s">
        <v>195</v>
      </c>
      <c r="Q2" s="80" t="s">
        <v>11</v>
      </c>
      <c r="R2" s="80"/>
      <c r="S2" s="80"/>
      <c r="T2" s="80" t="s">
        <v>113</v>
      </c>
      <c r="U2" s="80"/>
      <c r="V2" s="80"/>
      <c r="W2" s="80" t="s">
        <v>12</v>
      </c>
      <c r="X2" s="80"/>
      <c r="Y2" s="80"/>
      <c r="Z2" s="80" t="s">
        <v>13</v>
      </c>
      <c r="AA2" s="80"/>
      <c r="AB2" s="80"/>
      <c r="AC2" s="80" t="s">
        <v>14</v>
      </c>
      <c r="AD2" s="80"/>
      <c r="AE2" s="80"/>
      <c r="AF2" s="88"/>
    </row>
    <row r="3" spans="1:32" ht="40.200000000000003" customHeight="1" x14ac:dyDescent="0.25">
      <c r="A3" s="85"/>
      <c r="B3" s="86"/>
      <c r="C3" s="86"/>
      <c r="D3" s="86"/>
      <c r="E3" s="87"/>
      <c r="F3" s="79" t="s">
        <v>266</v>
      </c>
      <c r="G3" s="79"/>
      <c r="H3" s="79" t="s">
        <v>3</v>
      </c>
      <c r="I3" s="79"/>
      <c r="J3" s="79" t="s">
        <v>10</v>
      </c>
      <c r="K3" s="79"/>
      <c r="L3" s="65" t="s">
        <v>3</v>
      </c>
      <c r="M3" s="67"/>
      <c r="N3" s="68"/>
      <c r="O3" s="68"/>
      <c r="P3" s="78"/>
      <c r="Q3" s="81" t="s">
        <v>17</v>
      </c>
      <c r="R3" s="81" t="s">
        <v>16</v>
      </c>
      <c r="S3" s="81" t="s">
        <v>18</v>
      </c>
      <c r="T3" s="81" t="s">
        <v>115</v>
      </c>
      <c r="U3" s="81" t="s">
        <v>116</v>
      </c>
      <c r="V3" s="81" t="s">
        <v>117</v>
      </c>
      <c r="W3" s="81" t="s">
        <v>19</v>
      </c>
      <c r="X3" s="81" t="s">
        <v>27</v>
      </c>
      <c r="Y3" s="81" t="s">
        <v>20</v>
      </c>
      <c r="Z3" s="81" t="s">
        <v>21</v>
      </c>
      <c r="AA3" s="81" t="s">
        <v>24</v>
      </c>
      <c r="AB3" s="81" t="s">
        <v>22</v>
      </c>
      <c r="AC3" s="81" t="s">
        <v>26</v>
      </c>
      <c r="AD3" s="81" t="s">
        <v>23</v>
      </c>
      <c r="AE3" s="81" t="s">
        <v>25</v>
      </c>
      <c r="AF3" s="88"/>
    </row>
    <row r="4" spans="1:32" ht="71.400000000000006" customHeight="1" x14ac:dyDescent="0.25">
      <c r="A4" s="58" t="s">
        <v>0</v>
      </c>
      <c r="B4" s="58" t="s">
        <v>1</v>
      </c>
      <c r="C4" s="58" t="s">
        <v>145</v>
      </c>
      <c r="D4" s="57" t="s">
        <v>140</v>
      </c>
      <c r="E4" s="59" t="s">
        <v>245</v>
      </c>
      <c r="F4" s="32" t="s">
        <v>265</v>
      </c>
      <c r="G4" s="32" t="s">
        <v>5</v>
      </c>
      <c r="H4" s="32" t="s">
        <v>265</v>
      </c>
      <c r="I4" s="32" t="s">
        <v>5</v>
      </c>
      <c r="J4" s="32" t="s">
        <v>265</v>
      </c>
      <c r="K4" s="32" t="s">
        <v>5</v>
      </c>
      <c r="L4" s="32" t="s">
        <v>265</v>
      </c>
      <c r="M4" s="32" t="s">
        <v>5</v>
      </c>
      <c r="N4" s="28" t="s">
        <v>191</v>
      </c>
      <c r="O4" s="28" t="s">
        <v>5</v>
      </c>
      <c r="P4" s="78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8"/>
    </row>
    <row r="5" spans="1:32" ht="18" customHeight="1" x14ac:dyDescent="0.25">
      <c r="A5" s="54" t="s">
        <v>124</v>
      </c>
      <c r="B5" s="17" t="s">
        <v>8</v>
      </c>
      <c r="C5" s="17" t="s">
        <v>263</v>
      </c>
      <c r="D5" s="55">
        <v>42758</v>
      </c>
      <c r="E5" s="60" t="str">
        <f ca="1">DATEDIF(D5,TODAY(),"y")&amp;"Y "&amp;DATEDIF(D5,TODAY(),"ym")&amp;"M"</f>
        <v>9Y 5M</v>
      </c>
      <c r="F5" s="17" t="str">
        <f>IF(AND($Q5&gt;=1,$R5&gt;=1,$S5&gt;=2,$T5&gt;=2,$U5&gt;=2,$V5&gt;=2,$W5&gt;=2,$Z5&gt;=2,$AB5&gt;=3,$AC5&gt;=2,$AD5&gt;=2),"★","")</f>
        <v>★</v>
      </c>
      <c r="G5" s="17" t="str">
        <f>IF(AND($Q5&gt;=1,$R5&gt;=1,$S5&gt;=2,$T5&gt;=3,$U5&gt;=3,$V5&gt;=3,$W5&gt;=2,$Z5&gt;=3,$AA5&gt;=3,$AB5&gt;=3,$AC5&gt;=2,$AD5&gt;=2),"★","")</f>
        <v>★</v>
      </c>
      <c r="H5" s="17" t="str">
        <f>IF(AND($Q5&gt;=1,$R5&gt;=1,$S5&gt;=2,$T5&gt;=2,$U5&gt;=2,$V5&gt;=2,$W5&gt;=2,$Z5&gt;=2,$AB5&gt;=2,$AC5&gt;=2,$AD5&gt;=2),"★","")</f>
        <v>★</v>
      </c>
      <c r="I5" s="17" t="str">
        <f>IF(AND($Q5&gt;=1,$R5&gt;=1,$S5&gt;=2,$T5&gt;=3,$U5&gt;=3,$V5&gt;=3,$W5&gt;=2,$Z5&gt;=3,$AA5&gt;=3,$AB5&gt;=3,$AC5&gt;=2,$AD5&gt;=2),"★","")</f>
        <v>★</v>
      </c>
      <c r="J5" s="17" t="str">
        <f>IF(AND($Q5&gt;=2,$R5&gt;=1,$S5&gt;=2,$T5&gt;=1,$U5&gt;=2,$V5&gt;=2,$W5&gt;=3,$Z5&gt;=2,$AA5&gt;=3,$AB5&gt;=2,$AC5&gt;=2,$AD5&gt;=2),"★","")</f>
        <v>★</v>
      </c>
      <c r="K5" s="17" t="s">
        <v>196</v>
      </c>
      <c r="L5" s="17" t="str">
        <f>IF(AND($Q5&gt;=2,$R5&gt;=1,$S5&gt;=2,$T5&gt;=1,$U5&gt;=2,$V5&gt;=2,$W5&gt;=3,$Z5&gt;=2,$AA5&gt;=2,$AB5&gt;=2,$AC5&gt;=2,$AD5&gt;=2),"★","")</f>
        <v>★</v>
      </c>
      <c r="M5" s="17" t="s">
        <v>196</v>
      </c>
      <c r="N5" s="17" t="str">
        <f>IF(AND($Q5&gt;=1,$R5&gt;=1,$S5&gt;=1,$T5&gt;=2,$U5&gt;=3,$V5&gt;=2,$W5&gt;=2,$Y5&gt;=1,$AC5&gt;=2,$AD5&gt;=2),"★","")</f>
        <v>★</v>
      </c>
      <c r="O5" s="17" t="str">
        <f>IF(AND($Q5&gt;=1,$R5&gt;=1,$S5&gt;=1,$T5&gt;=3,$U5&gt;=3,$V5&gt;=3,$W5&gt;=2,$Y5&gt;=1,$AC5&gt;=2,$AD5&gt;=2),"★","")</f>
        <v>★</v>
      </c>
      <c r="P5" s="17" t="s">
        <v>196</v>
      </c>
      <c r="Q5" s="17">
        <v>2</v>
      </c>
      <c r="R5" s="17">
        <v>2</v>
      </c>
      <c r="S5" s="17">
        <v>2</v>
      </c>
      <c r="T5" s="17">
        <v>3</v>
      </c>
      <c r="U5" s="17">
        <v>3</v>
      </c>
      <c r="V5" s="17">
        <v>3</v>
      </c>
      <c r="W5" s="17">
        <v>3</v>
      </c>
      <c r="X5" s="17">
        <v>2</v>
      </c>
      <c r="Y5" s="17">
        <v>3</v>
      </c>
      <c r="Z5" s="17">
        <v>3</v>
      </c>
      <c r="AA5" s="17">
        <v>3</v>
      </c>
      <c r="AB5" s="17">
        <v>3</v>
      </c>
      <c r="AC5" s="17">
        <v>3</v>
      </c>
      <c r="AD5" s="17">
        <v>3</v>
      </c>
      <c r="AE5" s="17">
        <v>3</v>
      </c>
      <c r="AF5" s="27">
        <f>SUM(Q5:AE5)</f>
        <v>41</v>
      </c>
    </row>
    <row r="6" spans="1:32" ht="18" customHeight="1" x14ac:dyDescent="0.25">
      <c r="A6" s="54"/>
      <c r="B6" s="17"/>
      <c r="C6" s="17"/>
      <c r="D6" s="55"/>
      <c r="E6" s="60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27"/>
    </row>
    <row r="7" spans="1:32" ht="18" customHeight="1" x14ac:dyDescent="0.25">
      <c r="A7" s="54" t="s">
        <v>128</v>
      </c>
      <c r="B7" s="17" t="s">
        <v>135</v>
      </c>
      <c r="C7" s="17" t="s">
        <v>250</v>
      </c>
      <c r="D7" s="56">
        <v>45159</v>
      </c>
      <c r="E7" s="60" t="str">
        <f t="shared" ref="E7:E27" ca="1" si="0">DATEDIF(D7,TODAY(),"y")&amp;"Y "&amp;DATEDIF(D7,TODAY(),"ym")&amp;"M"</f>
        <v>2Y 10M</v>
      </c>
      <c r="F7" s="17" t="str">
        <f t="shared" ref="F7:F22" si="1">IF(AND($Q7&gt;=1,$R7&gt;=1,$S7&gt;=2,$T7&gt;=2,$U7&gt;=2,$V7&gt;=2,$W7&gt;=2,$Z7&gt;=2,$AB7&gt;=3,$AC7&gt;=2,$AD7&gt;=2),"★","")</f>
        <v>★</v>
      </c>
      <c r="G7" s="17" t="str">
        <f t="shared" ref="G7:G10" si="2">IF(AND($Q7&gt;=1,$R7&gt;=1,$S7&gt;=2,$T7&gt;=3,$U7&gt;=3,$V7&gt;=3,$W7&gt;=2,$Z7&gt;=3,$AA7&gt;=3,$AB7&gt;=3,$AC7&gt;=2,$AD7&gt;=2),"★","")</f>
        <v>★</v>
      </c>
      <c r="H7" s="17" t="str">
        <f t="shared" ref="H7:H22" si="3">IF(AND($Q7&gt;=1,$R7&gt;=1,$S7&gt;=2,$T7&gt;=2,$U7&gt;=2,$V7&gt;=2,$W7&gt;=2,$Z7&gt;=2,$AB7&gt;=2,$AC7&gt;=2,$AD7&gt;=2),"★","")</f>
        <v>★</v>
      </c>
      <c r="I7" s="17" t="str">
        <f t="shared" ref="I7:I10" si="4">IF(AND($Q7&gt;=1,$R7&gt;=1,$S7&gt;=2,$T7&gt;=3,$U7&gt;=3,$V7&gt;=3,$W7&gt;=2,$Z7&gt;=3,$AA7&gt;=3,$AB7&gt;=3,$AC7&gt;=2,$AD7&gt;=2),"★","")</f>
        <v>★</v>
      </c>
      <c r="J7" s="27"/>
      <c r="K7" s="27"/>
      <c r="L7" s="27"/>
      <c r="M7" s="27"/>
      <c r="N7" s="17" t="str">
        <f t="shared" ref="N7:N27" si="5">IF(AND($Q7&gt;=1,$R7&gt;=1,$S7&gt;=1,$T7&gt;=2,$U7&gt;=2,$V7&gt;=2,$W7&gt;=2,$Y7&gt;=1,$AC7&gt;=2,$AD7&gt;=2),"★","")</f>
        <v>★</v>
      </c>
      <c r="O7" s="17" t="str">
        <f t="shared" ref="O7:O27" si="6">IF(AND($Q7&gt;=1,$R7&gt;=1,$S7&gt;=1,$T7&gt;=3,$U7&gt;=3,$V7&gt;=3,$W7&gt;=2,$Y7&gt;=1,$AC7&gt;=2,$AD7&gt;=2),"★","")</f>
        <v>★</v>
      </c>
      <c r="P7" s="27"/>
      <c r="Q7" s="17">
        <v>1</v>
      </c>
      <c r="R7" s="17">
        <v>2</v>
      </c>
      <c r="S7" s="17">
        <v>2</v>
      </c>
      <c r="T7" s="17">
        <v>3</v>
      </c>
      <c r="U7" s="17">
        <v>3</v>
      </c>
      <c r="V7" s="17">
        <v>3</v>
      </c>
      <c r="W7" s="17">
        <v>3</v>
      </c>
      <c r="X7" s="17">
        <v>2</v>
      </c>
      <c r="Y7" s="17">
        <v>3</v>
      </c>
      <c r="Z7" s="17">
        <v>3</v>
      </c>
      <c r="AA7" s="17">
        <v>3</v>
      </c>
      <c r="AB7" s="17">
        <v>3</v>
      </c>
      <c r="AC7" s="17">
        <v>3</v>
      </c>
      <c r="AD7" s="17">
        <v>3</v>
      </c>
      <c r="AE7" s="17">
        <v>3</v>
      </c>
      <c r="AF7" s="27">
        <f t="shared" ref="AF7:AF8" si="7">SUM(Q7:AE7)</f>
        <v>40</v>
      </c>
    </row>
    <row r="8" spans="1:32" ht="18" customHeight="1" x14ac:dyDescent="0.25">
      <c r="A8" s="54" t="s">
        <v>131</v>
      </c>
      <c r="B8" s="17" t="s">
        <v>138</v>
      </c>
      <c r="C8" s="17" t="s">
        <v>255</v>
      </c>
      <c r="D8" s="56">
        <v>45180</v>
      </c>
      <c r="E8" s="60" t="str">
        <f t="shared" ca="1" si="0"/>
        <v>2Y 9M</v>
      </c>
      <c r="F8" s="17" t="str">
        <f t="shared" si="1"/>
        <v>★</v>
      </c>
      <c r="G8" s="17" t="str">
        <f t="shared" si="2"/>
        <v>★</v>
      </c>
      <c r="H8" s="17" t="str">
        <f t="shared" si="3"/>
        <v>★</v>
      </c>
      <c r="I8" s="17" t="str">
        <f t="shared" si="4"/>
        <v>★</v>
      </c>
      <c r="J8" s="27"/>
      <c r="K8" s="27"/>
      <c r="L8" s="27"/>
      <c r="M8" s="27"/>
      <c r="N8" s="17" t="str">
        <f t="shared" si="5"/>
        <v>★</v>
      </c>
      <c r="O8" s="17" t="str">
        <f t="shared" si="6"/>
        <v>★</v>
      </c>
      <c r="P8" s="27"/>
      <c r="Q8" s="17">
        <v>1</v>
      </c>
      <c r="R8" s="17">
        <v>2</v>
      </c>
      <c r="S8" s="17">
        <v>2</v>
      </c>
      <c r="T8" s="17">
        <v>3</v>
      </c>
      <c r="U8" s="17">
        <v>3</v>
      </c>
      <c r="V8" s="17">
        <v>3</v>
      </c>
      <c r="W8" s="17">
        <v>3</v>
      </c>
      <c r="X8" s="17">
        <v>3</v>
      </c>
      <c r="Y8" s="17">
        <v>3</v>
      </c>
      <c r="Z8" s="17">
        <v>3</v>
      </c>
      <c r="AA8" s="17">
        <v>3</v>
      </c>
      <c r="AB8" s="17">
        <v>3</v>
      </c>
      <c r="AC8" s="17">
        <v>3</v>
      </c>
      <c r="AD8" s="17">
        <v>3</v>
      </c>
      <c r="AE8" s="17">
        <v>2</v>
      </c>
      <c r="AF8" s="27">
        <f t="shared" si="7"/>
        <v>40</v>
      </c>
    </row>
    <row r="9" spans="1:32" ht="18" customHeight="1" x14ac:dyDescent="0.25">
      <c r="A9" s="54" t="s">
        <v>130</v>
      </c>
      <c r="B9" s="17" t="s">
        <v>137</v>
      </c>
      <c r="C9" s="17" t="s">
        <v>255</v>
      </c>
      <c r="D9" s="56">
        <v>45168</v>
      </c>
      <c r="E9" s="60" t="str">
        <f t="shared" ca="1" si="0"/>
        <v>2Y 10M</v>
      </c>
      <c r="F9" s="17" t="str">
        <f t="shared" si="1"/>
        <v>★</v>
      </c>
      <c r="G9" s="17" t="str">
        <f t="shared" si="2"/>
        <v>★</v>
      </c>
      <c r="H9" s="17" t="str">
        <f t="shared" si="3"/>
        <v>★</v>
      </c>
      <c r="I9" s="17" t="str">
        <f t="shared" si="4"/>
        <v>★</v>
      </c>
      <c r="J9" s="27"/>
      <c r="K9" s="27"/>
      <c r="L9" s="27"/>
      <c r="M9" s="27"/>
      <c r="N9" s="17" t="str">
        <f t="shared" si="5"/>
        <v>★</v>
      </c>
      <c r="O9" s="17" t="str">
        <f t="shared" si="6"/>
        <v>★</v>
      </c>
      <c r="P9" s="27"/>
      <c r="Q9" s="17">
        <v>1</v>
      </c>
      <c r="R9" s="17">
        <v>2</v>
      </c>
      <c r="S9" s="17">
        <v>2</v>
      </c>
      <c r="T9" s="17">
        <v>3</v>
      </c>
      <c r="U9" s="17">
        <v>3</v>
      </c>
      <c r="V9" s="17">
        <v>3</v>
      </c>
      <c r="W9" s="17">
        <v>3</v>
      </c>
      <c r="X9" s="17">
        <v>2</v>
      </c>
      <c r="Y9" s="17">
        <v>3</v>
      </c>
      <c r="Z9" s="17">
        <v>3</v>
      </c>
      <c r="AA9" s="17">
        <v>3</v>
      </c>
      <c r="AB9" s="17">
        <v>3</v>
      </c>
      <c r="AC9" s="17">
        <v>3</v>
      </c>
      <c r="AD9" s="17">
        <v>3</v>
      </c>
      <c r="AE9" s="17">
        <v>2</v>
      </c>
      <c r="AF9" s="27">
        <f t="shared" ref="AF9" si="8">SUM(Q9:AE9)</f>
        <v>39</v>
      </c>
    </row>
    <row r="10" spans="1:32" ht="18" customHeight="1" x14ac:dyDescent="0.25">
      <c r="A10" s="54" t="s">
        <v>240</v>
      </c>
      <c r="B10" s="17" t="s">
        <v>239</v>
      </c>
      <c r="C10" s="17" t="s">
        <v>255</v>
      </c>
      <c r="D10" s="56">
        <v>45861</v>
      </c>
      <c r="E10" s="60" t="str">
        <f t="shared" ca="1" si="0"/>
        <v>0Y 11M</v>
      </c>
      <c r="F10" s="17" t="str">
        <f t="shared" si="1"/>
        <v>★</v>
      </c>
      <c r="G10" s="17" t="str">
        <f t="shared" si="2"/>
        <v/>
      </c>
      <c r="H10" s="17" t="str">
        <f t="shared" si="3"/>
        <v>★</v>
      </c>
      <c r="I10" s="17" t="str">
        <f t="shared" si="4"/>
        <v/>
      </c>
      <c r="J10" s="27"/>
      <c r="K10" s="27"/>
      <c r="L10" s="27"/>
      <c r="M10" s="27"/>
      <c r="N10" s="17" t="str">
        <f t="shared" si="5"/>
        <v>★</v>
      </c>
      <c r="O10" s="17" t="str">
        <f t="shared" si="6"/>
        <v/>
      </c>
      <c r="P10" s="27"/>
      <c r="Q10" s="17">
        <v>1</v>
      </c>
      <c r="R10" s="17">
        <v>2</v>
      </c>
      <c r="S10" s="17">
        <v>2</v>
      </c>
      <c r="T10" s="17">
        <v>2</v>
      </c>
      <c r="U10" s="17">
        <v>2</v>
      </c>
      <c r="V10" s="17">
        <v>3</v>
      </c>
      <c r="W10" s="17">
        <v>3</v>
      </c>
      <c r="X10" s="17">
        <v>2</v>
      </c>
      <c r="Y10" s="17">
        <v>3</v>
      </c>
      <c r="Z10" s="17">
        <v>3</v>
      </c>
      <c r="AA10" s="17">
        <v>3</v>
      </c>
      <c r="AB10" s="17">
        <v>3</v>
      </c>
      <c r="AC10" s="17">
        <v>2</v>
      </c>
      <c r="AD10" s="17">
        <v>3</v>
      </c>
      <c r="AE10" s="17">
        <v>1</v>
      </c>
      <c r="AF10" s="27"/>
    </row>
    <row r="11" spans="1:32" ht="18" customHeight="1" x14ac:dyDescent="0.25">
      <c r="A11" s="54"/>
      <c r="B11" s="17"/>
      <c r="C11" s="17"/>
      <c r="D11" s="56"/>
      <c r="E11" s="60"/>
      <c r="F11" s="17"/>
      <c r="G11" s="17"/>
      <c r="H11" s="17"/>
      <c r="I11" s="17"/>
      <c r="J11" s="27"/>
      <c r="K11" s="27"/>
      <c r="L11" s="27"/>
      <c r="M11" s="27"/>
      <c r="N11" s="17"/>
      <c r="O11" s="17"/>
      <c r="P11" s="2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27"/>
    </row>
    <row r="12" spans="1:32" ht="18" customHeight="1" x14ac:dyDescent="0.25">
      <c r="A12" s="54" t="s">
        <v>125</v>
      </c>
      <c r="B12" s="17" t="s">
        <v>133</v>
      </c>
      <c r="C12" s="17" t="s">
        <v>251</v>
      </c>
      <c r="D12" s="55">
        <v>43272</v>
      </c>
      <c r="E12" s="60" t="str">
        <f t="shared" ca="1" si="0"/>
        <v>8Y 0M</v>
      </c>
      <c r="F12" s="17" t="str">
        <f t="shared" si="1"/>
        <v>★</v>
      </c>
      <c r="G12" s="17" t="str">
        <f t="shared" ref="G12:G17" si="9">IF(AND($Q12&gt;=1,$R12&gt;=1,$S12&gt;=2,$T12&gt;=3,$U12&gt;=3,$V12&gt;=3,$W12&gt;=2,$Z12&gt;=3,$AA12&gt;=3,$AB12&gt;=3,$AC12&gt;=2,$AD12&gt;=2),"★","")</f>
        <v>★</v>
      </c>
      <c r="H12" s="17" t="str">
        <f t="shared" si="3"/>
        <v>★</v>
      </c>
      <c r="I12" s="17" t="str">
        <f t="shared" ref="I12:I17" si="10">IF(AND($Q12&gt;=1,$R12&gt;=1,$S12&gt;=2,$T12&gt;=3,$U12&gt;=3,$V12&gt;=3,$W12&gt;=2,$Z12&gt;=3,$AA12&gt;=3,$AB12&gt;=3,$AC12&gt;=2,$AD12&gt;=2),"★","")</f>
        <v>★</v>
      </c>
      <c r="J12" s="27"/>
      <c r="K12" s="27"/>
      <c r="L12" s="27"/>
      <c r="M12" s="27"/>
      <c r="N12" s="17" t="str">
        <f t="shared" si="5"/>
        <v>★</v>
      </c>
      <c r="O12" s="17" t="str">
        <f t="shared" si="6"/>
        <v>★</v>
      </c>
      <c r="P12" s="27"/>
      <c r="Q12" s="17">
        <v>3</v>
      </c>
      <c r="R12" s="17">
        <v>2</v>
      </c>
      <c r="S12" s="17">
        <v>3</v>
      </c>
      <c r="T12" s="17">
        <v>3</v>
      </c>
      <c r="U12" s="17">
        <v>3</v>
      </c>
      <c r="V12" s="17">
        <v>3</v>
      </c>
      <c r="W12" s="17">
        <v>3</v>
      </c>
      <c r="X12" s="17">
        <v>2</v>
      </c>
      <c r="Y12" s="17">
        <v>3</v>
      </c>
      <c r="Z12" s="17">
        <v>3</v>
      </c>
      <c r="AA12" s="17">
        <v>3</v>
      </c>
      <c r="AB12" s="17">
        <v>3</v>
      </c>
      <c r="AC12" s="17">
        <v>3</v>
      </c>
      <c r="AD12" s="17">
        <v>3</v>
      </c>
      <c r="AE12" s="17">
        <v>3</v>
      </c>
      <c r="AF12" s="27">
        <f t="shared" ref="AF12:AF19" si="11">SUM(Q12:AE12)</f>
        <v>43</v>
      </c>
    </row>
    <row r="13" spans="1:32" ht="18" customHeight="1" x14ac:dyDescent="0.25">
      <c r="A13" s="54" t="s">
        <v>132</v>
      </c>
      <c r="B13" s="17" t="s">
        <v>139</v>
      </c>
      <c r="C13" s="17" t="s">
        <v>142</v>
      </c>
      <c r="D13" s="56">
        <v>45194</v>
      </c>
      <c r="E13" s="60" t="str">
        <f t="shared" ca="1" si="0"/>
        <v>2Y 9M</v>
      </c>
      <c r="F13" s="17" t="str">
        <f t="shared" si="1"/>
        <v>★</v>
      </c>
      <c r="G13" s="17" t="str">
        <f t="shared" si="9"/>
        <v>★</v>
      </c>
      <c r="H13" s="17" t="str">
        <f t="shared" si="3"/>
        <v>★</v>
      </c>
      <c r="I13" s="17" t="str">
        <f t="shared" si="10"/>
        <v>★</v>
      </c>
      <c r="J13" s="27"/>
      <c r="K13" s="27"/>
      <c r="L13" s="27"/>
      <c r="M13" s="27"/>
      <c r="N13" s="17" t="str">
        <f t="shared" si="5"/>
        <v>★</v>
      </c>
      <c r="O13" s="17" t="str">
        <f t="shared" si="6"/>
        <v>★</v>
      </c>
      <c r="P13" s="27"/>
      <c r="Q13" s="17">
        <v>1</v>
      </c>
      <c r="R13" s="17">
        <v>2</v>
      </c>
      <c r="S13" s="17">
        <v>3</v>
      </c>
      <c r="T13" s="17">
        <v>3</v>
      </c>
      <c r="U13" s="17">
        <v>3</v>
      </c>
      <c r="V13" s="17">
        <v>3</v>
      </c>
      <c r="W13" s="17">
        <v>3</v>
      </c>
      <c r="X13" s="17">
        <v>2</v>
      </c>
      <c r="Y13" s="17">
        <v>3</v>
      </c>
      <c r="Z13" s="17">
        <v>3</v>
      </c>
      <c r="AA13" s="17">
        <v>3</v>
      </c>
      <c r="AB13" s="17">
        <v>3</v>
      </c>
      <c r="AC13" s="17">
        <v>3</v>
      </c>
      <c r="AD13" s="17">
        <v>3</v>
      </c>
      <c r="AE13" s="17">
        <v>1</v>
      </c>
      <c r="AF13" s="27">
        <f t="shared" ref="AF13:AF14" si="12">SUM(Q13:AE13)</f>
        <v>39</v>
      </c>
    </row>
    <row r="14" spans="1:32" ht="18" customHeight="1" x14ac:dyDescent="0.25">
      <c r="A14" s="54" t="s">
        <v>127</v>
      </c>
      <c r="B14" s="17" t="s">
        <v>134</v>
      </c>
      <c r="C14" s="17" t="s">
        <v>256</v>
      </c>
      <c r="D14" s="55">
        <v>44792</v>
      </c>
      <c r="E14" s="60" t="str">
        <f t="shared" ca="1" si="0"/>
        <v>3Y 10M</v>
      </c>
      <c r="F14" s="17" t="str">
        <f t="shared" si="1"/>
        <v>★</v>
      </c>
      <c r="G14" s="17" t="str">
        <f t="shared" si="9"/>
        <v>★</v>
      </c>
      <c r="H14" s="17" t="str">
        <f t="shared" si="3"/>
        <v>★</v>
      </c>
      <c r="I14" s="17" t="str">
        <f t="shared" si="10"/>
        <v>★</v>
      </c>
      <c r="J14" s="27"/>
      <c r="K14" s="27"/>
      <c r="L14" s="27"/>
      <c r="M14" s="27"/>
      <c r="N14" s="17" t="str">
        <f t="shared" si="5"/>
        <v>★</v>
      </c>
      <c r="O14" s="17" t="str">
        <f t="shared" si="6"/>
        <v>★</v>
      </c>
      <c r="P14" s="27"/>
      <c r="Q14" s="17">
        <v>2</v>
      </c>
      <c r="R14" s="17">
        <v>2</v>
      </c>
      <c r="S14" s="17">
        <v>2</v>
      </c>
      <c r="T14" s="17">
        <v>3</v>
      </c>
      <c r="U14" s="17">
        <v>3</v>
      </c>
      <c r="V14" s="17">
        <v>3</v>
      </c>
      <c r="W14" s="17">
        <v>3</v>
      </c>
      <c r="X14" s="17">
        <v>2</v>
      </c>
      <c r="Y14" s="17">
        <v>3</v>
      </c>
      <c r="Z14" s="17">
        <v>3</v>
      </c>
      <c r="AA14" s="17">
        <v>3</v>
      </c>
      <c r="AB14" s="17">
        <v>3</v>
      </c>
      <c r="AC14" s="17">
        <v>3</v>
      </c>
      <c r="AD14" s="17">
        <v>3</v>
      </c>
      <c r="AE14" s="17">
        <v>2</v>
      </c>
      <c r="AF14" s="27">
        <f t="shared" si="12"/>
        <v>40</v>
      </c>
    </row>
    <row r="15" spans="1:32" ht="18" customHeight="1" x14ac:dyDescent="0.25">
      <c r="A15" s="54" t="s">
        <v>234</v>
      </c>
      <c r="B15" s="17" t="s">
        <v>236</v>
      </c>
      <c r="C15" s="17" t="s">
        <v>144</v>
      </c>
      <c r="D15" s="55">
        <v>45723</v>
      </c>
      <c r="E15" s="60" t="str">
        <f t="shared" ca="1" si="0"/>
        <v>1Y 4M</v>
      </c>
      <c r="F15" s="17" t="str">
        <f t="shared" si="1"/>
        <v>★</v>
      </c>
      <c r="G15" s="17" t="str">
        <f t="shared" si="9"/>
        <v>★</v>
      </c>
      <c r="H15" s="17" t="str">
        <f t="shared" si="3"/>
        <v>★</v>
      </c>
      <c r="I15" s="17" t="str">
        <f t="shared" si="10"/>
        <v>★</v>
      </c>
      <c r="J15" s="27"/>
      <c r="K15" s="27"/>
      <c r="L15" s="27"/>
      <c r="M15" s="27"/>
      <c r="N15" s="17" t="str">
        <f t="shared" si="5"/>
        <v>★</v>
      </c>
      <c r="O15" s="17" t="str">
        <f t="shared" si="6"/>
        <v>★</v>
      </c>
      <c r="P15" s="27"/>
      <c r="Q15" s="17">
        <v>1</v>
      </c>
      <c r="R15" s="17">
        <v>2</v>
      </c>
      <c r="S15" s="17">
        <v>2</v>
      </c>
      <c r="T15" s="17">
        <v>3</v>
      </c>
      <c r="U15" s="17">
        <v>3</v>
      </c>
      <c r="V15" s="17">
        <v>3</v>
      </c>
      <c r="W15" s="17">
        <v>2</v>
      </c>
      <c r="X15" s="17">
        <v>2</v>
      </c>
      <c r="Y15" s="17">
        <v>3</v>
      </c>
      <c r="Z15" s="17">
        <v>3</v>
      </c>
      <c r="AA15" s="17">
        <v>3</v>
      </c>
      <c r="AB15" s="17">
        <v>3</v>
      </c>
      <c r="AC15" s="17">
        <v>3</v>
      </c>
      <c r="AD15" s="17">
        <v>3</v>
      </c>
      <c r="AE15" s="17">
        <v>2</v>
      </c>
      <c r="AF15" s="27"/>
    </row>
    <row r="16" spans="1:32" ht="18" customHeight="1" x14ac:dyDescent="0.25">
      <c r="A16" s="54" t="s">
        <v>235</v>
      </c>
      <c r="B16" s="17" t="s">
        <v>237</v>
      </c>
      <c r="C16" s="17" t="s">
        <v>238</v>
      </c>
      <c r="D16" s="55">
        <v>45878</v>
      </c>
      <c r="E16" s="60" t="str">
        <f t="shared" ca="1" si="0"/>
        <v>0Y 10M</v>
      </c>
      <c r="F16" s="17" t="str">
        <f t="shared" si="1"/>
        <v>★</v>
      </c>
      <c r="G16" s="17" t="str">
        <f t="shared" si="9"/>
        <v/>
      </c>
      <c r="H16" s="17" t="str">
        <f t="shared" si="3"/>
        <v>★</v>
      </c>
      <c r="I16" s="17" t="str">
        <f t="shared" si="10"/>
        <v/>
      </c>
      <c r="J16" s="27"/>
      <c r="K16" s="27"/>
      <c r="L16" s="27"/>
      <c r="M16" s="27"/>
      <c r="N16" s="17" t="str">
        <f t="shared" si="5"/>
        <v>★</v>
      </c>
      <c r="O16" s="17" t="str">
        <f t="shared" si="6"/>
        <v/>
      </c>
      <c r="P16" s="27"/>
      <c r="Q16" s="17">
        <v>1</v>
      </c>
      <c r="R16" s="17">
        <v>2</v>
      </c>
      <c r="S16" s="17">
        <v>2</v>
      </c>
      <c r="T16" s="17">
        <v>2</v>
      </c>
      <c r="U16" s="17">
        <v>2</v>
      </c>
      <c r="V16" s="17">
        <v>3</v>
      </c>
      <c r="W16" s="17">
        <v>2</v>
      </c>
      <c r="X16" s="17">
        <v>2</v>
      </c>
      <c r="Y16" s="17">
        <v>3</v>
      </c>
      <c r="Z16" s="17">
        <v>3</v>
      </c>
      <c r="AA16" s="17">
        <v>3</v>
      </c>
      <c r="AB16" s="17">
        <v>3</v>
      </c>
      <c r="AC16" s="17">
        <v>2</v>
      </c>
      <c r="AD16" s="17">
        <v>3</v>
      </c>
      <c r="AE16" s="17">
        <v>1</v>
      </c>
      <c r="AF16" s="27"/>
    </row>
    <row r="17" spans="1:32" ht="18" customHeight="1" x14ac:dyDescent="0.25">
      <c r="A17" s="54" t="s">
        <v>261</v>
      </c>
      <c r="B17" s="17" t="s">
        <v>262</v>
      </c>
      <c r="C17" s="17" t="s">
        <v>142</v>
      </c>
      <c r="D17" s="55">
        <v>46206</v>
      </c>
      <c r="E17" s="60" t="str">
        <f t="shared" ca="1" si="0"/>
        <v>0Y 0M</v>
      </c>
      <c r="F17" s="17" t="str">
        <f t="shared" si="1"/>
        <v/>
      </c>
      <c r="G17" s="17" t="str">
        <f>IF(AND($Q17&gt;=1,$R17&gt;=1,$S17&gt;=2,$T17&gt;=3,$U17&gt;=3,$V17&gt;=3,$W17&gt;=2,$Z17&gt;=3,$AA17&gt;=3,$AB17&gt;=3,$AC17&gt;=2,$AD17&gt;=2),"★","")</f>
        <v/>
      </c>
      <c r="H17" s="17" t="str">
        <f t="shared" si="3"/>
        <v/>
      </c>
      <c r="I17" s="17" t="str">
        <f t="shared" si="10"/>
        <v/>
      </c>
      <c r="J17" s="27"/>
      <c r="K17" s="27"/>
      <c r="L17" s="27"/>
      <c r="M17" s="27"/>
      <c r="N17" s="17" t="str">
        <f t="shared" si="5"/>
        <v/>
      </c>
      <c r="O17" s="17" t="str">
        <f t="shared" si="6"/>
        <v/>
      </c>
      <c r="P17" s="27"/>
      <c r="Q17" s="17">
        <v>1</v>
      </c>
      <c r="R17" s="17">
        <v>1</v>
      </c>
      <c r="S17" s="17">
        <v>1</v>
      </c>
      <c r="T17" s="17">
        <v>1</v>
      </c>
      <c r="U17" s="17">
        <v>1</v>
      </c>
      <c r="V17" s="17">
        <v>1</v>
      </c>
      <c r="W17" s="17">
        <v>1</v>
      </c>
      <c r="X17" s="17">
        <v>1</v>
      </c>
      <c r="Y17" s="17">
        <v>1</v>
      </c>
      <c r="Z17" s="17">
        <v>1</v>
      </c>
      <c r="AA17" s="17">
        <v>1</v>
      </c>
      <c r="AB17" s="17">
        <v>1</v>
      </c>
      <c r="AC17" s="17">
        <v>1</v>
      </c>
      <c r="AD17" s="17">
        <v>1</v>
      </c>
      <c r="AE17" s="17">
        <v>1</v>
      </c>
      <c r="AF17" s="27"/>
    </row>
    <row r="18" spans="1:32" ht="18" customHeight="1" x14ac:dyDescent="0.25">
      <c r="A18" s="54"/>
      <c r="B18" s="17"/>
      <c r="C18" s="17"/>
      <c r="D18" s="55"/>
      <c r="E18" s="60"/>
      <c r="F18" s="17"/>
      <c r="G18" s="17"/>
      <c r="H18" s="17"/>
      <c r="I18" s="17"/>
      <c r="J18" s="27"/>
      <c r="K18" s="27"/>
      <c r="L18" s="27"/>
      <c r="M18" s="27"/>
      <c r="N18" s="17"/>
      <c r="O18" s="17"/>
      <c r="P18" s="2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27"/>
    </row>
    <row r="19" spans="1:32" ht="18" customHeight="1" x14ac:dyDescent="0.25">
      <c r="A19" s="54" t="s">
        <v>126</v>
      </c>
      <c r="B19" s="17" t="s">
        <v>9</v>
      </c>
      <c r="C19" s="17" t="s">
        <v>252</v>
      </c>
      <c r="D19" s="55">
        <v>43668</v>
      </c>
      <c r="E19" s="60" t="str">
        <f t="shared" ca="1" si="0"/>
        <v>6Y 11M</v>
      </c>
      <c r="F19" s="17" t="str">
        <f t="shared" si="1"/>
        <v>★</v>
      </c>
      <c r="G19" s="17" t="str">
        <f t="shared" ref="G19:G22" si="13">IF(AND($Q19&gt;=1,$R19&gt;=1,$S19&gt;=2,$T19&gt;=3,$U19&gt;=3,$V19&gt;=3,$W19&gt;=2,$Z19&gt;=3,$AA19&gt;=3,$AB19&gt;=3,$AC19&gt;=2,$AD19&gt;=2),"★","")</f>
        <v>★</v>
      </c>
      <c r="H19" s="17" t="str">
        <f t="shared" si="3"/>
        <v>★</v>
      </c>
      <c r="I19" s="17" t="str">
        <f t="shared" ref="I19:I22" si="14">IF(AND($Q19&gt;=1,$R19&gt;=1,$S19&gt;=2,$T19&gt;=3,$U19&gt;=3,$V19&gt;=3,$W19&gt;=2,$Z19&gt;=3,$AA19&gt;=3,$AB19&gt;=3,$AC19&gt;=2,$AD19&gt;=2),"★","")</f>
        <v>★</v>
      </c>
      <c r="J19" s="27"/>
      <c r="K19" s="27"/>
      <c r="L19" s="27"/>
      <c r="M19" s="27"/>
      <c r="N19" s="17" t="str">
        <f t="shared" si="5"/>
        <v>★</v>
      </c>
      <c r="O19" s="17" t="str">
        <f t="shared" si="6"/>
        <v>★</v>
      </c>
      <c r="P19" s="27"/>
      <c r="Q19" s="17">
        <v>1</v>
      </c>
      <c r="R19" s="17">
        <v>2</v>
      </c>
      <c r="S19" s="17">
        <v>2</v>
      </c>
      <c r="T19" s="17">
        <v>3</v>
      </c>
      <c r="U19" s="17">
        <v>3</v>
      </c>
      <c r="V19" s="17">
        <v>3</v>
      </c>
      <c r="W19" s="17">
        <v>3</v>
      </c>
      <c r="X19" s="17">
        <v>2</v>
      </c>
      <c r="Y19" s="17">
        <v>3</v>
      </c>
      <c r="Z19" s="17">
        <v>3</v>
      </c>
      <c r="AA19" s="17">
        <v>3</v>
      </c>
      <c r="AB19" s="17">
        <v>3</v>
      </c>
      <c r="AC19" s="17">
        <v>3</v>
      </c>
      <c r="AD19" s="17">
        <v>3</v>
      </c>
      <c r="AE19" s="17">
        <v>2</v>
      </c>
      <c r="AF19" s="27">
        <f t="shared" si="11"/>
        <v>39</v>
      </c>
    </row>
    <row r="20" spans="1:32" ht="18" customHeight="1" x14ac:dyDescent="0.25">
      <c r="A20" s="54" t="s">
        <v>230</v>
      </c>
      <c r="B20" s="17" t="s">
        <v>232</v>
      </c>
      <c r="C20" s="17" t="s">
        <v>143</v>
      </c>
      <c r="D20" s="56">
        <v>45460</v>
      </c>
      <c r="E20" s="60" t="str">
        <f t="shared" ca="1" si="0"/>
        <v>2Y 0M</v>
      </c>
      <c r="F20" s="17" t="str">
        <f t="shared" si="1"/>
        <v>★</v>
      </c>
      <c r="G20" s="17" t="str">
        <f t="shared" si="13"/>
        <v/>
      </c>
      <c r="H20" s="17" t="str">
        <f t="shared" si="3"/>
        <v>★</v>
      </c>
      <c r="I20" s="17" t="str">
        <f t="shared" si="14"/>
        <v/>
      </c>
      <c r="J20" s="27"/>
      <c r="K20" s="27"/>
      <c r="L20" s="27"/>
      <c r="M20" s="27"/>
      <c r="N20" s="17" t="str">
        <f t="shared" si="5"/>
        <v>★</v>
      </c>
      <c r="O20" s="17" t="str">
        <f t="shared" si="6"/>
        <v/>
      </c>
      <c r="P20" s="27"/>
      <c r="Q20" s="17">
        <v>1</v>
      </c>
      <c r="R20" s="17">
        <v>2</v>
      </c>
      <c r="S20" s="17">
        <v>2</v>
      </c>
      <c r="T20" s="17">
        <v>2</v>
      </c>
      <c r="U20" s="17">
        <v>2</v>
      </c>
      <c r="V20" s="17">
        <v>3</v>
      </c>
      <c r="W20" s="17">
        <v>3</v>
      </c>
      <c r="X20" s="17">
        <v>2</v>
      </c>
      <c r="Y20" s="17">
        <v>3</v>
      </c>
      <c r="Z20" s="17">
        <v>3</v>
      </c>
      <c r="AA20" s="17">
        <v>3</v>
      </c>
      <c r="AB20" s="17">
        <v>3</v>
      </c>
      <c r="AC20" s="17">
        <v>3</v>
      </c>
      <c r="AD20" s="17">
        <v>3</v>
      </c>
      <c r="AE20" s="17">
        <v>1</v>
      </c>
      <c r="AF20" s="27">
        <f t="shared" ref="AF20:AF26" si="15">SUM(Q20:AE20)</f>
        <v>36</v>
      </c>
    </row>
    <row r="21" spans="1:32" ht="18" customHeight="1" x14ac:dyDescent="0.25">
      <c r="A21" s="54" t="s">
        <v>231</v>
      </c>
      <c r="B21" s="17" t="s">
        <v>233</v>
      </c>
      <c r="C21" s="17" t="s">
        <v>143</v>
      </c>
      <c r="D21" s="56">
        <v>45478</v>
      </c>
      <c r="E21" s="60" t="str">
        <f t="shared" ca="1" si="0"/>
        <v>2Y 0M</v>
      </c>
      <c r="F21" s="17" t="str">
        <f t="shared" si="1"/>
        <v>★</v>
      </c>
      <c r="G21" s="17" t="str">
        <f t="shared" si="13"/>
        <v/>
      </c>
      <c r="H21" s="17" t="str">
        <f t="shared" si="3"/>
        <v>★</v>
      </c>
      <c r="I21" s="17" t="str">
        <f t="shared" si="14"/>
        <v/>
      </c>
      <c r="J21" s="27"/>
      <c r="K21" s="27"/>
      <c r="L21" s="27"/>
      <c r="M21" s="27"/>
      <c r="N21" s="17" t="str">
        <f>IF(AND($Q21&gt;=1,$R21&gt;=1,$S21&gt;=1,$T21&gt;=2,$U21&gt;=2,$V21&gt;=2,$W21&gt;=2,$Y21&gt;=1,$AC21&gt;=2,$AD21&gt;=2),"★","")</f>
        <v>★</v>
      </c>
      <c r="O21" s="17" t="str">
        <f t="shared" si="6"/>
        <v/>
      </c>
      <c r="P21" s="27"/>
      <c r="Q21" s="17">
        <v>1</v>
      </c>
      <c r="R21" s="17">
        <v>2</v>
      </c>
      <c r="S21" s="17">
        <v>2</v>
      </c>
      <c r="T21" s="17">
        <v>2</v>
      </c>
      <c r="U21" s="17">
        <v>2</v>
      </c>
      <c r="V21" s="17">
        <v>3</v>
      </c>
      <c r="W21" s="17">
        <v>3</v>
      </c>
      <c r="X21" s="17">
        <v>2</v>
      </c>
      <c r="Y21" s="17">
        <v>3</v>
      </c>
      <c r="Z21" s="17">
        <v>3</v>
      </c>
      <c r="AA21" s="17">
        <v>3</v>
      </c>
      <c r="AB21" s="17">
        <v>3</v>
      </c>
      <c r="AC21" s="17">
        <v>3</v>
      </c>
      <c r="AD21" s="17">
        <v>3</v>
      </c>
      <c r="AE21" s="17">
        <v>1</v>
      </c>
      <c r="AF21" s="27">
        <f t="shared" si="15"/>
        <v>36</v>
      </c>
    </row>
    <row r="22" spans="1:32" ht="18" customHeight="1" x14ac:dyDescent="0.25">
      <c r="A22" s="54" t="s">
        <v>259</v>
      </c>
      <c r="B22" s="17" t="s">
        <v>260</v>
      </c>
      <c r="C22" s="17" t="s">
        <v>143</v>
      </c>
      <c r="D22" s="10">
        <v>46190</v>
      </c>
      <c r="E22" s="60" t="str">
        <f t="shared" ref="E22" ca="1" si="16">DATEDIF(D22,TODAY(),"y")&amp;"Y "&amp;DATEDIF(D22,TODAY(),"ym")&amp;"M"</f>
        <v>0Y 0M</v>
      </c>
      <c r="F22" s="17" t="str">
        <f t="shared" si="1"/>
        <v/>
      </c>
      <c r="G22" s="17" t="str">
        <f t="shared" si="13"/>
        <v/>
      </c>
      <c r="H22" s="17" t="str">
        <f t="shared" si="3"/>
        <v/>
      </c>
      <c r="I22" s="17" t="str">
        <f t="shared" si="14"/>
        <v/>
      </c>
      <c r="J22" s="27"/>
      <c r="K22" s="27"/>
      <c r="L22" s="27"/>
      <c r="M22" s="27"/>
      <c r="N22" s="17" t="str">
        <f>IF(AND($Q22&gt;=1,$R22&gt;=1,$S22&gt;=1,$T22&gt;=2,$U22&gt;=2,$V22&gt;=2,$W22&gt;=2,$Y22&gt;=1,$AC22&gt;=2,$AD22&gt;=2),"★","")</f>
        <v/>
      </c>
      <c r="O22" s="17" t="str">
        <f t="shared" si="6"/>
        <v/>
      </c>
      <c r="P22" s="27"/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27"/>
    </row>
    <row r="23" spans="1:32" ht="18" customHeight="1" x14ac:dyDescent="0.25">
      <c r="A23" s="54"/>
      <c r="B23" s="17"/>
      <c r="C23" s="17"/>
      <c r="D23" s="56"/>
      <c r="E23" s="60"/>
      <c r="F23" s="17"/>
      <c r="G23" s="17"/>
      <c r="H23" s="17"/>
      <c r="I23" s="17"/>
      <c r="J23" s="27"/>
      <c r="K23" s="27"/>
      <c r="L23" s="27"/>
      <c r="M23" s="27"/>
      <c r="N23" s="17"/>
      <c r="O23" s="17"/>
      <c r="P23" s="2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27"/>
    </row>
    <row r="24" spans="1:32" ht="18" customHeight="1" x14ac:dyDescent="0.25">
      <c r="A24" s="54" t="s">
        <v>129</v>
      </c>
      <c r="B24" s="17" t="s">
        <v>136</v>
      </c>
      <c r="C24" s="17" t="s">
        <v>253</v>
      </c>
      <c r="D24" s="56">
        <v>45159</v>
      </c>
      <c r="E24" s="60" t="str">
        <f t="shared" ca="1" si="0"/>
        <v>2Y 10M</v>
      </c>
      <c r="F24" s="27"/>
      <c r="G24" s="27"/>
      <c r="H24" s="27"/>
      <c r="I24" s="27"/>
      <c r="J24" s="17" t="str">
        <f>IF(AND($Q24&gt;=2,$R24&gt;=1,$S24&gt;=2,$T24&gt;=1,$U24&gt;=2,$V24&gt;=2,$W24&gt;=3,$Z24&gt;=2,$AA24&gt;=3,$AB24&gt;=2,$AC24&gt;=2,$AD24&gt;=2),"★","")</f>
        <v>★</v>
      </c>
      <c r="K24" s="17" t="str">
        <f>IF(AND($Q24&gt;=3,$R24&gt;=1,$S24&gt;=2,$T24&gt;=1,$U24&gt;=2,$V24&gt;=2,$W24&gt;=3,$Z24&gt;=3,$AA24&gt;=2,$AB24&gt;=2,$AC24&gt;=2,$AD24&gt;=2),"★","")</f>
        <v>★</v>
      </c>
      <c r="L24" s="17" t="str">
        <f>IF(AND($Q24&gt;=2,$R24&gt;=1,$S24&gt;=2,$T24&gt;=1,$U24&gt;=2,$V24&gt;=2,$W24&gt;=3,$Z24&gt;=2,$AA24&gt;=2,$AB24&gt;=2,$AC24&gt;=2,$AD24&gt;=2),"★","")</f>
        <v>★</v>
      </c>
      <c r="M24" s="17" t="str">
        <f t="shared" ref="M24:M27" si="17">IF(AND($Q24&gt;=3,$R24&gt;=1,$S24&gt;=2,$T24&gt;=1,$U24&gt;=2,$V24&gt;=2,$W24&gt;=3,$Z24&gt;=3,$AA24&gt;=2,$AB24&gt;=2,$AC24&gt;=2,$AD24&gt;=2),"★","")</f>
        <v>★</v>
      </c>
      <c r="N24" s="17" t="str">
        <f t="shared" si="5"/>
        <v>★</v>
      </c>
      <c r="O24" s="17" t="str">
        <f>IF(AND($Q24&gt;=1,$R24&gt;=1,$S24&gt;=1,$T24&gt;=3,$U24&gt;=3,$V24&gt;=3,$W24&gt;=2,$Y24&gt;=1,$AC24&gt;=2,$AD24&gt;=2),"★","")</f>
        <v/>
      </c>
      <c r="P24" s="27"/>
      <c r="Q24" s="17">
        <v>3</v>
      </c>
      <c r="R24" s="17">
        <v>2</v>
      </c>
      <c r="S24" s="17">
        <v>3</v>
      </c>
      <c r="T24" s="17">
        <v>2</v>
      </c>
      <c r="U24" s="17">
        <v>2</v>
      </c>
      <c r="V24" s="17">
        <v>3</v>
      </c>
      <c r="W24" s="17">
        <v>3</v>
      </c>
      <c r="X24" s="17">
        <v>2</v>
      </c>
      <c r="Y24" s="17">
        <v>3</v>
      </c>
      <c r="Z24" s="17">
        <v>3</v>
      </c>
      <c r="AA24" s="17">
        <v>3</v>
      </c>
      <c r="AB24" s="17">
        <v>3</v>
      </c>
      <c r="AC24" s="17">
        <v>3</v>
      </c>
      <c r="AD24" s="17">
        <v>3</v>
      </c>
      <c r="AE24" s="17">
        <v>3</v>
      </c>
      <c r="AF24" s="27">
        <f t="shared" si="15"/>
        <v>41</v>
      </c>
    </row>
    <row r="25" spans="1:32" ht="18" customHeight="1" x14ac:dyDescent="0.25">
      <c r="A25" s="2" t="s">
        <v>241</v>
      </c>
      <c r="B25" s="6" t="s">
        <v>242</v>
      </c>
      <c r="C25" s="6" t="s">
        <v>244</v>
      </c>
      <c r="D25" s="31">
        <v>45740</v>
      </c>
      <c r="E25" s="60" t="str">
        <f t="shared" ca="1" si="0"/>
        <v>1Y 3M</v>
      </c>
      <c r="F25" s="27"/>
      <c r="G25" s="27"/>
      <c r="H25" s="27"/>
      <c r="I25" s="27"/>
      <c r="J25" s="17" t="str">
        <f t="shared" ref="J25:J27" si="18">IF(AND($Q25&gt;=2,$R25&gt;=1,$S25&gt;=2,$T25&gt;=1,$U25&gt;=2,$V25&gt;=2,$W25&gt;=3,$Z25&gt;=2,$AA25&gt;=3,$AB25&gt;=2,$AC25&gt;=2,$AD25&gt;=2),"★","")</f>
        <v>★</v>
      </c>
      <c r="K25" s="17" t="str">
        <f>IF(AND($Q25&gt;=3,$R25&gt;=1,$S25&gt;=2,$T25&gt;=1,$U25&gt;=2,$V25&gt;=2,$W25&gt;=3,$Z25&gt;=3,$AA25&gt;=2,$AB25&gt;=2,$AC25&gt;=2,$AD25&gt;=2),"★","")</f>
        <v>★</v>
      </c>
      <c r="L25" s="17" t="str">
        <f t="shared" ref="L25" si="19">IF(AND($Q25&gt;=2,$R25&gt;=1,$S25&gt;=2,$T25&gt;=1,$U25&gt;=2,$V25&gt;=2,$W25&gt;=3,$Z25&gt;=2,$AA25&gt;=2,$AB25&gt;=2,$AC25&gt;=2,$AD25&gt;=2),"★","")</f>
        <v>★</v>
      </c>
      <c r="M25" s="17" t="str">
        <f>IF(AND($Q25&gt;=3,$R25&gt;=1,$S25&gt;=2,$T25&gt;=1,$U25&gt;=2,$V25&gt;=2,$W25&gt;=3,$Z25&gt;=3,$AA25&gt;=2,$AB25&gt;=2,$AC25&gt;=2,$AD25&gt;=2),"★","")</f>
        <v>★</v>
      </c>
      <c r="N25" s="17" t="str">
        <f t="shared" si="5"/>
        <v>★</v>
      </c>
      <c r="O25" s="17" t="str">
        <f t="shared" si="6"/>
        <v/>
      </c>
      <c r="P25" s="27"/>
      <c r="Q25" s="6">
        <v>3</v>
      </c>
      <c r="R25" s="6">
        <v>2</v>
      </c>
      <c r="S25" s="6">
        <v>3</v>
      </c>
      <c r="T25" s="6">
        <v>2</v>
      </c>
      <c r="U25" s="6">
        <v>2</v>
      </c>
      <c r="V25" s="6">
        <v>3</v>
      </c>
      <c r="W25" s="6">
        <v>3</v>
      </c>
      <c r="X25" s="6">
        <v>2</v>
      </c>
      <c r="Y25" s="6">
        <v>3</v>
      </c>
      <c r="Z25" s="6">
        <v>3</v>
      </c>
      <c r="AA25" s="6">
        <v>3</v>
      </c>
      <c r="AB25" s="6">
        <v>2</v>
      </c>
      <c r="AC25" s="6">
        <v>3</v>
      </c>
      <c r="AD25" s="6">
        <v>3</v>
      </c>
      <c r="AE25" s="6">
        <v>3</v>
      </c>
      <c r="AF25" s="27">
        <f t="shared" si="15"/>
        <v>40</v>
      </c>
    </row>
    <row r="26" spans="1:32" ht="18" customHeight="1" x14ac:dyDescent="0.25">
      <c r="A26" s="2" t="s">
        <v>264</v>
      </c>
      <c r="B26" s="6" t="s">
        <v>243</v>
      </c>
      <c r="C26" s="6" t="s">
        <v>244</v>
      </c>
      <c r="D26" s="10">
        <v>45861</v>
      </c>
      <c r="E26" s="60" t="str">
        <f t="shared" ca="1" si="0"/>
        <v>0Y 11M</v>
      </c>
      <c r="F26" s="27"/>
      <c r="G26" s="27"/>
      <c r="H26" s="27"/>
      <c r="I26" s="27"/>
      <c r="J26" s="17" t="str">
        <f t="shared" si="18"/>
        <v>★</v>
      </c>
      <c r="K26" s="17" t="str">
        <f t="shared" ref="K26:K27" si="20">IF(AND($Q26&gt;=3,$R26&gt;=1,$S26&gt;=2,$T26&gt;=1,$U26&gt;=2,$V26&gt;=2,$W26&gt;=3,$Z26&gt;=3,$AA26&gt;=2,$AB26&gt;=2,$AC26&gt;=2,$AD26&gt;=2),"★","")</f>
        <v>★</v>
      </c>
      <c r="L26" s="17" t="str">
        <f>IF(AND($Q26&gt;=2,$R26&gt;=1,$S26&gt;=2,$T26&gt;=1,$U26&gt;=2,$V26&gt;=2,$W26&gt;=3,$Z26&gt;=2,$AA26&gt;=2,$AB26&gt;=2,$AC26&gt;=2,$AD26&gt;=2),"★","")</f>
        <v>★</v>
      </c>
      <c r="M26" s="17" t="str">
        <f t="shared" si="17"/>
        <v>★</v>
      </c>
      <c r="N26" s="17" t="str">
        <f t="shared" si="5"/>
        <v>★</v>
      </c>
      <c r="O26" s="17" t="str">
        <f t="shared" si="6"/>
        <v/>
      </c>
      <c r="P26" s="27"/>
      <c r="Q26" s="6">
        <v>3</v>
      </c>
      <c r="R26" s="6">
        <v>2</v>
      </c>
      <c r="S26" s="6">
        <v>3</v>
      </c>
      <c r="T26" s="6">
        <v>2</v>
      </c>
      <c r="U26" s="6">
        <v>2</v>
      </c>
      <c r="V26" s="6">
        <v>3</v>
      </c>
      <c r="W26" s="6">
        <v>3</v>
      </c>
      <c r="X26" s="6">
        <v>3</v>
      </c>
      <c r="Y26" s="6">
        <v>3</v>
      </c>
      <c r="Z26" s="6">
        <v>3</v>
      </c>
      <c r="AA26" s="6">
        <v>3</v>
      </c>
      <c r="AB26" s="6">
        <v>2</v>
      </c>
      <c r="AC26" s="6">
        <v>3</v>
      </c>
      <c r="AD26" s="6">
        <v>3</v>
      </c>
      <c r="AE26" s="9">
        <v>3</v>
      </c>
      <c r="AF26" s="27">
        <f t="shared" si="15"/>
        <v>41</v>
      </c>
    </row>
    <row r="27" spans="1:32" ht="18" customHeight="1" x14ac:dyDescent="0.25">
      <c r="A27" s="2" t="s">
        <v>257</v>
      </c>
      <c r="B27" s="6" t="s">
        <v>258</v>
      </c>
      <c r="C27" s="6" t="s">
        <v>244</v>
      </c>
      <c r="D27" s="10">
        <v>46190</v>
      </c>
      <c r="E27" s="60" t="str">
        <f t="shared" ca="1" si="0"/>
        <v>0Y 0M</v>
      </c>
      <c r="F27" s="27"/>
      <c r="G27" s="27"/>
      <c r="H27" s="27"/>
      <c r="I27" s="27"/>
      <c r="J27" s="17" t="str">
        <f t="shared" si="18"/>
        <v/>
      </c>
      <c r="K27" s="17" t="str">
        <f t="shared" si="20"/>
        <v/>
      </c>
      <c r="L27" s="17" t="str">
        <f>IF(AND($Q27&gt;=2,$R27&gt;=1,$S27&gt;=2,$T27&gt;=1,$U27&gt;=2,$V27&gt;=2,$W27&gt;=3,$Z27&gt;=2,$AA27&gt;=2,$AB27&gt;=2,$AC27&gt;=2,$AD27&gt;=2),"★","")</f>
        <v/>
      </c>
      <c r="M27" s="17" t="str">
        <f t="shared" si="17"/>
        <v/>
      </c>
      <c r="N27" s="17" t="str">
        <f t="shared" si="5"/>
        <v/>
      </c>
      <c r="O27" s="17" t="str">
        <f t="shared" si="6"/>
        <v/>
      </c>
      <c r="P27" s="27"/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9">
        <v>1</v>
      </c>
      <c r="AF27" s="27">
        <f t="shared" ref="AF27" si="21">SUM(Q27:AE27)</f>
        <v>15</v>
      </c>
    </row>
    <row r="28" spans="1:32" ht="18" customHeight="1" x14ac:dyDescent="0.25">
      <c r="A28" s="2"/>
      <c r="B28" s="6"/>
      <c r="C28" s="6"/>
      <c r="D28" s="10"/>
      <c r="E28" s="10"/>
      <c r="F28" s="6"/>
      <c r="G28" s="6"/>
      <c r="H28" s="17" t="str">
        <f t="shared" ref="H28:H35" si="22">IF(AND($Q28&gt;=1,$R28&gt;=1,$S28&gt;=2,$T28&gt;=2,$U28&gt;=2,$V28&gt;=2,$W28&gt;=2,$Z28&gt;=2,$AB28&gt;=2,$AC28&gt;=2,$AD28&gt;=2),"★","")</f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9"/>
      <c r="AF28" s="6"/>
    </row>
    <row r="29" spans="1:32" ht="18" customHeight="1" x14ac:dyDescent="0.25">
      <c r="A29" s="2"/>
      <c r="B29" s="6"/>
      <c r="C29" s="6"/>
      <c r="D29" s="10"/>
      <c r="E29" s="10"/>
      <c r="F29" s="6"/>
      <c r="G29" s="6"/>
      <c r="H29" s="17" t="str">
        <f t="shared" si="22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9"/>
      <c r="AF29" s="6"/>
    </row>
    <row r="30" spans="1:32" ht="18" customHeight="1" x14ac:dyDescent="0.25">
      <c r="A30" s="2"/>
      <c r="B30" s="6"/>
      <c r="C30" s="6"/>
      <c r="D30" s="10"/>
      <c r="E30" s="10"/>
      <c r="F30" s="6"/>
      <c r="G30" s="6"/>
      <c r="H30" s="17" t="str">
        <f t="shared" si="22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9"/>
      <c r="AF30" s="6"/>
    </row>
    <row r="31" spans="1:32" ht="18" customHeight="1" x14ac:dyDescent="0.25">
      <c r="A31" s="2"/>
      <c r="B31" s="6"/>
      <c r="C31" s="6"/>
      <c r="D31" s="10"/>
      <c r="E31" s="10"/>
      <c r="F31" s="6"/>
      <c r="G31" s="6"/>
      <c r="H31" s="17" t="str">
        <f t="shared" si="22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9"/>
      <c r="AF31" s="6"/>
    </row>
    <row r="32" spans="1:32" ht="18" customHeight="1" x14ac:dyDescent="0.25">
      <c r="A32" s="2"/>
      <c r="B32" s="6"/>
      <c r="C32" s="6"/>
      <c r="D32" s="10"/>
      <c r="E32" s="10"/>
      <c r="F32" s="6"/>
      <c r="G32" s="6"/>
      <c r="H32" s="17" t="str">
        <f t="shared" si="22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9"/>
      <c r="AF32" s="6"/>
    </row>
    <row r="33" spans="1:35" x14ac:dyDescent="0.25">
      <c r="G33" s="62"/>
      <c r="H33" s="63" t="str">
        <f t="shared" si="22"/>
        <v/>
      </c>
      <c r="I33" s="62"/>
    </row>
    <row r="34" spans="1:35" x14ac:dyDescent="0.25">
      <c r="H34" s="61" t="str">
        <f t="shared" si="22"/>
        <v/>
      </c>
    </row>
    <row r="35" spans="1:35" x14ac:dyDescent="0.25">
      <c r="H35" s="64" t="str">
        <f t="shared" si="22"/>
        <v/>
      </c>
    </row>
    <row r="36" spans="1:35" ht="27.6" customHeight="1" x14ac:dyDescent="0.25">
      <c r="A36" s="11" t="s">
        <v>32</v>
      </c>
      <c r="B36" s="11" t="s">
        <v>33</v>
      </c>
      <c r="C36" s="11" t="s">
        <v>35</v>
      </c>
      <c r="D36" s="93" t="s">
        <v>83</v>
      </c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 t="s">
        <v>76</v>
      </c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 t="s">
        <v>193</v>
      </c>
      <c r="AG36" s="93"/>
      <c r="AH36" s="93"/>
      <c r="AI36" s="93"/>
    </row>
    <row r="37" spans="1:35" ht="14.4" customHeight="1" x14ac:dyDescent="0.25">
      <c r="A37" s="89" t="s">
        <v>28</v>
      </c>
      <c r="B37" s="89" t="s">
        <v>17</v>
      </c>
      <c r="C37" s="13">
        <v>1</v>
      </c>
      <c r="D37" s="90" t="s">
        <v>39</v>
      </c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 t="s">
        <v>105</v>
      </c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 t="s">
        <v>187</v>
      </c>
      <c r="AG37" s="90"/>
      <c r="AH37" s="90"/>
      <c r="AI37" s="90"/>
    </row>
    <row r="38" spans="1:35" ht="14.4" customHeight="1" x14ac:dyDescent="0.25">
      <c r="A38" s="89"/>
      <c r="B38" s="89"/>
      <c r="C38" s="15">
        <v>2</v>
      </c>
      <c r="D38" s="90" t="s">
        <v>40</v>
      </c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 t="s">
        <v>103</v>
      </c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 t="s">
        <v>187</v>
      </c>
      <c r="AG38" s="90"/>
      <c r="AH38" s="90"/>
      <c r="AI38" s="90"/>
    </row>
    <row r="39" spans="1:35" ht="14.4" customHeight="1" x14ac:dyDescent="0.25">
      <c r="A39" s="89"/>
      <c r="B39" s="89"/>
      <c r="C39" s="15">
        <v>3</v>
      </c>
      <c r="D39" s="90" t="s">
        <v>41</v>
      </c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 t="s">
        <v>104</v>
      </c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 t="s">
        <v>188</v>
      </c>
      <c r="AG39" s="90"/>
      <c r="AH39" s="90"/>
      <c r="AI39" s="90"/>
    </row>
    <row r="40" spans="1:35" ht="14.4" customHeight="1" x14ac:dyDescent="0.25">
      <c r="A40" s="89"/>
      <c r="B40" s="89" t="s">
        <v>16</v>
      </c>
      <c r="C40" s="13">
        <v>1</v>
      </c>
      <c r="D40" s="90" t="s">
        <v>43</v>
      </c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 t="s">
        <v>106</v>
      </c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 t="s">
        <v>187</v>
      </c>
      <c r="AG40" s="90"/>
      <c r="AH40" s="90"/>
      <c r="AI40" s="90"/>
    </row>
    <row r="41" spans="1:35" ht="14.4" customHeight="1" x14ac:dyDescent="0.25">
      <c r="A41" s="89"/>
      <c r="B41" s="89"/>
      <c r="C41" s="15">
        <v>2</v>
      </c>
      <c r="D41" s="90" t="s">
        <v>42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 t="s">
        <v>107</v>
      </c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 t="s">
        <v>187</v>
      </c>
      <c r="AG41" s="90"/>
      <c r="AH41" s="90"/>
      <c r="AI41" s="90"/>
    </row>
    <row r="42" spans="1:35" ht="14.4" customHeight="1" x14ac:dyDescent="0.25">
      <c r="A42" s="89"/>
      <c r="B42" s="89"/>
      <c r="C42" s="15">
        <v>3</v>
      </c>
      <c r="D42" s="90" t="s">
        <v>44</v>
      </c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 t="s">
        <v>108</v>
      </c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 t="s">
        <v>188</v>
      </c>
      <c r="AG42" s="90"/>
      <c r="AH42" s="90"/>
      <c r="AI42" s="90"/>
    </row>
    <row r="43" spans="1:35" ht="14.4" customHeight="1" x14ac:dyDescent="0.25">
      <c r="A43" s="89"/>
      <c r="B43" s="89" t="s">
        <v>34</v>
      </c>
      <c r="C43" s="13">
        <v>1</v>
      </c>
      <c r="D43" s="90" t="s">
        <v>45</v>
      </c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 t="s">
        <v>109</v>
      </c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 t="s">
        <v>187</v>
      </c>
      <c r="AG43" s="90"/>
      <c r="AH43" s="90"/>
      <c r="AI43" s="90"/>
    </row>
    <row r="44" spans="1:35" ht="14.4" customHeight="1" x14ac:dyDescent="0.25">
      <c r="A44" s="89"/>
      <c r="B44" s="89"/>
      <c r="C44" s="15">
        <v>2</v>
      </c>
      <c r="D44" s="90" t="s">
        <v>46</v>
      </c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 t="s">
        <v>110</v>
      </c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 t="s">
        <v>187</v>
      </c>
      <c r="AG44" s="90"/>
      <c r="AH44" s="90"/>
      <c r="AI44" s="90"/>
    </row>
    <row r="45" spans="1:35" ht="14.4" customHeight="1" x14ac:dyDescent="0.25">
      <c r="A45" s="89"/>
      <c r="B45" s="89"/>
      <c r="C45" s="15">
        <v>3</v>
      </c>
      <c r="D45" s="90" t="s">
        <v>47</v>
      </c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 t="s">
        <v>147</v>
      </c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 t="s">
        <v>188</v>
      </c>
      <c r="AG45" s="90"/>
      <c r="AH45" s="90"/>
      <c r="AI45" s="90"/>
    </row>
    <row r="46" spans="1:35" ht="14.4" customHeight="1" x14ac:dyDescent="0.25">
      <c r="A46" s="92" t="s">
        <v>114</v>
      </c>
      <c r="B46" s="92" t="s">
        <v>115</v>
      </c>
      <c r="C46" s="13">
        <v>1</v>
      </c>
      <c r="D46" s="91" t="s">
        <v>182</v>
      </c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 t="s">
        <v>120</v>
      </c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0" t="s">
        <v>187</v>
      </c>
      <c r="AG46" s="90"/>
      <c r="AH46" s="90"/>
      <c r="AI46" s="90"/>
    </row>
    <row r="47" spans="1:35" ht="14.4" customHeight="1" x14ac:dyDescent="0.25">
      <c r="A47" s="92"/>
      <c r="B47" s="92"/>
      <c r="C47" s="15">
        <v>2</v>
      </c>
      <c r="D47" s="91" t="s">
        <v>183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 t="s">
        <v>123</v>
      </c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0" t="s">
        <v>187</v>
      </c>
      <c r="AG47" s="90"/>
      <c r="AH47" s="90"/>
      <c r="AI47" s="90"/>
    </row>
    <row r="48" spans="1:35" ht="14.4" customHeight="1" x14ac:dyDescent="0.25">
      <c r="A48" s="92"/>
      <c r="B48" s="92"/>
      <c r="C48" s="15">
        <v>3</v>
      </c>
      <c r="D48" s="91" t="s">
        <v>184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 t="s">
        <v>122</v>
      </c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0" t="s">
        <v>189</v>
      </c>
      <c r="AG48" s="90"/>
      <c r="AH48" s="90"/>
      <c r="AI48" s="90"/>
    </row>
    <row r="49" spans="1:35" ht="14.4" customHeight="1" x14ac:dyDescent="0.25">
      <c r="A49" s="92"/>
      <c r="B49" s="92" t="s">
        <v>116</v>
      </c>
      <c r="C49" s="13">
        <v>1</v>
      </c>
      <c r="D49" s="91" t="s">
        <v>182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 t="s">
        <v>120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0" t="s">
        <v>187</v>
      </c>
      <c r="AG49" s="90"/>
      <c r="AH49" s="90"/>
      <c r="AI49" s="90"/>
    </row>
    <row r="50" spans="1:35" ht="14.4" customHeight="1" x14ac:dyDescent="0.25">
      <c r="A50" s="92"/>
      <c r="B50" s="92"/>
      <c r="C50" s="15">
        <v>2</v>
      </c>
      <c r="D50" s="91" t="s">
        <v>186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 t="s">
        <v>185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0" t="s">
        <v>187</v>
      </c>
      <c r="AG50" s="90"/>
      <c r="AH50" s="90"/>
      <c r="AI50" s="90"/>
    </row>
    <row r="51" spans="1:35" ht="14.4" customHeight="1" x14ac:dyDescent="0.25">
      <c r="A51" s="92"/>
      <c r="B51" s="92"/>
      <c r="C51" s="15">
        <v>3</v>
      </c>
      <c r="D51" s="91" t="s">
        <v>184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 t="s">
        <v>121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0" t="s">
        <v>189</v>
      </c>
      <c r="AG51" s="90"/>
      <c r="AH51" s="90"/>
      <c r="AI51" s="90"/>
    </row>
    <row r="52" spans="1:35" ht="14.4" customHeight="1" x14ac:dyDescent="0.25">
      <c r="A52" s="92"/>
      <c r="B52" s="92" t="s">
        <v>117</v>
      </c>
      <c r="C52" s="13">
        <v>1</v>
      </c>
      <c r="D52" s="91" t="s">
        <v>182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 t="s">
        <v>120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0" t="s">
        <v>187</v>
      </c>
      <c r="AG52" s="90"/>
      <c r="AH52" s="90"/>
      <c r="AI52" s="90"/>
    </row>
    <row r="53" spans="1:35" ht="14.4" customHeight="1" x14ac:dyDescent="0.25">
      <c r="A53" s="92"/>
      <c r="B53" s="92"/>
      <c r="C53" s="15">
        <v>2</v>
      </c>
      <c r="D53" s="91" t="s">
        <v>183</v>
      </c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 t="s">
        <v>118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0" t="s">
        <v>187</v>
      </c>
      <c r="AG53" s="90"/>
      <c r="AH53" s="90"/>
      <c r="AI53" s="90"/>
    </row>
    <row r="54" spans="1:35" ht="14.4" customHeight="1" x14ac:dyDescent="0.25">
      <c r="A54" s="92"/>
      <c r="B54" s="92"/>
      <c r="C54" s="15">
        <v>3</v>
      </c>
      <c r="D54" s="91" t="s">
        <v>184</v>
      </c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 t="s">
        <v>119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0" t="s">
        <v>188</v>
      </c>
      <c r="AG54" s="90"/>
      <c r="AH54" s="90"/>
      <c r="AI54" s="90"/>
    </row>
    <row r="55" spans="1:35" ht="14.4" customHeight="1" x14ac:dyDescent="0.25">
      <c r="A55" s="89" t="s">
        <v>29</v>
      </c>
      <c r="B55" s="89" t="s">
        <v>19</v>
      </c>
      <c r="C55" s="13">
        <v>1</v>
      </c>
      <c r="D55" s="90" t="s">
        <v>48</v>
      </c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 t="s">
        <v>102</v>
      </c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 t="s">
        <v>187</v>
      </c>
      <c r="AG55" s="90"/>
      <c r="AH55" s="90"/>
      <c r="AI55" s="90"/>
    </row>
    <row r="56" spans="1:35" ht="14.4" customHeight="1" x14ac:dyDescent="0.25">
      <c r="A56" s="89"/>
      <c r="B56" s="89"/>
      <c r="C56" s="15">
        <v>2</v>
      </c>
      <c r="D56" s="90" t="s">
        <v>49</v>
      </c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 t="s">
        <v>101</v>
      </c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 t="s">
        <v>187</v>
      </c>
      <c r="AG56" s="90"/>
      <c r="AH56" s="90"/>
      <c r="AI56" s="90"/>
    </row>
    <row r="57" spans="1:35" ht="14.4" customHeight="1" x14ac:dyDescent="0.25">
      <c r="A57" s="89"/>
      <c r="B57" s="89"/>
      <c r="C57" s="15">
        <v>3</v>
      </c>
      <c r="D57" s="90" t="s">
        <v>50</v>
      </c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 t="s">
        <v>100</v>
      </c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 t="s">
        <v>188</v>
      </c>
      <c r="AG57" s="90"/>
      <c r="AH57" s="90"/>
      <c r="AI57" s="90"/>
    </row>
    <row r="58" spans="1:35" ht="14.4" customHeight="1" x14ac:dyDescent="0.25">
      <c r="A58" s="89"/>
      <c r="B58" s="89" t="s">
        <v>27</v>
      </c>
      <c r="C58" s="13">
        <v>1</v>
      </c>
      <c r="D58" s="90" t="s">
        <v>51</v>
      </c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 t="s">
        <v>111</v>
      </c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 t="s">
        <v>187</v>
      </c>
      <c r="AG58" s="90"/>
      <c r="AH58" s="90"/>
      <c r="AI58" s="90"/>
    </row>
    <row r="59" spans="1:35" ht="14.4" customHeight="1" x14ac:dyDescent="0.25">
      <c r="A59" s="89"/>
      <c r="B59" s="89"/>
      <c r="C59" s="15">
        <v>2</v>
      </c>
      <c r="D59" s="90" t="s">
        <v>71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 t="s">
        <v>112</v>
      </c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 t="s">
        <v>187</v>
      </c>
      <c r="AG59" s="90"/>
      <c r="AH59" s="90"/>
      <c r="AI59" s="90"/>
    </row>
    <row r="60" spans="1:35" ht="14.4" customHeight="1" x14ac:dyDescent="0.25">
      <c r="A60" s="89"/>
      <c r="B60" s="89"/>
      <c r="C60" s="15">
        <v>3</v>
      </c>
      <c r="D60" s="90" t="s">
        <v>52</v>
      </c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 t="s">
        <v>99</v>
      </c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 t="s">
        <v>187</v>
      </c>
      <c r="AG60" s="90"/>
      <c r="AH60" s="90"/>
      <c r="AI60" s="90"/>
    </row>
    <row r="61" spans="1:35" ht="14.4" customHeight="1" x14ac:dyDescent="0.25">
      <c r="A61" s="89"/>
      <c r="B61" s="89" t="s">
        <v>20</v>
      </c>
      <c r="C61" s="13">
        <v>1</v>
      </c>
      <c r="D61" s="90" t="s">
        <v>53</v>
      </c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 t="s">
        <v>97</v>
      </c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 t="s">
        <v>187</v>
      </c>
      <c r="AG61" s="90"/>
      <c r="AH61" s="90"/>
      <c r="AI61" s="90"/>
    </row>
    <row r="62" spans="1:35" ht="14.4" customHeight="1" x14ac:dyDescent="0.25">
      <c r="A62" s="89"/>
      <c r="B62" s="89"/>
      <c r="C62" s="15">
        <v>2</v>
      </c>
      <c r="D62" s="90" t="s">
        <v>54</v>
      </c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 t="s">
        <v>96</v>
      </c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 t="s">
        <v>187</v>
      </c>
      <c r="AG62" s="90"/>
      <c r="AH62" s="90"/>
      <c r="AI62" s="90"/>
    </row>
    <row r="63" spans="1:35" ht="14.4" customHeight="1" x14ac:dyDescent="0.25">
      <c r="A63" s="89"/>
      <c r="B63" s="89"/>
      <c r="C63" s="15">
        <v>3</v>
      </c>
      <c r="D63" s="90" t="s">
        <v>55</v>
      </c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 t="s">
        <v>95</v>
      </c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 t="s">
        <v>187</v>
      </c>
      <c r="AG63" s="90"/>
      <c r="AH63" s="90"/>
      <c r="AI63" s="90"/>
    </row>
    <row r="64" spans="1:35" ht="14.4" customHeight="1" x14ac:dyDescent="0.25">
      <c r="A64" s="89" t="s">
        <v>30</v>
      </c>
      <c r="B64" s="89" t="s">
        <v>21</v>
      </c>
      <c r="C64" s="13">
        <v>1</v>
      </c>
      <c r="D64" s="90" t="s">
        <v>74</v>
      </c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 t="s">
        <v>92</v>
      </c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 t="s">
        <v>187</v>
      </c>
      <c r="AG64" s="90"/>
      <c r="AH64" s="90"/>
      <c r="AI64" s="90"/>
    </row>
    <row r="65" spans="1:35" ht="14.4" customHeight="1" x14ac:dyDescent="0.25">
      <c r="A65" s="89"/>
      <c r="B65" s="89"/>
      <c r="C65" s="15">
        <v>2</v>
      </c>
      <c r="D65" s="90" t="s">
        <v>72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 t="s">
        <v>93</v>
      </c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 t="s">
        <v>187</v>
      </c>
      <c r="AG65" s="90"/>
      <c r="AH65" s="90"/>
      <c r="AI65" s="90"/>
    </row>
    <row r="66" spans="1:35" ht="14.4" customHeight="1" x14ac:dyDescent="0.25">
      <c r="A66" s="89"/>
      <c r="B66" s="89"/>
      <c r="C66" s="15">
        <v>3</v>
      </c>
      <c r="D66" s="90" t="s">
        <v>73</v>
      </c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 t="s">
        <v>94</v>
      </c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 t="s">
        <v>187</v>
      </c>
      <c r="AG66" s="90"/>
      <c r="AH66" s="90"/>
      <c r="AI66" s="90"/>
    </row>
    <row r="67" spans="1:35" ht="14.4" customHeight="1" x14ac:dyDescent="0.25">
      <c r="A67" s="89"/>
      <c r="B67" s="89" t="s">
        <v>24</v>
      </c>
      <c r="C67" s="13">
        <v>1</v>
      </c>
      <c r="D67" s="90" t="s">
        <v>56</v>
      </c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 t="s">
        <v>77</v>
      </c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 t="s">
        <v>187</v>
      </c>
      <c r="AG67" s="90"/>
      <c r="AH67" s="90"/>
      <c r="AI67" s="90"/>
    </row>
    <row r="68" spans="1:35" ht="14.4" customHeight="1" x14ac:dyDescent="0.25">
      <c r="A68" s="89"/>
      <c r="B68" s="89"/>
      <c r="C68" s="15">
        <v>2</v>
      </c>
      <c r="D68" s="90" t="s">
        <v>57</v>
      </c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 t="s">
        <v>78</v>
      </c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 t="s">
        <v>187</v>
      </c>
      <c r="AG68" s="90"/>
      <c r="AH68" s="90"/>
      <c r="AI68" s="90"/>
    </row>
    <row r="69" spans="1:35" ht="14.4" customHeight="1" x14ac:dyDescent="0.25">
      <c r="A69" s="89"/>
      <c r="B69" s="89"/>
      <c r="C69" s="15">
        <v>3</v>
      </c>
      <c r="D69" s="90" t="s">
        <v>58</v>
      </c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 t="s">
        <v>79</v>
      </c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 t="s">
        <v>189</v>
      </c>
      <c r="AG69" s="90"/>
      <c r="AH69" s="90"/>
      <c r="AI69" s="90"/>
    </row>
    <row r="70" spans="1:35" ht="14.4" customHeight="1" x14ac:dyDescent="0.25">
      <c r="A70" s="89"/>
      <c r="B70" s="89" t="s">
        <v>22</v>
      </c>
      <c r="C70" s="13">
        <v>1</v>
      </c>
      <c r="D70" s="90" t="s">
        <v>59</v>
      </c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 t="s">
        <v>80</v>
      </c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 t="s">
        <v>187</v>
      </c>
      <c r="AG70" s="90"/>
      <c r="AH70" s="90"/>
      <c r="AI70" s="90"/>
    </row>
    <row r="71" spans="1:35" ht="14.4" customHeight="1" x14ac:dyDescent="0.25">
      <c r="A71" s="89"/>
      <c r="B71" s="89"/>
      <c r="C71" s="15">
        <v>2</v>
      </c>
      <c r="D71" s="90" t="s">
        <v>60</v>
      </c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 t="s">
        <v>81</v>
      </c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 t="s">
        <v>187</v>
      </c>
      <c r="AG71" s="90"/>
      <c r="AH71" s="90"/>
      <c r="AI71" s="90"/>
    </row>
    <row r="72" spans="1:35" ht="14.4" customHeight="1" x14ac:dyDescent="0.25">
      <c r="A72" s="89"/>
      <c r="B72" s="89"/>
      <c r="C72" s="15">
        <v>3</v>
      </c>
      <c r="D72" s="90" t="s">
        <v>61</v>
      </c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 t="s">
        <v>82</v>
      </c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 t="s">
        <v>189</v>
      </c>
      <c r="AG72" s="90"/>
      <c r="AH72" s="90"/>
      <c r="AI72" s="90"/>
    </row>
    <row r="73" spans="1:35" x14ac:dyDescent="0.25">
      <c r="A73" s="89" t="s">
        <v>31</v>
      </c>
      <c r="B73" s="97" t="s">
        <v>26</v>
      </c>
      <c r="C73" s="13">
        <v>1</v>
      </c>
      <c r="D73" s="94" t="s">
        <v>62</v>
      </c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6"/>
      <c r="R73" s="94" t="s">
        <v>91</v>
      </c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6"/>
      <c r="AF73" s="90" t="s">
        <v>187</v>
      </c>
      <c r="AG73" s="90"/>
      <c r="AH73" s="90"/>
      <c r="AI73" s="90"/>
    </row>
    <row r="74" spans="1:35" x14ac:dyDescent="0.25">
      <c r="A74" s="89"/>
      <c r="B74" s="98"/>
      <c r="C74" s="15">
        <v>2</v>
      </c>
      <c r="D74" s="94" t="s">
        <v>63</v>
      </c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6"/>
      <c r="R74" s="94" t="s">
        <v>90</v>
      </c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6"/>
      <c r="AF74" s="90" t="s">
        <v>187</v>
      </c>
      <c r="AG74" s="90"/>
      <c r="AH74" s="90"/>
      <c r="AI74" s="90"/>
    </row>
    <row r="75" spans="1:35" x14ac:dyDescent="0.25">
      <c r="A75" s="89"/>
      <c r="B75" s="99"/>
      <c r="C75" s="15">
        <v>3</v>
      </c>
      <c r="D75" s="94" t="s">
        <v>64</v>
      </c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6"/>
      <c r="R75" s="94" t="s">
        <v>89</v>
      </c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6"/>
      <c r="AF75" s="90" t="s">
        <v>187</v>
      </c>
      <c r="AG75" s="90"/>
      <c r="AH75" s="90"/>
      <c r="AI75" s="90"/>
    </row>
    <row r="76" spans="1:35" x14ac:dyDescent="0.25">
      <c r="A76" s="89"/>
      <c r="B76" s="97" t="s">
        <v>23</v>
      </c>
      <c r="C76" s="13">
        <v>1</v>
      </c>
      <c r="D76" s="94" t="s">
        <v>65</v>
      </c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6"/>
      <c r="R76" s="94" t="s">
        <v>98</v>
      </c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6"/>
      <c r="AF76" s="90" t="s">
        <v>187</v>
      </c>
      <c r="AG76" s="90"/>
      <c r="AH76" s="90"/>
      <c r="AI76" s="90"/>
    </row>
    <row r="77" spans="1:35" x14ac:dyDescent="0.25">
      <c r="A77" s="89"/>
      <c r="B77" s="98"/>
      <c r="C77" s="15">
        <v>2</v>
      </c>
      <c r="D77" s="94" t="s">
        <v>67</v>
      </c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6"/>
      <c r="R77" s="94" t="s">
        <v>88</v>
      </c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6"/>
      <c r="AF77" s="90" t="s">
        <v>187</v>
      </c>
      <c r="AG77" s="90"/>
      <c r="AH77" s="90"/>
      <c r="AI77" s="90"/>
    </row>
    <row r="78" spans="1:35" x14ac:dyDescent="0.25">
      <c r="A78" s="89"/>
      <c r="B78" s="99"/>
      <c r="C78" s="15">
        <v>3</v>
      </c>
      <c r="D78" s="94" t="s">
        <v>66</v>
      </c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6"/>
      <c r="R78" s="94" t="s">
        <v>87</v>
      </c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6"/>
      <c r="AF78" s="90" t="s">
        <v>187</v>
      </c>
      <c r="AG78" s="90"/>
      <c r="AH78" s="90"/>
      <c r="AI78" s="90"/>
    </row>
    <row r="79" spans="1:35" x14ac:dyDescent="0.25">
      <c r="A79" s="89"/>
      <c r="B79" s="97" t="s">
        <v>25</v>
      </c>
      <c r="C79" s="13">
        <v>1</v>
      </c>
      <c r="D79" s="94" t="s">
        <v>68</v>
      </c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6"/>
      <c r="R79" s="94" t="s">
        <v>84</v>
      </c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6"/>
      <c r="AF79" s="90" t="s">
        <v>187</v>
      </c>
      <c r="AG79" s="90"/>
      <c r="AH79" s="90"/>
      <c r="AI79" s="90"/>
    </row>
    <row r="80" spans="1:35" x14ac:dyDescent="0.25">
      <c r="A80" s="89"/>
      <c r="B80" s="98"/>
      <c r="C80" s="15">
        <v>2</v>
      </c>
      <c r="D80" s="94" t="s">
        <v>69</v>
      </c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6"/>
      <c r="R80" s="94" t="s">
        <v>85</v>
      </c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6"/>
      <c r="AF80" s="90" t="s">
        <v>187</v>
      </c>
      <c r="AG80" s="90"/>
      <c r="AH80" s="90"/>
      <c r="AI80" s="90"/>
    </row>
    <row r="81" spans="1:35" x14ac:dyDescent="0.25">
      <c r="A81" s="89"/>
      <c r="B81" s="99"/>
      <c r="C81" s="15">
        <v>3</v>
      </c>
      <c r="D81" s="94" t="s">
        <v>70</v>
      </c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6"/>
      <c r="R81" s="94" t="s">
        <v>86</v>
      </c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6"/>
      <c r="AF81" s="90" t="s">
        <v>189</v>
      </c>
      <c r="AG81" s="90"/>
      <c r="AH81" s="90"/>
      <c r="AI81" s="90"/>
    </row>
  </sheetData>
  <mergeCells count="191">
    <mergeCell ref="N2:O3"/>
    <mergeCell ref="P2:P4"/>
    <mergeCell ref="AF81:AI81"/>
    <mergeCell ref="AF70:AI70"/>
    <mergeCell ref="AF71:AI71"/>
    <mergeCell ref="AF72:AI72"/>
    <mergeCell ref="AF73:AI73"/>
    <mergeCell ref="AF74:AI74"/>
    <mergeCell ref="AF75:AI75"/>
    <mergeCell ref="AF76:AI76"/>
    <mergeCell ref="AF77:AI77"/>
    <mergeCell ref="AF78:AI78"/>
    <mergeCell ref="AF79:AI79"/>
    <mergeCell ref="AF80:AI80"/>
    <mergeCell ref="AF69:AI69"/>
    <mergeCell ref="AF68:AI68"/>
    <mergeCell ref="AF67:AI67"/>
    <mergeCell ref="AF66:AI66"/>
    <mergeCell ref="AF65:AI65"/>
    <mergeCell ref="AF64:AI64"/>
    <mergeCell ref="AF63:AI63"/>
    <mergeCell ref="AF62:AI62"/>
    <mergeCell ref="AF56:AI56"/>
    <mergeCell ref="AF55:AI55"/>
    <mergeCell ref="AF54:AI54"/>
    <mergeCell ref="AF53:AI53"/>
    <mergeCell ref="AF61:AI61"/>
    <mergeCell ref="AF60:AI60"/>
    <mergeCell ref="AF59:AI59"/>
    <mergeCell ref="AF58:AI58"/>
    <mergeCell ref="AF57:AI57"/>
    <mergeCell ref="AF52:AI52"/>
    <mergeCell ref="AF51:AI51"/>
    <mergeCell ref="AF50:AI50"/>
    <mergeCell ref="AF49:AI49"/>
    <mergeCell ref="AF48:AI48"/>
    <mergeCell ref="AF47:AI47"/>
    <mergeCell ref="AF46:AI46"/>
    <mergeCell ref="AF45:AI45"/>
    <mergeCell ref="AF44:AI44"/>
    <mergeCell ref="AF36:AI36"/>
    <mergeCell ref="AF37:AI37"/>
    <mergeCell ref="AF38:AI38"/>
    <mergeCell ref="AF39:AI39"/>
    <mergeCell ref="AF41:AI41"/>
    <mergeCell ref="AF40:AI40"/>
    <mergeCell ref="AF42:AI42"/>
    <mergeCell ref="AF43:AI43"/>
    <mergeCell ref="A73:A81"/>
    <mergeCell ref="B73:B75"/>
    <mergeCell ref="B76:B78"/>
    <mergeCell ref="B79:B81"/>
    <mergeCell ref="D79:Q79"/>
    <mergeCell ref="R79:AE79"/>
    <mergeCell ref="D80:Q80"/>
    <mergeCell ref="R80:AE80"/>
    <mergeCell ref="D81:Q81"/>
    <mergeCell ref="R81:AE81"/>
    <mergeCell ref="D76:Q76"/>
    <mergeCell ref="R76:AE76"/>
    <mergeCell ref="D77:Q77"/>
    <mergeCell ref="R77:AE77"/>
    <mergeCell ref="D78:Q78"/>
    <mergeCell ref="R78:AE78"/>
    <mergeCell ref="D75:Q75"/>
    <mergeCell ref="R75:AE75"/>
    <mergeCell ref="D58:Q58"/>
    <mergeCell ref="D57:Q57"/>
    <mergeCell ref="D56:Q56"/>
    <mergeCell ref="R73:AE73"/>
    <mergeCell ref="D74:Q74"/>
    <mergeCell ref="R74:AE74"/>
    <mergeCell ref="D52:Q52"/>
    <mergeCell ref="D73:Q73"/>
    <mergeCell ref="R72:AE72"/>
    <mergeCell ref="R71:AE71"/>
    <mergeCell ref="R70:AE70"/>
    <mergeCell ref="R69:AE69"/>
    <mergeCell ref="D72:Q72"/>
    <mergeCell ref="D71:Q71"/>
    <mergeCell ref="D70:Q70"/>
    <mergeCell ref="D69:Q69"/>
    <mergeCell ref="D61:Q61"/>
    <mergeCell ref="D49:Q49"/>
    <mergeCell ref="D48:Q48"/>
    <mergeCell ref="D47:Q47"/>
    <mergeCell ref="R68:AE68"/>
    <mergeCell ref="R36:AE36"/>
    <mergeCell ref="D43:Q43"/>
    <mergeCell ref="D42:Q42"/>
    <mergeCell ref="D41:Q41"/>
    <mergeCell ref="D40:Q40"/>
    <mergeCell ref="D39:Q39"/>
    <mergeCell ref="D38:Q38"/>
    <mergeCell ref="D37:Q37"/>
    <mergeCell ref="D36:Q36"/>
    <mergeCell ref="R37:AE37"/>
    <mergeCell ref="D68:Q68"/>
    <mergeCell ref="D67:Q67"/>
    <mergeCell ref="D66:Q66"/>
    <mergeCell ref="D65:Q65"/>
    <mergeCell ref="D64:Q64"/>
    <mergeCell ref="D63:Q63"/>
    <mergeCell ref="D62:Q62"/>
    <mergeCell ref="D45:Q45"/>
    <mergeCell ref="D60:Q60"/>
    <mergeCell ref="D59:Q59"/>
    <mergeCell ref="D44:Q44"/>
    <mergeCell ref="R67:AE67"/>
    <mergeCell ref="R66:AE66"/>
    <mergeCell ref="R65:AE65"/>
    <mergeCell ref="R64:AE64"/>
    <mergeCell ref="R63:AE63"/>
    <mergeCell ref="R62:AE62"/>
    <mergeCell ref="R61:AE61"/>
    <mergeCell ref="R60:AE60"/>
    <mergeCell ref="R59:AE59"/>
    <mergeCell ref="R58:AE58"/>
    <mergeCell ref="R57:AE57"/>
    <mergeCell ref="R56:AE56"/>
    <mergeCell ref="R55:AE55"/>
    <mergeCell ref="D46:Q46"/>
    <mergeCell ref="R54:AE54"/>
    <mergeCell ref="R53:AE53"/>
    <mergeCell ref="R52:AE52"/>
    <mergeCell ref="R51:AE51"/>
    <mergeCell ref="R50:AE50"/>
    <mergeCell ref="R49:AE49"/>
    <mergeCell ref="R48:AE48"/>
    <mergeCell ref="D51:Q51"/>
    <mergeCell ref="D50:Q50"/>
    <mergeCell ref="A64:A72"/>
    <mergeCell ref="B64:B66"/>
    <mergeCell ref="B67:B69"/>
    <mergeCell ref="B70:B72"/>
    <mergeCell ref="A37:A45"/>
    <mergeCell ref="B37:B39"/>
    <mergeCell ref="B40:B42"/>
    <mergeCell ref="B43:B45"/>
    <mergeCell ref="A46:A54"/>
    <mergeCell ref="B46:B48"/>
    <mergeCell ref="B49:B51"/>
    <mergeCell ref="B52:B54"/>
    <mergeCell ref="Z2:AB2"/>
    <mergeCell ref="AC2:AE2"/>
    <mergeCell ref="W3:W4"/>
    <mergeCell ref="X3:X4"/>
    <mergeCell ref="Y3:Y4"/>
    <mergeCell ref="T2:V2"/>
    <mergeCell ref="T3:T4"/>
    <mergeCell ref="A55:A63"/>
    <mergeCell ref="B55:B57"/>
    <mergeCell ref="B58:B60"/>
    <mergeCell ref="B61:B63"/>
    <mergeCell ref="R45:AE45"/>
    <mergeCell ref="R44:AE44"/>
    <mergeCell ref="R43:AE43"/>
    <mergeCell ref="R42:AE42"/>
    <mergeCell ref="R41:AE41"/>
    <mergeCell ref="R40:AE40"/>
    <mergeCell ref="R39:AE39"/>
    <mergeCell ref="R38:AE38"/>
    <mergeCell ref="R47:AE47"/>
    <mergeCell ref="R46:AE46"/>
    <mergeCell ref="D55:Q55"/>
    <mergeCell ref="D54:Q54"/>
    <mergeCell ref="D53:Q53"/>
    <mergeCell ref="L3:M3"/>
    <mergeCell ref="A1:E3"/>
    <mergeCell ref="Q1:AF1"/>
    <mergeCell ref="F2:I2"/>
    <mergeCell ref="J2:M2"/>
    <mergeCell ref="F3:G3"/>
    <mergeCell ref="H3:I3"/>
    <mergeCell ref="J3:K3"/>
    <mergeCell ref="F1:M1"/>
    <mergeCell ref="N1:P1"/>
    <mergeCell ref="U3:U4"/>
    <mergeCell ref="V3:V4"/>
    <mergeCell ref="Q3:Q4"/>
    <mergeCell ref="Q2:S2"/>
    <mergeCell ref="R3:R4"/>
    <mergeCell ref="S3:S4"/>
    <mergeCell ref="AF2:AF4"/>
    <mergeCell ref="Z3:Z4"/>
    <mergeCell ref="AA3:AA4"/>
    <mergeCell ref="AB3:AB4"/>
    <mergeCell ref="AC3:AC4"/>
    <mergeCell ref="AD3:AD4"/>
    <mergeCell ref="AE3:AE4"/>
    <mergeCell ref="W2:Y2"/>
  </mergeCells>
  <pageMargins left="0.7" right="0.7" top="0.75" bottom="0.75" header="0.3" footer="0.3"/>
  <pageSetup paperSize="9" orientation="portrait" r:id="rId1"/>
  <ignoredErrors>
    <ignoredError sqref="L24:L25 H9:H10 H19:H22 H12:H17 H5 H7:H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"/>
  <sheetViews>
    <sheetView topLeftCell="A10" zoomScale="70" zoomScaleNormal="70" workbookViewId="0">
      <selection activeCell="K6" sqref="K6"/>
    </sheetView>
  </sheetViews>
  <sheetFormatPr defaultRowHeight="13.8" x14ac:dyDescent="0.25"/>
  <cols>
    <col min="1" max="1" width="19.8984375" customWidth="1"/>
    <col min="2" max="2" width="12.59765625" bestFit="1" customWidth="1"/>
    <col min="3" max="3" width="11.69921875" bestFit="1" customWidth="1"/>
    <col min="5" max="5" width="20.69921875" style="33" customWidth="1"/>
    <col min="6" max="6" width="55.796875" style="33" customWidth="1"/>
    <col min="7" max="7" width="5.19921875" style="33" bestFit="1" customWidth="1"/>
  </cols>
  <sheetData>
    <row r="1" spans="1:7" x14ac:dyDescent="0.25">
      <c r="A1" s="100" t="s">
        <v>199</v>
      </c>
      <c r="B1" s="101"/>
      <c r="C1" s="101"/>
      <c r="D1" s="102"/>
      <c r="E1" s="106" t="s">
        <v>197</v>
      </c>
      <c r="F1" s="106"/>
      <c r="G1" s="106"/>
    </row>
    <row r="2" spans="1:7" x14ac:dyDescent="0.25">
      <c r="A2" s="103"/>
      <c r="B2" s="104"/>
      <c r="C2" s="104"/>
      <c r="D2" s="105"/>
      <c r="E2" s="35" t="s">
        <v>32</v>
      </c>
      <c r="F2" s="35" t="s">
        <v>200</v>
      </c>
      <c r="G2" s="35" t="s">
        <v>35</v>
      </c>
    </row>
    <row r="3" spans="1:7" ht="165.6" x14ac:dyDescent="0.25">
      <c r="A3" s="107" t="s">
        <v>201</v>
      </c>
      <c r="B3" s="107" t="s">
        <v>202</v>
      </c>
      <c r="C3" s="107" t="s">
        <v>2</v>
      </c>
      <c r="D3" s="34" t="s">
        <v>4</v>
      </c>
      <c r="E3" s="19" t="s">
        <v>203</v>
      </c>
      <c r="F3" s="36" t="s">
        <v>204</v>
      </c>
      <c r="G3" s="37" t="s">
        <v>205</v>
      </c>
    </row>
    <row r="4" spans="1:7" ht="165.6" x14ac:dyDescent="0.25">
      <c r="A4" s="107"/>
      <c r="B4" s="107"/>
      <c r="C4" s="107"/>
      <c r="D4" s="34" t="s">
        <v>5</v>
      </c>
      <c r="E4" s="19" t="s">
        <v>203</v>
      </c>
      <c r="F4" s="36" t="s">
        <v>204</v>
      </c>
      <c r="G4" s="37" t="s">
        <v>205</v>
      </c>
    </row>
    <row r="5" spans="1:7" ht="165.6" x14ac:dyDescent="0.25">
      <c r="A5" s="107"/>
      <c r="B5" s="107"/>
      <c r="C5" s="107" t="s">
        <v>3</v>
      </c>
      <c r="D5" s="34" t="s">
        <v>4</v>
      </c>
      <c r="E5" s="19" t="s">
        <v>203</v>
      </c>
      <c r="F5" s="36" t="s">
        <v>204</v>
      </c>
      <c r="G5" s="37" t="s">
        <v>206</v>
      </c>
    </row>
    <row r="6" spans="1:7" ht="165.6" x14ac:dyDescent="0.25">
      <c r="A6" s="107"/>
      <c r="B6" s="107"/>
      <c r="C6" s="107"/>
      <c r="D6" s="34" t="s">
        <v>5</v>
      </c>
      <c r="E6" s="19" t="s">
        <v>203</v>
      </c>
      <c r="F6" s="36" t="s">
        <v>204</v>
      </c>
      <c r="G6" s="37" t="s">
        <v>205</v>
      </c>
    </row>
    <row r="7" spans="1:7" ht="165.6" x14ac:dyDescent="0.25">
      <c r="A7" s="107"/>
      <c r="B7" s="107" t="s">
        <v>6</v>
      </c>
      <c r="C7" s="107" t="s">
        <v>10</v>
      </c>
      <c r="D7" s="34" t="s">
        <v>4</v>
      </c>
      <c r="E7" s="19" t="s">
        <v>203</v>
      </c>
      <c r="F7" s="36" t="s">
        <v>204</v>
      </c>
      <c r="G7" s="37" t="s">
        <v>207</v>
      </c>
    </row>
    <row r="8" spans="1:7" ht="165.6" x14ac:dyDescent="0.25">
      <c r="A8" s="107"/>
      <c r="B8" s="107"/>
      <c r="C8" s="107"/>
      <c r="D8" s="34" t="s">
        <v>5</v>
      </c>
      <c r="E8" s="19" t="s">
        <v>203</v>
      </c>
      <c r="F8" s="36" t="s">
        <v>204</v>
      </c>
      <c r="G8" s="37" t="s">
        <v>208</v>
      </c>
    </row>
    <row r="9" spans="1:7" ht="165.6" x14ac:dyDescent="0.25">
      <c r="A9" s="107"/>
      <c r="B9" s="107"/>
      <c r="C9" s="107" t="s">
        <v>3</v>
      </c>
      <c r="D9" s="34" t="s">
        <v>4</v>
      </c>
      <c r="E9" s="19" t="s">
        <v>203</v>
      </c>
      <c r="F9" s="36" t="s">
        <v>204</v>
      </c>
      <c r="G9" s="37" t="s">
        <v>209</v>
      </c>
    </row>
    <row r="10" spans="1:7" ht="165.6" x14ac:dyDescent="0.25">
      <c r="A10" s="107"/>
      <c r="B10" s="107"/>
      <c r="C10" s="107"/>
      <c r="D10" s="34" t="s">
        <v>5</v>
      </c>
      <c r="E10" s="19" t="s">
        <v>203</v>
      </c>
      <c r="F10" s="36" t="s">
        <v>204</v>
      </c>
      <c r="G10" s="37" t="s">
        <v>208</v>
      </c>
    </row>
    <row r="11" spans="1:7" ht="138" x14ac:dyDescent="0.25">
      <c r="A11" s="108" t="s">
        <v>190</v>
      </c>
      <c r="B11" s="108" t="s">
        <v>194</v>
      </c>
      <c r="C11" s="108"/>
      <c r="D11" s="38" t="s">
        <v>191</v>
      </c>
      <c r="E11" s="19" t="s">
        <v>210</v>
      </c>
      <c r="F11" s="36" t="s">
        <v>211</v>
      </c>
      <c r="G11" s="37" t="s">
        <v>212</v>
      </c>
    </row>
    <row r="12" spans="1:7" ht="138" x14ac:dyDescent="0.25">
      <c r="A12" s="108"/>
      <c r="B12" s="108"/>
      <c r="C12" s="108"/>
      <c r="D12" s="38" t="s">
        <v>5</v>
      </c>
      <c r="E12" s="19" t="s">
        <v>210</v>
      </c>
      <c r="F12" s="36" t="s">
        <v>211</v>
      </c>
      <c r="G12" s="37" t="s">
        <v>212</v>
      </c>
    </row>
    <row r="13" spans="1:7" ht="165.6" x14ac:dyDescent="0.25">
      <c r="A13" s="108"/>
      <c r="B13" s="108" t="s">
        <v>192</v>
      </c>
      <c r="C13" s="108"/>
      <c r="D13" s="109"/>
      <c r="E13" s="19" t="s">
        <v>203</v>
      </c>
      <c r="F13" s="36" t="s">
        <v>204</v>
      </c>
      <c r="G13" s="37" t="s">
        <v>205</v>
      </c>
    </row>
    <row r="14" spans="1:7" x14ac:dyDescent="0.25">
      <c r="A14" s="108"/>
      <c r="B14" s="108" t="s">
        <v>195</v>
      </c>
      <c r="C14" s="108"/>
      <c r="D14" s="109"/>
      <c r="E14" s="110"/>
      <c r="F14" s="111"/>
      <c r="G14" s="112"/>
    </row>
  </sheetData>
  <mergeCells count="14">
    <mergeCell ref="A1:D2"/>
    <mergeCell ref="E1:G1"/>
    <mergeCell ref="A3:A10"/>
    <mergeCell ref="A11:A14"/>
    <mergeCell ref="B11:C12"/>
    <mergeCell ref="B13:D13"/>
    <mergeCell ref="B14:D14"/>
    <mergeCell ref="E14:G14"/>
    <mergeCell ref="C9:C10"/>
    <mergeCell ref="B3:B6"/>
    <mergeCell ref="C3:C4"/>
    <mergeCell ref="C5:C6"/>
    <mergeCell ref="B7:B10"/>
    <mergeCell ref="C7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1"/>
  <sheetViews>
    <sheetView topLeftCell="A13" zoomScale="85" zoomScaleNormal="85" workbookViewId="0">
      <selection activeCell="C59" sqref="C59"/>
    </sheetView>
  </sheetViews>
  <sheetFormatPr defaultRowHeight="13.8" x14ac:dyDescent="0.25"/>
  <cols>
    <col min="1" max="1" width="19.8984375" customWidth="1"/>
    <col min="2" max="2" width="14.19921875" customWidth="1"/>
    <col min="3" max="3" width="11.69921875" bestFit="1" customWidth="1"/>
    <col min="5" max="5" width="20.69921875" style="33" customWidth="1"/>
    <col min="6" max="6" width="63.09765625" style="33" customWidth="1"/>
  </cols>
  <sheetData>
    <row r="1" spans="1:6" ht="17.399999999999999" customHeight="1" x14ac:dyDescent="0.25">
      <c r="A1" s="100" t="s">
        <v>199</v>
      </c>
      <c r="B1" s="101"/>
      <c r="C1" s="101"/>
      <c r="D1" s="102"/>
      <c r="E1" s="124" t="s">
        <v>197</v>
      </c>
      <c r="F1" s="125"/>
    </row>
    <row r="2" spans="1:6" ht="17.399999999999999" customHeight="1" x14ac:dyDescent="0.25">
      <c r="A2" s="103"/>
      <c r="B2" s="104"/>
      <c r="C2" s="104"/>
      <c r="D2" s="123"/>
      <c r="E2" s="39" t="s">
        <v>32</v>
      </c>
      <c r="F2" s="39" t="s">
        <v>200</v>
      </c>
    </row>
    <row r="3" spans="1:6" ht="17.399999999999999" customHeight="1" x14ac:dyDescent="0.25">
      <c r="A3" s="113" t="s">
        <v>201</v>
      </c>
      <c r="B3" s="113" t="s">
        <v>202</v>
      </c>
      <c r="C3" s="113" t="s">
        <v>2</v>
      </c>
      <c r="D3" s="113" t="s">
        <v>4</v>
      </c>
      <c r="E3" s="40" t="s">
        <v>215</v>
      </c>
      <c r="F3" s="45" t="s">
        <v>217</v>
      </c>
    </row>
    <row r="4" spans="1:6" ht="17.399999999999999" customHeight="1" x14ac:dyDescent="0.25">
      <c r="A4" s="114"/>
      <c r="B4" s="114"/>
      <c r="C4" s="114"/>
      <c r="D4" s="114"/>
      <c r="E4" s="41" t="s">
        <v>113</v>
      </c>
      <c r="F4" s="46" t="s">
        <v>222</v>
      </c>
    </row>
    <row r="5" spans="1:6" ht="17.399999999999999" customHeight="1" x14ac:dyDescent="0.25">
      <c r="A5" s="114"/>
      <c r="B5" s="114"/>
      <c r="C5" s="114"/>
      <c r="D5" s="114"/>
      <c r="E5" s="41" t="s">
        <v>216</v>
      </c>
      <c r="F5" s="46" t="s">
        <v>246</v>
      </c>
    </row>
    <row r="6" spans="1:6" ht="17.399999999999999" customHeight="1" x14ac:dyDescent="0.25">
      <c r="A6" s="114"/>
      <c r="B6" s="114"/>
      <c r="C6" s="114"/>
      <c r="D6" s="114"/>
      <c r="E6" s="41" t="s">
        <v>13</v>
      </c>
      <c r="F6" s="46" t="s">
        <v>247</v>
      </c>
    </row>
    <row r="7" spans="1:6" ht="17.399999999999999" customHeight="1" x14ac:dyDescent="0.25">
      <c r="A7" s="114"/>
      <c r="B7" s="114"/>
      <c r="C7" s="114"/>
      <c r="D7" s="115"/>
      <c r="E7" s="42" t="s">
        <v>14</v>
      </c>
      <c r="F7" s="47" t="s">
        <v>221</v>
      </c>
    </row>
    <row r="8" spans="1:6" ht="17.399999999999999" customHeight="1" x14ac:dyDescent="0.25">
      <c r="A8" s="114"/>
      <c r="B8" s="114"/>
      <c r="C8" s="114"/>
      <c r="D8" s="113" t="s">
        <v>5</v>
      </c>
      <c r="E8" s="40" t="s">
        <v>215</v>
      </c>
      <c r="F8" s="45" t="s">
        <v>217</v>
      </c>
    </row>
    <row r="9" spans="1:6" ht="17.399999999999999" customHeight="1" x14ac:dyDescent="0.25">
      <c r="A9" s="114"/>
      <c r="B9" s="114"/>
      <c r="C9" s="114"/>
      <c r="D9" s="114"/>
      <c r="E9" s="41" t="s">
        <v>113</v>
      </c>
      <c r="F9" s="46" t="s">
        <v>218</v>
      </c>
    </row>
    <row r="10" spans="1:6" ht="17.399999999999999" customHeight="1" x14ac:dyDescent="0.25">
      <c r="A10" s="114"/>
      <c r="B10" s="114"/>
      <c r="C10" s="114"/>
      <c r="D10" s="114"/>
      <c r="E10" s="41" t="s">
        <v>216</v>
      </c>
      <c r="F10" s="46" t="s">
        <v>219</v>
      </c>
    </row>
    <row r="11" spans="1:6" ht="17.399999999999999" customHeight="1" x14ac:dyDescent="0.25">
      <c r="A11" s="114"/>
      <c r="B11" s="114"/>
      <c r="C11" s="114"/>
      <c r="D11" s="114"/>
      <c r="E11" s="41" t="s">
        <v>13</v>
      </c>
      <c r="F11" s="46" t="s">
        <v>220</v>
      </c>
    </row>
    <row r="12" spans="1:6" ht="17.399999999999999" customHeight="1" x14ac:dyDescent="0.25">
      <c r="A12" s="114"/>
      <c r="B12" s="114"/>
      <c r="C12" s="115"/>
      <c r="D12" s="115"/>
      <c r="E12" s="42" t="s">
        <v>14</v>
      </c>
      <c r="F12" s="47" t="s">
        <v>221</v>
      </c>
    </row>
    <row r="13" spans="1:6" ht="17.399999999999999" customHeight="1" x14ac:dyDescent="0.25">
      <c r="A13" s="114"/>
      <c r="B13" s="114"/>
      <c r="C13" s="113" t="s">
        <v>3</v>
      </c>
      <c r="D13" s="113" t="s">
        <v>4</v>
      </c>
      <c r="E13" s="40" t="s">
        <v>215</v>
      </c>
      <c r="F13" s="45" t="s">
        <v>217</v>
      </c>
    </row>
    <row r="14" spans="1:6" ht="17.399999999999999" customHeight="1" x14ac:dyDescent="0.25">
      <c r="A14" s="114"/>
      <c r="B14" s="114"/>
      <c r="C14" s="114"/>
      <c r="D14" s="114"/>
      <c r="E14" s="41" t="s">
        <v>113</v>
      </c>
      <c r="F14" s="46" t="s">
        <v>222</v>
      </c>
    </row>
    <row r="15" spans="1:6" ht="17.399999999999999" customHeight="1" x14ac:dyDescent="0.25">
      <c r="A15" s="114"/>
      <c r="B15" s="114"/>
      <c r="C15" s="114"/>
      <c r="D15" s="114"/>
      <c r="E15" s="41" t="s">
        <v>216</v>
      </c>
      <c r="F15" s="46" t="s">
        <v>246</v>
      </c>
    </row>
    <row r="16" spans="1:6" ht="17.399999999999999" customHeight="1" x14ac:dyDescent="0.25">
      <c r="A16" s="114"/>
      <c r="B16" s="114"/>
      <c r="C16" s="114"/>
      <c r="D16" s="114"/>
      <c r="E16" s="41" t="s">
        <v>13</v>
      </c>
      <c r="F16" s="46" t="s">
        <v>248</v>
      </c>
    </row>
    <row r="17" spans="1:6" ht="17.399999999999999" customHeight="1" x14ac:dyDescent="0.25">
      <c r="A17" s="114"/>
      <c r="B17" s="114"/>
      <c r="C17" s="114"/>
      <c r="D17" s="115"/>
      <c r="E17" s="42" t="s">
        <v>14</v>
      </c>
      <c r="F17" s="47" t="s">
        <v>221</v>
      </c>
    </row>
    <row r="18" spans="1:6" ht="17.399999999999999" customHeight="1" x14ac:dyDescent="0.25">
      <c r="A18" s="114"/>
      <c r="B18" s="114"/>
      <c r="C18" s="114"/>
      <c r="D18" s="113" t="s">
        <v>5</v>
      </c>
      <c r="E18" s="40" t="s">
        <v>215</v>
      </c>
      <c r="F18" s="45" t="s">
        <v>217</v>
      </c>
    </row>
    <row r="19" spans="1:6" ht="17.399999999999999" customHeight="1" x14ac:dyDescent="0.25">
      <c r="A19" s="114"/>
      <c r="B19" s="114"/>
      <c r="C19" s="114"/>
      <c r="D19" s="114"/>
      <c r="E19" s="41" t="s">
        <v>113</v>
      </c>
      <c r="F19" s="46" t="s">
        <v>218</v>
      </c>
    </row>
    <row r="20" spans="1:6" ht="17.399999999999999" customHeight="1" x14ac:dyDescent="0.25">
      <c r="A20" s="114"/>
      <c r="B20" s="114"/>
      <c r="C20" s="114"/>
      <c r="D20" s="114"/>
      <c r="E20" s="41" t="s">
        <v>216</v>
      </c>
      <c r="F20" s="46" t="s">
        <v>219</v>
      </c>
    </row>
    <row r="21" spans="1:6" ht="17.399999999999999" customHeight="1" x14ac:dyDescent="0.25">
      <c r="A21" s="114"/>
      <c r="B21" s="114"/>
      <c r="C21" s="114"/>
      <c r="D21" s="114"/>
      <c r="E21" s="41" t="s">
        <v>13</v>
      </c>
      <c r="F21" s="46" t="s">
        <v>220</v>
      </c>
    </row>
    <row r="22" spans="1:6" ht="17.399999999999999" customHeight="1" x14ac:dyDescent="0.25">
      <c r="A22" s="114"/>
      <c r="B22" s="115"/>
      <c r="C22" s="115"/>
      <c r="D22" s="115"/>
      <c r="E22" s="42" t="s">
        <v>14</v>
      </c>
      <c r="F22" s="47" t="s">
        <v>221</v>
      </c>
    </row>
    <row r="23" spans="1:6" ht="17.399999999999999" customHeight="1" x14ac:dyDescent="0.25">
      <c r="A23" s="114"/>
      <c r="B23" s="113" t="s">
        <v>6</v>
      </c>
      <c r="C23" s="113" t="s">
        <v>10</v>
      </c>
      <c r="D23" s="113" t="s">
        <v>4</v>
      </c>
      <c r="E23" s="40" t="s">
        <v>215</v>
      </c>
      <c r="F23" s="45" t="s">
        <v>223</v>
      </c>
    </row>
    <row r="24" spans="1:6" ht="17.399999999999999" customHeight="1" x14ac:dyDescent="0.25">
      <c r="A24" s="114"/>
      <c r="B24" s="114"/>
      <c r="C24" s="114"/>
      <c r="D24" s="114"/>
      <c r="E24" s="41" t="s">
        <v>113</v>
      </c>
      <c r="F24" s="46" t="s">
        <v>224</v>
      </c>
    </row>
    <row r="25" spans="1:6" ht="17.399999999999999" customHeight="1" x14ac:dyDescent="0.25">
      <c r="A25" s="114"/>
      <c r="B25" s="114"/>
      <c r="C25" s="114"/>
      <c r="D25" s="114"/>
      <c r="E25" s="41" t="s">
        <v>216</v>
      </c>
      <c r="F25" s="46" t="s">
        <v>219</v>
      </c>
    </row>
    <row r="26" spans="1:6" ht="17.399999999999999" customHeight="1" x14ac:dyDescent="0.25">
      <c r="A26" s="114"/>
      <c r="B26" s="114"/>
      <c r="C26" s="114"/>
      <c r="D26" s="114"/>
      <c r="E26" s="41" t="s">
        <v>13</v>
      </c>
      <c r="F26" s="46" t="s">
        <v>225</v>
      </c>
    </row>
    <row r="27" spans="1:6" ht="17.399999999999999" customHeight="1" x14ac:dyDescent="0.25">
      <c r="A27" s="114"/>
      <c r="B27" s="114"/>
      <c r="C27" s="114"/>
      <c r="D27" s="115"/>
      <c r="E27" s="42" t="s">
        <v>14</v>
      </c>
      <c r="F27" s="47" t="s">
        <v>221</v>
      </c>
    </row>
    <row r="28" spans="1:6" ht="17.399999999999999" customHeight="1" x14ac:dyDescent="0.25">
      <c r="A28" s="114"/>
      <c r="B28" s="114"/>
      <c r="C28" s="114"/>
      <c r="D28" s="113" t="s">
        <v>5</v>
      </c>
      <c r="E28" s="40" t="s">
        <v>215</v>
      </c>
      <c r="F28" s="45" t="s">
        <v>226</v>
      </c>
    </row>
    <row r="29" spans="1:6" ht="17.399999999999999" customHeight="1" x14ac:dyDescent="0.25">
      <c r="A29" s="114"/>
      <c r="B29" s="114"/>
      <c r="C29" s="114"/>
      <c r="D29" s="114"/>
      <c r="E29" s="41" t="s">
        <v>113</v>
      </c>
      <c r="F29" s="46" t="s">
        <v>224</v>
      </c>
    </row>
    <row r="30" spans="1:6" ht="17.399999999999999" customHeight="1" x14ac:dyDescent="0.25">
      <c r="A30" s="114"/>
      <c r="B30" s="114"/>
      <c r="C30" s="114"/>
      <c r="D30" s="114"/>
      <c r="E30" s="41" t="s">
        <v>216</v>
      </c>
      <c r="F30" s="46" t="s">
        <v>219</v>
      </c>
    </row>
    <row r="31" spans="1:6" ht="17.399999999999999" customHeight="1" x14ac:dyDescent="0.25">
      <c r="A31" s="114"/>
      <c r="B31" s="114"/>
      <c r="C31" s="114"/>
      <c r="D31" s="114"/>
      <c r="E31" s="41" t="s">
        <v>13</v>
      </c>
      <c r="F31" s="46" t="s">
        <v>254</v>
      </c>
    </row>
    <row r="32" spans="1:6" ht="17.399999999999999" customHeight="1" x14ac:dyDescent="0.25">
      <c r="A32" s="114"/>
      <c r="B32" s="114"/>
      <c r="C32" s="115"/>
      <c r="D32" s="115"/>
      <c r="E32" s="42" t="s">
        <v>14</v>
      </c>
      <c r="F32" s="47" t="s">
        <v>221</v>
      </c>
    </row>
    <row r="33" spans="1:6" ht="17.399999999999999" customHeight="1" x14ac:dyDescent="0.25">
      <c r="A33" s="114"/>
      <c r="B33" s="114"/>
      <c r="C33" s="113" t="s">
        <v>3</v>
      </c>
      <c r="D33" s="114" t="s">
        <v>4</v>
      </c>
      <c r="E33" s="43" t="s">
        <v>215</v>
      </c>
      <c r="F33" s="48" t="s">
        <v>223</v>
      </c>
    </row>
    <row r="34" spans="1:6" ht="17.399999999999999" customHeight="1" x14ac:dyDescent="0.25">
      <c r="A34" s="114"/>
      <c r="B34" s="114"/>
      <c r="C34" s="114"/>
      <c r="D34" s="114"/>
      <c r="E34" s="41" t="s">
        <v>113</v>
      </c>
      <c r="F34" s="46" t="s">
        <v>224</v>
      </c>
    </row>
    <row r="35" spans="1:6" ht="17.399999999999999" customHeight="1" x14ac:dyDescent="0.25">
      <c r="A35" s="114"/>
      <c r="B35" s="114"/>
      <c r="C35" s="114"/>
      <c r="D35" s="114"/>
      <c r="E35" s="41" t="s">
        <v>216</v>
      </c>
      <c r="F35" s="46" t="s">
        <v>219</v>
      </c>
    </row>
    <row r="36" spans="1:6" ht="17.399999999999999" customHeight="1" x14ac:dyDescent="0.25">
      <c r="A36" s="114"/>
      <c r="B36" s="114"/>
      <c r="C36" s="114"/>
      <c r="D36" s="114"/>
      <c r="E36" s="41" t="s">
        <v>13</v>
      </c>
      <c r="F36" s="46" t="s">
        <v>225</v>
      </c>
    </row>
    <row r="37" spans="1:6" ht="17.399999999999999" customHeight="1" x14ac:dyDescent="0.25">
      <c r="A37" s="114"/>
      <c r="B37" s="114"/>
      <c r="C37" s="114"/>
      <c r="D37" s="114"/>
      <c r="E37" s="44" t="s">
        <v>14</v>
      </c>
      <c r="F37" s="49" t="s">
        <v>221</v>
      </c>
    </row>
    <row r="38" spans="1:6" ht="17.399999999999999" customHeight="1" x14ac:dyDescent="0.25">
      <c r="A38" s="114"/>
      <c r="B38" s="114"/>
      <c r="C38" s="114"/>
      <c r="D38" s="113" t="s">
        <v>5</v>
      </c>
      <c r="E38" s="40" t="s">
        <v>215</v>
      </c>
      <c r="F38" s="48" t="s">
        <v>226</v>
      </c>
    </row>
    <row r="39" spans="1:6" ht="17.399999999999999" customHeight="1" x14ac:dyDescent="0.25">
      <c r="A39" s="114"/>
      <c r="B39" s="114"/>
      <c r="C39" s="114"/>
      <c r="D39" s="114"/>
      <c r="E39" s="41" t="s">
        <v>113</v>
      </c>
      <c r="F39" s="46" t="s">
        <v>224</v>
      </c>
    </row>
    <row r="40" spans="1:6" ht="17.399999999999999" customHeight="1" x14ac:dyDescent="0.25">
      <c r="A40" s="114"/>
      <c r="B40" s="114"/>
      <c r="C40" s="114"/>
      <c r="D40" s="114"/>
      <c r="E40" s="41" t="s">
        <v>216</v>
      </c>
      <c r="F40" s="46" t="s">
        <v>219</v>
      </c>
    </row>
    <row r="41" spans="1:6" ht="17.399999999999999" customHeight="1" x14ac:dyDescent="0.25">
      <c r="A41" s="114"/>
      <c r="B41" s="114"/>
      <c r="C41" s="114"/>
      <c r="D41" s="114"/>
      <c r="E41" s="41" t="s">
        <v>13</v>
      </c>
      <c r="F41" s="46" t="s">
        <v>254</v>
      </c>
    </row>
    <row r="42" spans="1:6" ht="17.399999999999999" customHeight="1" x14ac:dyDescent="0.25">
      <c r="A42" s="115"/>
      <c r="B42" s="115"/>
      <c r="C42" s="115"/>
      <c r="D42" s="115"/>
      <c r="E42" s="42" t="s">
        <v>14</v>
      </c>
      <c r="F42" s="47" t="s">
        <v>221</v>
      </c>
    </row>
    <row r="43" spans="1:6" ht="17.399999999999999" customHeight="1" x14ac:dyDescent="0.25">
      <c r="A43" s="116" t="s">
        <v>190</v>
      </c>
      <c r="B43" s="126" t="s">
        <v>194</v>
      </c>
      <c r="C43" s="127"/>
      <c r="D43" s="116" t="s">
        <v>191</v>
      </c>
      <c r="E43" s="40" t="s">
        <v>215</v>
      </c>
      <c r="F43" s="45" t="s">
        <v>227</v>
      </c>
    </row>
    <row r="44" spans="1:6" ht="17.399999999999999" customHeight="1" x14ac:dyDescent="0.25">
      <c r="A44" s="117"/>
      <c r="B44" s="128"/>
      <c r="C44" s="129"/>
      <c r="D44" s="117"/>
      <c r="E44" s="41" t="s">
        <v>113</v>
      </c>
      <c r="F44" s="46" t="s">
        <v>249</v>
      </c>
    </row>
    <row r="45" spans="1:6" ht="17.399999999999999" customHeight="1" x14ac:dyDescent="0.25">
      <c r="A45" s="117"/>
      <c r="B45" s="128"/>
      <c r="C45" s="129"/>
      <c r="D45" s="117"/>
      <c r="E45" s="41" t="s">
        <v>216</v>
      </c>
      <c r="F45" s="46" t="s">
        <v>228</v>
      </c>
    </row>
    <row r="46" spans="1:6" ht="17.399999999999999" customHeight="1" x14ac:dyDescent="0.25">
      <c r="A46" s="117"/>
      <c r="B46" s="128"/>
      <c r="C46" s="129"/>
      <c r="D46" s="118"/>
      <c r="E46" s="42" t="s">
        <v>14</v>
      </c>
      <c r="F46" s="47" t="s">
        <v>221</v>
      </c>
    </row>
    <row r="47" spans="1:6" ht="17.399999999999999" customHeight="1" x14ac:dyDescent="0.25">
      <c r="A47" s="117"/>
      <c r="B47" s="128"/>
      <c r="C47" s="129"/>
      <c r="D47" s="116" t="s">
        <v>5</v>
      </c>
      <c r="E47" s="40" t="s">
        <v>215</v>
      </c>
      <c r="F47" s="45" t="s">
        <v>227</v>
      </c>
    </row>
    <row r="48" spans="1:6" ht="17.399999999999999" customHeight="1" x14ac:dyDescent="0.25">
      <c r="A48" s="117"/>
      <c r="B48" s="128"/>
      <c r="C48" s="129"/>
      <c r="D48" s="117"/>
      <c r="E48" s="41" t="s">
        <v>113</v>
      </c>
      <c r="F48" s="46" t="s">
        <v>218</v>
      </c>
    </row>
    <row r="49" spans="1:6" ht="17.399999999999999" customHeight="1" x14ac:dyDescent="0.25">
      <c r="A49" s="117"/>
      <c r="B49" s="128"/>
      <c r="C49" s="129"/>
      <c r="D49" s="117"/>
      <c r="E49" s="41" t="s">
        <v>216</v>
      </c>
      <c r="F49" s="46" t="s">
        <v>228</v>
      </c>
    </row>
    <row r="50" spans="1:6" ht="17.399999999999999" customHeight="1" x14ac:dyDescent="0.25">
      <c r="A50" s="117"/>
      <c r="B50" s="128"/>
      <c r="C50" s="129"/>
      <c r="D50" s="117"/>
      <c r="E50" s="42" t="s">
        <v>14</v>
      </c>
      <c r="F50" s="47" t="s">
        <v>221</v>
      </c>
    </row>
    <row r="51" spans="1:6" ht="17.399999999999999" customHeight="1" x14ac:dyDescent="0.25">
      <c r="A51" s="118"/>
      <c r="B51" s="109" t="s">
        <v>195</v>
      </c>
      <c r="C51" s="119"/>
      <c r="D51" s="120"/>
      <c r="E51" s="121" t="s">
        <v>213</v>
      </c>
      <c r="F51" s="122"/>
    </row>
    <row r="52" spans="1:6" ht="17.399999999999999" customHeight="1" x14ac:dyDescent="0.25"/>
    <row r="53" spans="1:6" ht="17.399999999999999" customHeight="1" x14ac:dyDescent="0.25"/>
    <row r="54" spans="1:6" ht="17.399999999999999" customHeight="1" x14ac:dyDescent="0.25"/>
    <row r="55" spans="1:6" ht="17.399999999999999" customHeight="1" x14ac:dyDescent="0.25"/>
    <row r="56" spans="1:6" ht="17.399999999999999" customHeight="1" x14ac:dyDescent="0.25"/>
    <row r="57" spans="1:6" ht="17.399999999999999" customHeight="1" x14ac:dyDescent="0.25"/>
    <row r="58" spans="1:6" ht="17.399999999999999" customHeight="1" x14ac:dyDescent="0.25"/>
    <row r="59" spans="1:6" ht="17.399999999999999" customHeight="1" x14ac:dyDescent="0.25"/>
    <row r="60" spans="1:6" ht="17.399999999999999" customHeight="1" x14ac:dyDescent="0.25"/>
    <row r="61" spans="1:6" ht="17.399999999999999" customHeight="1" x14ac:dyDescent="0.25"/>
  </sheetData>
  <mergeCells count="23">
    <mergeCell ref="A43:A51"/>
    <mergeCell ref="B51:D51"/>
    <mergeCell ref="E51:F51"/>
    <mergeCell ref="A1:D2"/>
    <mergeCell ref="E1:F1"/>
    <mergeCell ref="B43:C50"/>
    <mergeCell ref="D43:D46"/>
    <mergeCell ref="D47:D50"/>
    <mergeCell ref="D3:D7"/>
    <mergeCell ref="B3:B22"/>
    <mergeCell ref="A3:A42"/>
    <mergeCell ref="D8:D12"/>
    <mergeCell ref="C3:C12"/>
    <mergeCell ref="D13:D17"/>
    <mergeCell ref="D18:D22"/>
    <mergeCell ref="B23:B42"/>
    <mergeCell ref="C13:C22"/>
    <mergeCell ref="C23:C32"/>
    <mergeCell ref="D23:D27"/>
    <mergeCell ref="D28:D32"/>
    <mergeCell ref="C33:C42"/>
    <mergeCell ref="D33:D37"/>
    <mergeCell ref="D38:D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46"/>
  <sheetViews>
    <sheetView zoomScale="70" zoomScaleNormal="70" zoomScaleSheetLayoutView="100" workbookViewId="0">
      <pane xSplit="3" topLeftCell="D1" activePane="topRight" state="frozen"/>
      <selection pane="topRight" activeCell="L63" sqref="L63"/>
    </sheetView>
  </sheetViews>
  <sheetFormatPr defaultColWidth="8.8984375" defaultRowHeight="13.2" x14ac:dyDescent="0.25"/>
  <cols>
    <col min="1" max="1" width="13.3984375" style="12" bestFit="1" customWidth="1"/>
    <col min="2" max="2" width="19.3984375" style="12" bestFit="1" customWidth="1"/>
    <col min="3" max="3" width="5.69921875" style="12" customWidth="1"/>
    <col min="4" max="4" width="145.296875" style="12" customWidth="1"/>
    <col min="5" max="5" width="11.19921875" style="12" customWidth="1"/>
    <col min="6" max="16384" width="8.8984375" style="12"/>
  </cols>
  <sheetData>
    <row r="1" spans="1:5" ht="14.4" customHeight="1" x14ac:dyDescent="0.25">
      <c r="A1" s="11" t="s">
        <v>32</v>
      </c>
      <c r="B1" s="11" t="s">
        <v>33</v>
      </c>
      <c r="C1" s="11" t="s">
        <v>35</v>
      </c>
      <c r="D1" s="11" t="s">
        <v>76</v>
      </c>
      <c r="E1" s="25" t="s">
        <v>214</v>
      </c>
    </row>
    <row r="2" spans="1:5" x14ac:dyDescent="0.25">
      <c r="A2" s="89" t="s">
        <v>28</v>
      </c>
      <c r="B2" s="97" t="s">
        <v>17</v>
      </c>
      <c r="C2" s="13">
        <v>1</v>
      </c>
      <c r="D2" s="14" t="s">
        <v>105</v>
      </c>
      <c r="E2" s="14" t="s">
        <v>187</v>
      </c>
    </row>
    <row r="3" spans="1:5" x14ac:dyDescent="0.25">
      <c r="A3" s="89"/>
      <c r="B3" s="98"/>
      <c r="C3" s="15">
        <v>2</v>
      </c>
      <c r="D3" s="14" t="s">
        <v>103</v>
      </c>
      <c r="E3" s="14" t="s">
        <v>187</v>
      </c>
    </row>
    <row r="4" spans="1:5" x14ac:dyDescent="0.25">
      <c r="A4" s="89"/>
      <c r="B4" s="99"/>
      <c r="C4" s="15">
        <v>3</v>
      </c>
      <c r="D4" s="14" t="s">
        <v>104</v>
      </c>
      <c r="E4" s="14" t="s">
        <v>188</v>
      </c>
    </row>
    <row r="5" spans="1:5" x14ac:dyDescent="0.25">
      <c r="A5" s="89"/>
      <c r="B5" s="97" t="s">
        <v>16</v>
      </c>
      <c r="C5" s="13">
        <v>1</v>
      </c>
      <c r="D5" s="14" t="s">
        <v>106</v>
      </c>
      <c r="E5" s="14" t="s">
        <v>187</v>
      </c>
    </row>
    <row r="6" spans="1:5" x14ac:dyDescent="0.25">
      <c r="A6" s="89"/>
      <c r="B6" s="98"/>
      <c r="C6" s="15">
        <v>2</v>
      </c>
      <c r="D6" s="14" t="s">
        <v>107</v>
      </c>
      <c r="E6" s="14" t="s">
        <v>187</v>
      </c>
    </row>
    <row r="7" spans="1:5" x14ac:dyDescent="0.25">
      <c r="A7" s="89"/>
      <c r="B7" s="99"/>
      <c r="C7" s="15">
        <v>3</v>
      </c>
      <c r="D7" s="14" t="s">
        <v>108</v>
      </c>
      <c r="E7" s="14" t="s">
        <v>188</v>
      </c>
    </row>
    <row r="8" spans="1:5" x14ac:dyDescent="0.25">
      <c r="A8" s="89"/>
      <c r="B8" s="97" t="s">
        <v>34</v>
      </c>
      <c r="C8" s="13">
        <v>1</v>
      </c>
      <c r="D8" s="14" t="s">
        <v>109</v>
      </c>
      <c r="E8" s="14" t="s">
        <v>187</v>
      </c>
    </row>
    <row r="9" spans="1:5" x14ac:dyDescent="0.25">
      <c r="A9" s="89"/>
      <c r="B9" s="98"/>
      <c r="C9" s="15">
        <v>2</v>
      </c>
      <c r="D9" s="14" t="s">
        <v>110</v>
      </c>
      <c r="E9" s="14" t="s">
        <v>187</v>
      </c>
    </row>
    <row r="10" spans="1:5" x14ac:dyDescent="0.25">
      <c r="A10" s="89"/>
      <c r="B10" s="99"/>
      <c r="C10" s="15">
        <v>3</v>
      </c>
      <c r="D10" s="14" t="s">
        <v>147</v>
      </c>
      <c r="E10" s="14" t="s">
        <v>189</v>
      </c>
    </row>
    <row r="11" spans="1:5" x14ac:dyDescent="0.25">
      <c r="A11" s="92" t="s">
        <v>114</v>
      </c>
      <c r="B11" s="130" t="s">
        <v>115</v>
      </c>
      <c r="C11" s="13">
        <v>1</v>
      </c>
      <c r="D11" s="16" t="s">
        <v>120</v>
      </c>
      <c r="E11" s="14" t="s">
        <v>187</v>
      </c>
    </row>
    <row r="12" spans="1:5" x14ac:dyDescent="0.25">
      <c r="A12" s="92"/>
      <c r="B12" s="131"/>
      <c r="C12" s="15">
        <v>2</v>
      </c>
      <c r="D12" s="16" t="s">
        <v>123</v>
      </c>
      <c r="E12" s="14" t="s">
        <v>187</v>
      </c>
    </row>
    <row r="13" spans="1:5" x14ac:dyDescent="0.25">
      <c r="A13" s="92"/>
      <c r="B13" s="132"/>
      <c r="C13" s="15">
        <v>3</v>
      </c>
      <c r="D13" s="16" t="s">
        <v>122</v>
      </c>
      <c r="E13" s="14" t="s">
        <v>189</v>
      </c>
    </row>
    <row r="14" spans="1:5" x14ac:dyDescent="0.25">
      <c r="A14" s="92"/>
      <c r="B14" s="130" t="s">
        <v>116</v>
      </c>
      <c r="C14" s="13">
        <v>1</v>
      </c>
      <c r="D14" s="16" t="s">
        <v>120</v>
      </c>
      <c r="E14" s="14" t="s">
        <v>187</v>
      </c>
    </row>
    <row r="15" spans="1:5" x14ac:dyDescent="0.25">
      <c r="A15" s="92"/>
      <c r="B15" s="131"/>
      <c r="C15" s="15">
        <v>2</v>
      </c>
      <c r="D15" s="16" t="s">
        <v>185</v>
      </c>
      <c r="E15" s="14" t="s">
        <v>187</v>
      </c>
    </row>
    <row r="16" spans="1:5" x14ac:dyDescent="0.25">
      <c r="A16" s="92"/>
      <c r="B16" s="132"/>
      <c r="C16" s="15">
        <v>3</v>
      </c>
      <c r="D16" s="16" t="s">
        <v>121</v>
      </c>
      <c r="E16" s="14" t="s">
        <v>189</v>
      </c>
    </row>
    <row r="17" spans="1:5" x14ac:dyDescent="0.25">
      <c r="A17" s="92"/>
      <c r="B17" s="130" t="s">
        <v>117</v>
      </c>
      <c r="C17" s="13">
        <v>1</v>
      </c>
      <c r="D17" s="16" t="s">
        <v>120</v>
      </c>
      <c r="E17" s="14" t="s">
        <v>187</v>
      </c>
    </row>
    <row r="18" spans="1:5" x14ac:dyDescent="0.25">
      <c r="A18" s="92"/>
      <c r="B18" s="131"/>
      <c r="C18" s="15">
        <v>2</v>
      </c>
      <c r="D18" s="16" t="s">
        <v>118</v>
      </c>
      <c r="E18" s="14" t="s">
        <v>187</v>
      </c>
    </row>
    <row r="19" spans="1:5" x14ac:dyDescent="0.25">
      <c r="A19" s="92"/>
      <c r="B19" s="132"/>
      <c r="C19" s="15">
        <v>3</v>
      </c>
      <c r="D19" s="16" t="s">
        <v>119</v>
      </c>
      <c r="E19" s="14" t="s">
        <v>188</v>
      </c>
    </row>
    <row r="20" spans="1:5" x14ac:dyDescent="0.25">
      <c r="A20" s="89" t="s">
        <v>29</v>
      </c>
      <c r="B20" s="97" t="s">
        <v>19</v>
      </c>
      <c r="C20" s="13">
        <v>1</v>
      </c>
      <c r="D20" s="14" t="s">
        <v>102</v>
      </c>
      <c r="E20" s="14" t="s">
        <v>187</v>
      </c>
    </row>
    <row r="21" spans="1:5" x14ac:dyDescent="0.25">
      <c r="A21" s="89"/>
      <c r="B21" s="98"/>
      <c r="C21" s="15">
        <v>2</v>
      </c>
      <c r="D21" s="14" t="s">
        <v>101</v>
      </c>
      <c r="E21" s="14" t="s">
        <v>187</v>
      </c>
    </row>
    <row r="22" spans="1:5" x14ac:dyDescent="0.25">
      <c r="A22" s="89"/>
      <c r="B22" s="99"/>
      <c r="C22" s="15">
        <v>3</v>
      </c>
      <c r="D22" s="14" t="s">
        <v>100</v>
      </c>
      <c r="E22" s="14" t="s">
        <v>188</v>
      </c>
    </row>
    <row r="23" spans="1:5" x14ac:dyDescent="0.25">
      <c r="A23" s="89"/>
      <c r="B23" s="97" t="s">
        <v>27</v>
      </c>
      <c r="C23" s="13">
        <v>1</v>
      </c>
      <c r="D23" s="14" t="s">
        <v>111</v>
      </c>
      <c r="E23" s="14" t="s">
        <v>187</v>
      </c>
    </row>
    <row r="24" spans="1:5" x14ac:dyDescent="0.25">
      <c r="A24" s="89"/>
      <c r="B24" s="98"/>
      <c r="C24" s="15">
        <v>2</v>
      </c>
      <c r="D24" s="14" t="s">
        <v>112</v>
      </c>
      <c r="E24" s="14" t="s">
        <v>187</v>
      </c>
    </row>
    <row r="25" spans="1:5" x14ac:dyDescent="0.25">
      <c r="A25" s="89"/>
      <c r="B25" s="99"/>
      <c r="C25" s="15">
        <v>3</v>
      </c>
      <c r="D25" s="14" t="s">
        <v>99</v>
      </c>
      <c r="E25" s="14" t="s">
        <v>187</v>
      </c>
    </row>
    <row r="26" spans="1:5" x14ac:dyDescent="0.25">
      <c r="A26" s="89"/>
      <c r="B26" s="97" t="s">
        <v>20</v>
      </c>
      <c r="C26" s="13">
        <v>1</v>
      </c>
      <c r="D26" s="14" t="s">
        <v>97</v>
      </c>
      <c r="E26" s="14" t="s">
        <v>187</v>
      </c>
    </row>
    <row r="27" spans="1:5" x14ac:dyDescent="0.25">
      <c r="A27" s="89"/>
      <c r="B27" s="98"/>
      <c r="C27" s="15">
        <v>2</v>
      </c>
      <c r="D27" s="14" t="s">
        <v>96</v>
      </c>
      <c r="E27" s="14" t="s">
        <v>187</v>
      </c>
    </row>
    <row r="28" spans="1:5" x14ac:dyDescent="0.25">
      <c r="A28" s="89"/>
      <c r="B28" s="99"/>
      <c r="C28" s="15">
        <v>3</v>
      </c>
      <c r="D28" s="14" t="s">
        <v>95</v>
      </c>
      <c r="E28" s="14" t="s">
        <v>187</v>
      </c>
    </row>
    <row r="29" spans="1:5" x14ac:dyDescent="0.25">
      <c r="A29" s="89" t="s">
        <v>30</v>
      </c>
      <c r="B29" s="97" t="s">
        <v>21</v>
      </c>
      <c r="C29" s="13">
        <v>1</v>
      </c>
      <c r="D29" s="14" t="s">
        <v>92</v>
      </c>
      <c r="E29" s="14" t="s">
        <v>187</v>
      </c>
    </row>
    <row r="30" spans="1:5" x14ac:dyDescent="0.25">
      <c r="A30" s="89"/>
      <c r="B30" s="98"/>
      <c r="C30" s="15">
        <v>2</v>
      </c>
      <c r="D30" s="14" t="s">
        <v>93</v>
      </c>
      <c r="E30" s="14" t="s">
        <v>187</v>
      </c>
    </row>
    <row r="31" spans="1:5" x14ac:dyDescent="0.25">
      <c r="A31" s="89"/>
      <c r="B31" s="99"/>
      <c r="C31" s="15">
        <v>3</v>
      </c>
      <c r="D31" s="14" t="s">
        <v>94</v>
      </c>
      <c r="E31" s="14" t="s">
        <v>187</v>
      </c>
    </row>
    <row r="32" spans="1:5" x14ac:dyDescent="0.25">
      <c r="A32" s="89"/>
      <c r="B32" s="97" t="s">
        <v>24</v>
      </c>
      <c r="C32" s="13">
        <v>1</v>
      </c>
      <c r="D32" s="14" t="s">
        <v>77</v>
      </c>
      <c r="E32" s="14" t="s">
        <v>187</v>
      </c>
    </row>
    <row r="33" spans="1:5" x14ac:dyDescent="0.25">
      <c r="A33" s="89"/>
      <c r="B33" s="98"/>
      <c r="C33" s="15">
        <v>2</v>
      </c>
      <c r="D33" s="14" t="s">
        <v>78</v>
      </c>
      <c r="E33" s="14" t="s">
        <v>187</v>
      </c>
    </row>
    <row r="34" spans="1:5" x14ac:dyDescent="0.25">
      <c r="A34" s="89"/>
      <c r="B34" s="99"/>
      <c r="C34" s="15">
        <v>3</v>
      </c>
      <c r="D34" s="14" t="s">
        <v>79</v>
      </c>
      <c r="E34" s="14" t="s">
        <v>189</v>
      </c>
    </row>
    <row r="35" spans="1:5" x14ac:dyDescent="0.25">
      <c r="A35" s="89"/>
      <c r="B35" s="97" t="s">
        <v>22</v>
      </c>
      <c r="C35" s="13">
        <v>1</v>
      </c>
      <c r="D35" s="14" t="s">
        <v>80</v>
      </c>
      <c r="E35" s="14" t="s">
        <v>187</v>
      </c>
    </row>
    <row r="36" spans="1:5" x14ac:dyDescent="0.25">
      <c r="A36" s="89"/>
      <c r="B36" s="98"/>
      <c r="C36" s="15">
        <v>2</v>
      </c>
      <c r="D36" s="14" t="s">
        <v>81</v>
      </c>
      <c r="E36" s="14" t="s">
        <v>187</v>
      </c>
    </row>
    <row r="37" spans="1:5" x14ac:dyDescent="0.25">
      <c r="A37" s="89"/>
      <c r="B37" s="99"/>
      <c r="C37" s="15">
        <v>3</v>
      </c>
      <c r="D37" s="14" t="s">
        <v>82</v>
      </c>
      <c r="E37" s="14" t="s">
        <v>189</v>
      </c>
    </row>
    <row r="38" spans="1:5" x14ac:dyDescent="0.25">
      <c r="A38" s="89" t="s">
        <v>31</v>
      </c>
      <c r="B38" s="97" t="s">
        <v>26</v>
      </c>
      <c r="C38" s="13">
        <v>1</v>
      </c>
      <c r="D38" s="14" t="s">
        <v>91</v>
      </c>
      <c r="E38" s="14" t="s">
        <v>187</v>
      </c>
    </row>
    <row r="39" spans="1:5" x14ac:dyDescent="0.25">
      <c r="A39" s="89"/>
      <c r="B39" s="98"/>
      <c r="C39" s="15">
        <v>2</v>
      </c>
      <c r="D39" s="14" t="s">
        <v>90</v>
      </c>
      <c r="E39" s="14" t="s">
        <v>187</v>
      </c>
    </row>
    <row r="40" spans="1:5" x14ac:dyDescent="0.25">
      <c r="A40" s="89"/>
      <c r="B40" s="99"/>
      <c r="C40" s="15">
        <v>3</v>
      </c>
      <c r="D40" s="14" t="s">
        <v>89</v>
      </c>
      <c r="E40" s="14" t="s">
        <v>187</v>
      </c>
    </row>
    <row r="41" spans="1:5" x14ac:dyDescent="0.25">
      <c r="A41" s="89"/>
      <c r="B41" s="97" t="s">
        <v>23</v>
      </c>
      <c r="C41" s="13">
        <v>1</v>
      </c>
      <c r="D41" s="14" t="s">
        <v>98</v>
      </c>
      <c r="E41" s="14" t="s">
        <v>187</v>
      </c>
    </row>
    <row r="42" spans="1:5" x14ac:dyDescent="0.25">
      <c r="A42" s="89"/>
      <c r="B42" s="98"/>
      <c r="C42" s="15">
        <v>2</v>
      </c>
      <c r="D42" s="14" t="s">
        <v>88</v>
      </c>
      <c r="E42" s="14" t="s">
        <v>187</v>
      </c>
    </row>
    <row r="43" spans="1:5" x14ac:dyDescent="0.25">
      <c r="A43" s="89"/>
      <c r="B43" s="99"/>
      <c r="C43" s="15">
        <v>3</v>
      </c>
      <c r="D43" s="14" t="s">
        <v>87</v>
      </c>
      <c r="E43" s="14" t="s">
        <v>187</v>
      </c>
    </row>
    <row r="44" spans="1:5" x14ac:dyDescent="0.25">
      <c r="A44" s="89"/>
      <c r="B44" s="97" t="s">
        <v>25</v>
      </c>
      <c r="C44" s="13">
        <v>1</v>
      </c>
      <c r="D44" s="14" t="s">
        <v>84</v>
      </c>
      <c r="E44" s="14" t="s">
        <v>187</v>
      </c>
    </row>
    <row r="45" spans="1:5" x14ac:dyDescent="0.25">
      <c r="A45" s="89"/>
      <c r="B45" s="98"/>
      <c r="C45" s="15">
        <v>2</v>
      </c>
      <c r="D45" s="14" t="s">
        <v>85</v>
      </c>
      <c r="E45" s="14" t="s">
        <v>187</v>
      </c>
    </row>
    <row r="46" spans="1:5" x14ac:dyDescent="0.25">
      <c r="A46" s="89"/>
      <c r="B46" s="99"/>
      <c r="C46" s="15">
        <v>3</v>
      </c>
      <c r="D46" s="14" t="s">
        <v>86</v>
      </c>
      <c r="E46" s="14" t="s">
        <v>189</v>
      </c>
    </row>
  </sheetData>
  <mergeCells count="20">
    <mergeCell ref="B35:B37"/>
    <mergeCell ref="B38:B40"/>
    <mergeCell ref="B41:B43"/>
    <mergeCell ref="A11:A19"/>
    <mergeCell ref="B11:B13"/>
    <mergeCell ref="B14:B16"/>
    <mergeCell ref="B17:B19"/>
    <mergeCell ref="B44:B46"/>
    <mergeCell ref="A2:A10"/>
    <mergeCell ref="A20:A28"/>
    <mergeCell ref="A29:A37"/>
    <mergeCell ref="A38:A46"/>
    <mergeCell ref="B2:B4"/>
    <mergeCell ref="B5:B7"/>
    <mergeCell ref="B8:B10"/>
    <mergeCell ref="B20:B22"/>
    <mergeCell ref="B23:B25"/>
    <mergeCell ref="B26:B28"/>
    <mergeCell ref="B29:B31"/>
    <mergeCell ref="B32:B34"/>
  </mergeCells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20"/>
  <sheetViews>
    <sheetView zoomScaleNormal="100" workbookViewId="0">
      <selection activeCell="I19" sqref="I19"/>
    </sheetView>
  </sheetViews>
  <sheetFormatPr defaultRowHeight="13.8" x14ac:dyDescent="0.25"/>
  <cols>
    <col min="1" max="1" width="13.8984375" customWidth="1"/>
    <col min="2" max="2" width="74.69921875" style="22" customWidth="1"/>
    <col min="3" max="3" width="69.69921875" style="22" hidden="1" customWidth="1"/>
    <col min="4" max="4" width="8.8984375" style="7"/>
  </cols>
  <sheetData>
    <row r="1" spans="1:4" ht="15" customHeight="1" x14ac:dyDescent="0.25">
      <c r="A1" s="133" t="s">
        <v>146</v>
      </c>
      <c r="B1" s="133"/>
      <c r="C1" s="5" t="s">
        <v>75</v>
      </c>
    </row>
    <row r="2" spans="1:4" ht="82.8" x14ac:dyDescent="0.25">
      <c r="A2" s="134" t="s">
        <v>36</v>
      </c>
      <c r="B2" s="4" t="s">
        <v>154</v>
      </c>
      <c r="C2" s="18" t="s">
        <v>177</v>
      </c>
      <c r="D2" s="8"/>
    </row>
    <row r="3" spans="1:4" ht="69" x14ac:dyDescent="0.25">
      <c r="A3" s="134"/>
      <c r="B3" s="4" t="s">
        <v>155</v>
      </c>
      <c r="C3" s="19" t="s">
        <v>148</v>
      </c>
      <c r="D3" s="8"/>
    </row>
    <row r="4" spans="1:4" ht="55.2" x14ac:dyDescent="0.25">
      <c r="A4" s="134"/>
      <c r="B4" s="4" t="s">
        <v>156</v>
      </c>
      <c r="C4" s="4" t="s">
        <v>149</v>
      </c>
      <c r="D4" s="8"/>
    </row>
    <row r="5" spans="1:4" ht="41.4" x14ac:dyDescent="0.25">
      <c r="A5" s="134"/>
      <c r="B5" s="4" t="s">
        <v>157</v>
      </c>
      <c r="C5" s="19" t="s">
        <v>150</v>
      </c>
      <c r="D5" s="8"/>
    </row>
    <row r="6" spans="1:4" ht="55.2" x14ac:dyDescent="0.25">
      <c r="A6" s="134"/>
      <c r="B6" s="4" t="s">
        <v>158</v>
      </c>
      <c r="C6" s="19" t="s">
        <v>151</v>
      </c>
    </row>
    <row r="7" spans="1:4" x14ac:dyDescent="0.25">
      <c r="A7" s="3"/>
      <c r="B7" s="23"/>
      <c r="C7" s="20"/>
    </row>
    <row r="8" spans="1:4" ht="41.4" x14ac:dyDescent="0.25">
      <c r="A8" s="134" t="s">
        <v>37</v>
      </c>
      <c r="B8" s="4" t="s">
        <v>159</v>
      </c>
      <c r="C8" s="19" t="s">
        <v>176</v>
      </c>
      <c r="D8" s="8"/>
    </row>
    <row r="9" spans="1:4" ht="41.4" x14ac:dyDescent="0.25">
      <c r="A9" s="134"/>
      <c r="B9" s="4" t="s">
        <v>160</v>
      </c>
      <c r="C9" s="19" t="s">
        <v>181</v>
      </c>
      <c r="D9" s="8"/>
    </row>
    <row r="10" spans="1:4" ht="41.4" x14ac:dyDescent="0.25">
      <c r="A10" s="134"/>
      <c r="B10" s="4" t="s">
        <v>161</v>
      </c>
      <c r="C10" s="19" t="s">
        <v>152</v>
      </c>
      <c r="D10" s="8"/>
    </row>
    <row r="11" spans="1:4" ht="27.6" x14ac:dyDescent="0.25">
      <c r="A11" s="134"/>
      <c r="B11" s="4" t="s">
        <v>162</v>
      </c>
      <c r="C11" s="19" t="s">
        <v>180</v>
      </c>
    </row>
    <row r="12" spans="1:4" x14ac:dyDescent="0.25">
      <c r="A12" s="3"/>
      <c r="B12" s="23"/>
      <c r="C12" s="20"/>
    </row>
    <row r="13" spans="1:4" ht="55.2" x14ac:dyDescent="0.25">
      <c r="A13" s="135" t="s">
        <v>38</v>
      </c>
      <c r="B13" s="4" t="s">
        <v>163</v>
      </c>
      <c r="C13" s="19" t="s">
        <v>153</v>
      </c>
      <c r="D13" s="8"/>
    </row>
    <row r="14" spans="1:4" ht="41.4" x14ac:dyDescent="0.25">
      <c r="A14" s="135"/>
      <c r="B14" s="4" t="s">
        <v>164</v>
      </c>
      <c r="C14" s="19" t="s">
        <v>179</v>
      </c>
      <c r="D14" s="8"/>
    </row>
    <row r="15" spans="1:4" ht="55.2" x14ac:dyDescent="0.25">
      <c r="A15" s="135"/>
      <c r="B15" s="4" t="s">
        <v>165</v>
      </c>
      <c r="C15" s="19" t="s">
        <v>178</v>
      </c>
    </row>
    <row r="16" spans="1:4" ht="82.8" x14ac:dyDescent="0.25">
      <c r="A16" s="135"/>
      <c r="B16" s="24" t="s">
        <v>166</v>
      </c>
      <c r="C16" s="21" t="s">
        <v>171</v>
      </c>
    </row>
    <row r="17" spans="1:4" ht="55.2" x14ac:dyDescent="0.25">
      <c r="A17" s="135"/>
      <c r="B17" s="4" t="s">
        <v>167</v>
      </c>
      <c r="C17" s="19" t="s">
        <v>172</v>
      </c>
    </row>
    <row r="18" spans="1:4" ht="41.4" x14ac:dyDescent="0.25">
      <c r="A18" s="135"/>
      <c r="B18" s="4" t="s">
        <v>168</v>
      </c>
      <c r="C18" s="19" t="s">
        <v>173</v>
      </c>
      <c r="D18" s="8"/>
    </row>
    <row r="19" spans="1:4" ht="69" x14ac:dyDescent="0.25">
      <c r="A19" s="135"/>
      <c r="B19" s="4" t="s">
        <v>169</v>
      </c>
      <c r="C19" s="19" t="s">
        <v>174</v>
      </c>
      <c r="D19" s="8"/>
    </row>
    <row r="20" spans="1:4" ht="41.4" x14ac:dyDescent="0.25">
      <c r="A20" s="135"/>
      <c r="B20" s="4" t="s">
        <v>170</v>
      </c>
      <c r="C20" s="19" t="s">
        <v>175</v>
      </c>
      <c r="D20" s="8"/>
    </row>
  </sheetData>
  <mergeCells count="4">
    <mergeCell ref="A1:B1"/>
    <mergeCell ref="A2:A6"/>
    <mergeCell ref="A8:A11"/>
    <mergeCell ref="A13:A20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Qualified person (Form)</vt:lpstr>
      <vt:lpstr>Qualified person</vt:lpstr>
      <vt:lpstr>Ver 1</vt:lpstr>
      <vt:lpstr>Skill Require</vt:lpstr>
      <vt:lpstr>Skill</vt:lpstr>
      <vt:lpstr>Job description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Teerapol Kantapoom</dc:creator>
  <cp:lastModifiedBy>Teerapol Kantapoom</cp:lastModifiedBy>
  <cp:lastPrinted>2024-05-27T09:23:06Z</cp:lastPrinted>
  <dcterms:created xsi:type="dcterms:W3CDTF">2022-02-17T04:32:20Z</dcterms:created>
  <dcterms:modified xsi:type="dcterms:W3CDTF">2026-07-07T01:22:11Z</dcterms:modified>
</cp:coreProperties>
</file>